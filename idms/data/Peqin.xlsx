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C33036BF-670D-47E9-8620-8E055293AF31}" xr6:coauthVersionLast="47" xr6:coauthVersionMax="47" xr10:uidLastSave="{00000000-0000-0000-0000-000000000000}"/>
  <bookViews>
    <workbookView xWindow="-28920" yWindow="-1470" windowWidth="29040" windowHeight="15720" activeTab="3" xr2:uid="{B988D333-895D-482C-8D23-ECE11989E9CC}"/>
  </bookViews>
  <sheets>
    <sheet name="Inv__Ujitjes_Peqin" sheetId="1" r:id="rId1"/>
    <sheet name="Rezervuar" sheetId="2" r:id="rId2"/>
    <sheet name="Stacion Pompimi" sheetId="3" r:id="rId3"/>
    <sheet name="Lume Kanale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5" l="1"/>
  <c r="F9" i="5"/>
  <c r="I8" i="5"/>
  <c r="I7" i="5"/>
  <c r="I6" i="5"/>
  <c r="I5" i="5"/>
  <c r="H12" i="3"/>
  <c r="F12" i="3"/>
  <c r="I11" i="3"/>
  <c r="I10" i="3"/>
  <c r="I9" i="3"/>
  <c r="I8" i="3"/>
  <c r="I7" i="3"/>
  <c r="I6" i="3"/>
  <c r="I5" i="3"/>
  <c r="H13" i="2"/>
  <c r="F13" i="2"/>
  <c r="I13" i="2" s="1"/>
  <c r="I12" i="2"/>
  <c r="I11" i="2"/>
  <c r="I10" i="2"/>
  <c r="I9" i="2"/>
  <c r="I8" i="2"/>
  <c r="I7" i="2"/>
  <c r="I6" i="2"/>
  <c r="I5" i="2"/>
  <c r="I24" i="1"/>
  <c r="H24" i="1"/>
  <c r="F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9" i="5" l="1"/>
  <c r="I12" i="3"/>
</calcChain>
</file>

<file path=xl/sharedStrings.xml><?xml version="1.0" encoding="utf-8"?>
<sst xmlns="http://schemas.openxmlformats.org/spreadsheetml/2006/main" count="204" uniqueCount="67">
  <si>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</si>
  <si>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</si>
  <si>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</si>
  <si>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</si>
  <si>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</si>
  <si>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</si>
  <si>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</si>
  <si>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</si>
  <si>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</si>
  <si>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</si>
  <si>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</si>
  <si>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PEU - 2</t>
  </si>
  <si>
    <t>Kanal  Darsi - Vashaj</t>
  </si>
  <si>
    <t>Lumi Shkumbin + Rezervuar Vashaj</t>
  </si>
  <si>
    <t>PEU - 8</t>
  </si>
  <si>
    <t xml:space="preserve">Rezervuari nr.2  Sheze </t>
  </si>
  <si>
    <t>Rezervuar  Sheze Nr.2</t>
  </si>
  <si>
    <t>PEU - 4</t>
  </si>
  <si>
    <t xml:space="preserve">Rezervuari Pekisht </t>
  </si>
  <si>
    <t>Rezervuar Pekisht</t>
  </si>
  <si>
    <t>PEU - 5</t>
  </si>
  <si>
    <t>Rezervuari Perroi Zi Nr. 3</t>
  </si>
  <si>
    <t>Rezervuar  Perroi I zi Nr.3</t>
  </si>
  <si>
    <t>PEU - 17</t>
  </si>
  <si>
    <t xml:space="preserve">Kanal  Pajove </t>
  </si>
  <si>
    <t>Perroi Pajove</t>
  </si>
  <si>
    <t>PEU - 18</t>
  </si>
  <si>
    <t xml:space="preserve">Kanal Perparim </t>
  </si>
  <si>
    <t xml:space="preserve">Rezervuar </t>
  </si>
  <si>
    <t>PEU - 7</t>
  </si>
  <si>
    <t>Rezervuar Sheze Nr. 1</t>
  </si>
  <si>
    <t>Rezervuar  Sheze Nr.1</t>
  </si>
  <si>
    <t>PEU - 19</t>
  </si>
  <si>
    <t xml:space="preserve">Kanal Karine </t>
  </si>
  <si>
    <t>Perroi Karine</t>
  </si>
  <si>
    <t>PEU - 1</t>
  </si>
  <si>
    <t xml:space="preserve">Kanal  Peqin - Kavaje </t>
  </si>
  <si>
    <t xml:space="preserve">Lumi Shkumbin </t>
  </si>
  <si>
    <t>PEU - 3</t>
  </si>
  <si>
    <t xml:space="preserve">Rezervuari Bishqem </t>
  </si>
  <si>
    <t>Rezervuar  Bishqem</t>
  </si>
  <si>
    <t>PEU - 6</t>
  </si>
  <si>
    <t>Rezervuari Perroi Zi Nr. 2</t>
  </si>
  <si>
    <t>Rezervuar  Perroi i zi Nr.2</t>
  </si>
  <si>
    <t>PEU - 9</t>
  </si>
  <si>
    <t xml:space="preserve">Rezervuari Cacabez  </t>
  </si>
  <si>
    <t>Rezervuar  Cacabez</t>
  </si>
  <si>
    <t>PEU - 10</t>
  </si>
  <si>
    <t>Stacion pompimi Bishqem  Nr.1</t>
  </si>
  <si>
    <t>Lumi Shkumbin</t>
  </si>
  <si>
    <t>PEU - 11</t>
  </si>
  <si>
    <t>Stacion pompimi Bishqem  NR.2</t>
  </si>
  <si>
    <t>PEU - 12</t>
  </si>
  <si>
    <t xml:space="preserve">Stacion pompimi Pulesh </t>
  </si>
  <si>
    <t>PEU - 13</t>
  </si>
  <si>
    <t xml:space="preserve">  Stacion pompimi  Grykesh</t>
  </si>
  <si>
    <t>PEU - 14</t>
  </si>
  <si>
    <t>Stacion pompimi Sheze Nr.1</t>
  </si>
  <si>
    <t>PEU - 15</t>
  </si>
  <si>
    <t>Stacion pompimi Sheze  Nr.2</t>
  </si>
  <si>
    <t>PEU - 16</t>
  </si>
  <si>
    <t xml:space="preserve"> Stacion pompimi Trash</t>
  </si>
  <si>
    <t>Total</t>
  </si>
  <si>
    <t>19 Skema</t>
  </si>
  <si>
    <t>8 Skema</t>
  </si>
  <si>
    <t>7 Skema</t>
  </si>
  <si>
    <t>4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</si>
</sst>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85A352E2-C232-49F3-A594-F383A2A2F692}"/>
    <cellStyle name="Percent 2" xfId="2" xr:uid="{1C26A6D4-C42A-4686-8570-6C42669E7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A665-8E24-43FD-BC67-8CE782AA12C7}">
  <dimension ref="A1:I24"/>
  <sheetViews>
    <sheetView zoomScaleNormal="100" workbookViewId="0">
      <selection activeCell="C27" sqref="C2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44.3</v>
      </c>
      <c r="G5" s="17"/>
      <c r="H5" s="17"/>
      <c r="I5" s="18">
        <f t="shared" ref="I5:I2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4">
        <v>3.8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4">
        <v>0.7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4">
        <v>0.5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25</v>
      </c>
      <c r="E9" s="16" t="s">
        <v>25</v>
      </c>
      <c r="F9" s="14">
        <v>1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28</v>
      </c>
      <c r="E10" s="16" t="s">
        <v>28</v>
      </c>
      <c r="F10" s="14">
        <v>1.7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5" t="s">
        <v>31</v>
      </c>
      <c r="E11" s="16" t="s">
        <v>31</v>
      </c>
      <c r="F11" s="14">
        <v>2.6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5" t="s">
        <v>34</v>
      </c>
      <c r="E12" s="16" t="s">
        <v>34</v>
      </c>
      <c r="F12" s="14">
        <v>1.5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5" t="s">
        <v>37</v>
      </c>
      <c r="E13" s="16" t="s">
        <v>37</v>
      </c>
      <c r="F13" s="14">
        <v>33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5" t="s">
        <v>40</v>
      </c>
      <c r="E14" s="16" t="s">
        <v>40</v>
      </c>
      <c r="F14" s="14">
        <v>1.4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41</v>
      </c>
      <c r="C15" s="14" t="s">
        <v>42</v>
      </c>
      <c r="D15" s="15" t="s">
        <v>43</v>
      </c>
      <c r="E15" s="16" t="s">
        <v>43</v>
      </c>
      <c r="F15" s="14">
        <v>2.4500000000000002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44</v>
      </c>
      <c r="C16" s="14" t="s">
        <v>45</v>
      </c>
      <c r="D16" s="15" t="s">
        <v>46</v>
      </c>
      <c r="E16" s="16" t="s">
        <v>46</v>
      </c>
      <c r="F16" s="14">
        <v>0.6</v>
      </c>
      <c r="G16" s="14"/>
      <c r="H16" s="14"/>
      <c r="I16" s="18">
        <f t="shared" si="0"/>
        <v>0</v>
      </c>
    </row>
    <row r="17" spans="1:9" ht="15.6" customHeight="1" x14ac:dyDescent="0.25">
      <c r="A17" s="13">
        <v>13</v>
      </c>
      <c r="B17" s="14" t="s">
        <v>47</v>
      </c>
      <c r="C17" s="14" t="s">
        <v>48</v>
      </c>
      <c r="D17" s="15" t="s">
        <v>49</v>
      </c>
      <c r="E17" s="16" t="s">
        <v>49</v>
      </c>
      <c r="F17" s="14">
        <v>5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50</v>
      </c>
      <c r="C18" s="14" t="s">
        <v>51</v>
      </c>
      <c r="D18" s="15" t="s">
        <v>49</v>
      </c>
      <c r="E18" s="16" t="s">
        <v>49</v>
      </c>
      <c r="F18" s="14">
        <v>2.5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52</v>
      </c>
      <c r="C19" s="14" t="s">
        <v>53</v>
      </c>
      <c r="D19" s="15" t="s">
        <v>49</v>
      </c>
      <c r="E19" s="16" t="s">
        <v>49</v>
      </c>
      <c r="F19" s="14">
        <v>3.1300000000000003</v>
      </c>
      <c r="G19" s="14"/>
      <c r="H19" s="14"/>
      <c r="I19" s="18">
        <f t="shared" si="0"/>
        <v>0</v>
      </c>
    </row>
    <row r="20" spans="1:9" ht="15.6" customHeight="1" x14ac:dyDescent="0.25">
      <c r="A20" s="13">
        <v>16</v>
      </c>
      <c r="B20" s="14" t="s">
        <v>54</v>
      </c>
      <c r="C20" s="14" t="s">
        <v>55</v>
      </c>
      <c r="D20" s="15" t="s">
        <v>49</v>
      </c>
      <c r="E20" s="16" t="s">
        <v>49</v>
      </c>
      <c r="F20" s="14">
        <v>3.3099999999999996</v>
      </c>
      <c r="G20" s="17"/>
      <c r="H20" s="17"/>
      <c r="I20" s="18">
        <f t="shared" si="0"/>
        <v>0</v>
      </c>
    </row>
    <row r="21" spans="1:9" ht="15.6" customHeight="1" x14ac:dyDescent="0.25">
      <c r="A21" s="13">
        <v>17</v>
      </c>
      <c r="B21" s="14" t="s">
        <v>56</v>
      </c>
      <c r="C21" s="14" t="s">
        <v>57</v>
      </c>
      <c r="D21" s="15" t="s">
        <v>31</v>
      </c>
      <c r="E21" s="16" t="s">
        <v>31</v>
      </c>
      <c r="F21" s="14">
        <v>1.5</v>
      </c>
      <c r="G21" s="17"/>
      <c r="H21" s="17"/>
      <c r="I21" s="18">
        <f t="shared" si="0"/>
        <v>0</v>
      </c>
    </row>
    <row r="22" spans="1:9" ht="15.6" customHeight="1" x14ac:dyDescent="0.25">
      <c r="A22" s="13">
        <v>18</v>
      </c>
      <c r="B22" s="14" t="s">
        <v>58</v>
      </c>
      <c r="C22" s="14" t="s">
        <v>59</v>
      </c>
      <c r="D22" s="15" t="s">
        <v>16</v>
      </c>
      <c r="E22" s="16" t="s">
        <v>16</v>
      </c>
      <c r="F22" s="14">
        <v>2.65</v>
      </c>
      <c r="G22" s="14"/>
      <c r="H22" s="14"/>
      <c r="I22" s="18">
        <f t="shared" si="0"/>
        <v>0</v>
      </c>
    </row>
    <row r="23" spans="1:9" ht="15.6" customHeight="1" x14ac:dyDescent="0.25">
      <c r="A23" s="13">
        <v>19</v>
      </c>
      <c r="B23" s="14" t="s">
        <v>60</v>
      </c>
      <c r="C23" s="14" t="s">
        <v>61</v>
      </c>
      <c r="D23" s="15" t="s">
        <v>37</v>
      </c>
      <c r="E23" s="16" t="s">
        <v>37</v>
      </c>
      <c r="F23" s="14">
        <v>4.21</v>
      </c>
      <c r="G23" s="17"/>
      <c r="H23" s="17"/>
      <c r="I23" s="18">
        <f t="shared" si="0"/>
        <v>0</v>
      </c>
    </row>
    <row r="24" spans="1:9" ht="16.8" customHeight="1" x14ac:dyDescent="0.25">
      <c r="A24" s="5" t="s">
        <v>62</v>
      </c>
      <c r="B24" s="5"/>
      <c r="C24" s="5"/>
      <c r="D24" s="5" t="s">
        <v>63</v>
      </c>
      <c r="E24" s="5"/>
      <c r="F24" s="19">
        <f>SUM(F5:F23)</f>
        <v>115.85</v>
      </c>
      <c r="G24" s="20"/>
      <c r="H24" s="19">
        <f>SUM(H5:H23)</f>
        <v>0</v>
      </c>
      <c r="I24" s="21">
        <f t="shared" si="0"/>
        <v>0</v>
      </c>
    </row>
  </sheetData>
  <mergeCells count="27">
    <mergeCell ref="D23:E23"/>
    <mergeCell ref="A24:C24"/>
    <mergeCell ref="D24:E24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F48-CF09-47D5-9955-FC28B0C5805F}">
  <dimension ref="A1:I13"/>
  <sheetViews>
    <sheetView zoomScaleNormal="100" workbookViewId="0">
      <selection activeCell="D14" sqref="D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4">
        <v>3.8</v>
      </c>
      <c r="G5" s="17"/>
      <c r="H5" s="17"/>
      <c r="I5" s="18">
        <f t="shared" ref="I5:I13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19</v>
      </c>
      <c r="E6" s="16" t="s">
        <v>19</v>
      </c>
      <c r="F6" s="14">
        <v>0.7</v>
      </c>
      <c r="G6" s="14"/>
      <c r="H6" s="14"/>
      <c r="I6" s="18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4" t="s">
        <v>21</v>
      </c>
      <c r="D7" s="15" t="s">
        <v>22</v>
      </c>
      <c r="E7" s="16" t="s">
        <v>22</v>
      </c>
      <c r="F7" s="14">
        <v>0.5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26</v>
      </c>
      <c r="C8" s="14" t="s">
        <v>27</v>
      </c>
      <c r="D8" s="15" t="s">
        <v>28</v>
      </c>
      <c r="E8" s="16" t="s">
        <v>28</v>
      </c>
      <c r="F8" s="14">
        <v>1.7</v>
      </c>
      <c r="G8" s="14"/>
      <c r="H8" s="14"/>
      <c r="I8" s="18">
        <f t="shared" si="0"/>
        <v>0</v>
      </c>
    </row>
    <row r="9" spans="1:9" ht="15.6" customHeight="1" x14ac:dyDescent="0.25">
      <c r="A9" s="13">
        <v>5</v>
      </c>
      <c r="B9" s="14" t="s">
        <v>29</v>
      </c>
      <c r="C9" s="14" t="s">
        <v>30</v>
      </c>
      <c r="D9" s="15" t="s">
        <v>31</v>
      </c>
      <c r="E9" s="16" t="s">
        <v>31</v>
      </c>
      <c r="F9" s="14">
        <v>2.6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38</v>
      </c>
      <c r="C10" s="14" t="s">
        <v>39</v>
      </c>
      <c r="D10" s="15" t="s">
        <v>40</v>
      </c>
      <c r="E10" s="16" t="s">
        <v>40</v>
      </c>
      <c r="F10" s="14">
        <v>1.4</v>
      </c>
      <c r="G10" s="17"/>
      <c r="H10" s="17"/>
      <c r="I10" s="18">
        <f t="shared" si="0"/>
        <v>0</v>
      </c>
    </row>
    <row r="11" spans="1:9" ht="15.6" customHeight="1" x14ac:dyDescent="0.25">
      <c r="A11" s="13">
        <v>7</v>
      </c>
      <c r="B11" s="14" t="s">
        <v>41</v>
      </c>
      <c r="C11" s="14" t="s">
        <v>42</v>
      </c>
      <c r="D11" s="15" t="s">
        <v>43</v>
      </c>
      <c r="E11" s="16" t="s">
        <v>43</v>
      </c>
      <c r="F11" s="14">
        <v>2.4500000000000002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44</v>
      </c>
      <c r="C12" s="14" t="s">
        <v>45</v>
      </c>
      <c r="D12" s="15" t="s">
        <v>46</v>
      </c>
      <c r="E12" s="16" t="s">
        <v>46</v>
      </c>
      <c r="F12" s="14">
        <v>0.6</v>
      </c>
      <c r="G12" s="14"/>
      <c r="H12" s="14"/>
      <c r="I12" s="18">
        <f t="shared" si="0"/>
        <v>0</v>
      </c>
    </row>
    <row r="13" spans="1:9" ht="16.8" customHeight="1" x14ac:dyDescent="0.25">
      <c r="A13" s="5" t="s">
        <v>62</v>
      </c>
      <c r="B13" s="5"/>
      <c r="C13" s="5"/>
      <c r="D13" s="5" t="s">
        <v>64</v>
      </c>
      <c r="E13" s="5"/>
      <c r="F13" s="19">
        <f>SUM(F5:F12)</f>
        <v>13.750000000000002</v>
      </c>
      <c r="G13" s="20"/>
      <c r="H13" s="19">
        <f>SUM(H5:H12)</f>
        <v>0</v>
      </c>
      <c r="I13" s="21">
        <f t="shared" si="0"/>
        <v>0</v>
      </c>
    </row>
  </sheetData>
  <mergeCells count="16">
    <mergeCell ref="A13:C13"/>
    <mergeCell ref="D13:E13"/>
    <mergeCell ref="D9:E9"/>
    <mergeCell ref="D10:E10"/>
    <mergeCell ref="D11:E11"/>
    <mergeCell ref="D12:E12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7254-07EF-49A1-A595-955005EA4F13}">
  <dimension ref="A1:I12"/>
  <sheetViews>
    <sheetView zoomScaleNormal="100" workbookViewId="0">
      <selection activeCell="D13" sqref="D1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47</v>
      </c>
      <c r="C5" s="14" t="s">
        <v>48</v>
      </c>
      <c r="D5" s="15" t="s">
        <v>49</v>
      </c>
      <c r="E5" s="16" t="s">
        <v>49</v>
      </c>
      <c r="F5" s="14">
        <v>5</v>
      </c>
      <c r="G5" s="17"/>
      <c r="H5" s="17"/>
      <c r="I5" s="18">
        <f t="shared" ref="I5:I12" si="0">H5/F5</f>
        <v>0</v>
      </c>
    </row>
    <row r="6" spans="1:9" ht="15.6" customHeight="1" x14ac:dyDescent="0.25">
      <c r="A6" s="13">
        <v>2</v>
      </c>
      <c r="B6" s="14" t="s">
        <v>50</v>
      </c>
      <c r="C6" s="14" t="s">
        <v>51</v>
      </c>
      <c r="D6" s="15" t="s">
        <v>49</v>
      </c>
      <c r="E6" s="16" t="s">
        <v>49</v>
      </c>
      <c r="F6" s="14">
        <v>2.5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52</v>
      </c>
      <c r="C7" s="14" t="s">
        <v>53</v>
      </c>
      <c r="D7" s="15" t="s">
        <v>49</v>
      </c>
      <c r="E7" s="16" t="s">
        <v>49</v>
      </c>
      <c r="F7" s="14">
        <v>3.1300000000000003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54</v>
      </c>
      <c r="C8" s="14" t="s">
        <v>55</v>
      </c>
      <c r="D8" s="15" t="s">
        <v>49</v>
      </c>
      <c r="E8" s="16" t="s">
        <v>49</v>
      </c>
      <c r="F8" s="14">
        <v>3.3099999999999996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56</v>
      </c>
      <c r="C9" s="14" t="s">
        <v>57</v>
      </c>
      <c r="D9" s="15" t="s">
        <v>31</v>
      </c>
      <c r="E9" s="16" t="s">
        <v>31</v>
      </c>
      <c r="F9" s="14">
        <v>1.5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58</v>
      </c>
      <c r="C10" s="14" t="s">
        <v>59</v>
      </c>
      <c r="D10" s="15" t="s">
        <v>16</v>
      </c>
      <c r="E10" s="16" t="s">
        <v>16</v>
      </c>
      <c r="F10" s="14">
        <v>2.65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60</v>
      </c>
      <c r="C11" s="14" t="s">
        <v>61</v>
      </c>
      <c r="D11" s="15" t="s">
        <v>37</v>
      </c>
      <c r="E11" s="16" t="s">
        <v>37</v>
      </c>
      <c r="F11" s="14">
        <v>4.21</v>
      </c>
      <c r="G11" s="17"/>
      <c r="H11" s="17"/>
      <c r="I11" s="18">
        <f t="shared" si="0"/>
        <v>0</v>
      </c>
    </row>
    <row r="12" spans="1:9" ht="16.8" customHeight="1" x14ac:dyDescent="0.25">
      <c r="A12" s="5" t="s">
        <v>62</v>
      </c>
      <c r="B12" s="5"/>
      <c r="C12" s="5"/>
      <c r="D12" s="5" t="s">
        <v>65</v>
      </c>
      <c r="E12" s="5"/>
      <c r="F12" s="19">
        <f>SUM(F5:F11)</f>
        <v>22.3</v>
      </c>
      <c r="G12" s="20"/>
      <c r="H12" s="19">
        <f>SUM(H5:H11)</f>
        <v>0</v>
      </c>
      <c r="I12" s="21">
        <f t="shared" si="0"/>
        <v>0</v>
      </c>
    </row>
  </sheetData>
  <mergeCells count="15">
    <mergeCell ref="D11:E11"/>
    <mergeCell ref="A12:C12"/>
    <mergeCell ref="D12:E12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FCDF-9826-4040-82F8-0B35E77F00D8}">
  <dimension ref="A1:I9"/>
  <sheetViews>
    <sheetView tabSelected="1" zoomScaleNormal="100" workbookViewId="0">
      <selection activeCell="D10" sqref="D1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44.3</v>
      </c>
      <c r="G5" s="17"/>
      <c r="H5" s="17"/>
      <c r="I5" s="18">
        <f t="shared" ref="I5:I9" si="0">H5/F5</f>
        <v>0</v>
      </c>
    </row>
    <row r="6" spans="1:9" ht="15.6" customHeight="1" x14ac:dyDescent="0.25">
      <c r="A6" s="13">
        <v>2</v>
      </c>
      <c r="B6" s="14" t="s">
        <v>23</v>
      </c>
      <c r="C6" s="14" t="s">
        <v>24</v>
      </c>
      <c r="D6" s="15" t="s">
        <v>25</v>
      </c>
      <c r="E6" s="16" t="s">
        <v>25</v>
      </c>
      <c r="F6" s="14">
        <v>1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32</v>
      </c>
      <c r="C7" s="14" t="s">
        <v>33</v>
      </c>
      <c r="D7" s="15" t="s">
        <v>34</v>
      </c>
      <c r="E7" s="16" t="s">
        <v>34</v>
      </c>
      <c r="F7" s="14">
        <v>1.5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35</v>
      </c>
      <c r="C8" s="14" t="s">
        <v>36</v>
      </c>
      <c r="D8" s="15" t="s">
        <v>37</v>
      </c>
      <c r="E8" s="16" t="s">
        <v>37</v>
      </c>
      <c r="F8" s="14">
        <v>33</v>
      </c>
      <c r="G8" s="14"/>
      <c r="H8" s="14"/>
      <c r="I8" s="18">
        <f t="shared" si="0"/>
        <v>0</v>
      </c>
    </row>
    <row r="9" spans="1:9" ht="16.8" customHeight="1" x14ac:dyDescent="0.25">
      <c r="A9" s="5" t="s">
        <v>62</v>
      </c>
      <c r="B9" s="5"/>
      <c r="C9" s="5"/>
      <c r="D9" s="5" t="s">
        <v>66</v>
      </c>
      <c r="E9" s="5"/>
      <c r="F9" s="19">
        <f>SUM(F5:F8)</f>
        <v>79.8</v>
      </c>
      <c r="G9" s="20"/>
      <c r="H9" s="19">
        <f>SUM(H5:H8)</f>
        <v>0</v>
      </c>
      <c r="I9" s="21">
        <f t="shared" si="0"/>
        <v>0</v>
      </c>
    </row>
  </sheetData>
  <mergeCells count="12">
    <mergeCell ref="A9:C9"/>
    <mergeCell ref="D9:E9"/>
    <mergeCell ref="D7:E7"/>
    <mergeCell ref="D8:E8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Inv__Ujitjes_Peqin</vt:lpstr>
      <vt:lpstr>Rezervuar</vt:lpstr>
      <vt:lpstr>Stacion Pompimi</vt:lpstr>
      <vt:lpstr>Lume Kanale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2026-10-06T10:23:03Z</dcterms:created>
  <dcterms:modified xsi:type="dcterms:W3CDTF">2026-10-06T10:26:37Z</dcterms:modified>
</cp:coreProperties>
</file>