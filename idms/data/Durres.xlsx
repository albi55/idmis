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76B5D1DF-5556-49DA-8FA7-2BFA782E564F}" xr6:coauthVersionLast="47" xr6:coauthVersionMax="47" xr10:uidLastSave="{00000000-0000-0000-0000-000000000000}"/>
  <bookViews>
    <workbookView xWindow="-28920" yWindow="-1470" windowWidth="29040" windowHeight="15720" xr2:uid="{9A01DC28-C65C-47DD-B0B8-E317339C32FF}"/>
  </bookViews>
  <sheets>
    <sheet name="Inv__Ujitjes_Durres" sheetId="1" r:id="rId1"/>
    <sheet name="Rezervuar" sheetId="2" r:id="rId2"/>
    <sheet name="Stacion Pompimi" sheetId="3" r:id="rId3"/>
    <sheet name="Lume" sheetId="4" r:id="rId4"/>
    <sheet name="Skema Pjeserisht te transferuar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5" l="1"/>
  <c r="F7" i="5"/>
  <c r="I6" i="5"/>
  <c r="H6" i="4"/>
  <c r="I6" i="4" s="1"/>
  <c r="F6" i="4"/>
  <c r="I5" i="4"/>
  <c r="H10" i="3"/>
  <c r="F10" i="3"/>
  <c r="I9" i="3"/>
  <c r="I8" i="3"/>
  <c r="I7" i="3"/>
  <c r="I6" i="3"/>
  <c r="I5" i="3"/>
  <c r="H19" i="2"/>
  <c r="F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H31" i="1"/>
  <c r="I31" i="1" s="1"/>
  <c r="F31" i="1"/>
  <c r="I30" i="1"/>
  <c r="H24" i="1"/>
  <c r="I24" i="1" s="1"/>
  <c r="F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7" i="5" l="1"/>
  <c r="I10" i="3"/>
  <c r="I19" i="2"/>
</calcChain>
</file>

<file path=xl/sharedStrings.xml><?xml version="1.0" encoding="utf-8"?>
<sst xmlns="http://schemas.openxmlformats.org/spreadsheetml/2006/main" count="242" uniqueCount="76">
  <si>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</si>
  <si>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</si>
  <si>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</si>
  <si>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</si>
  <si>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</si>
  <si>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</si>
  <si>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</si>
  <si>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</si>
  <si>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</si>
  <si>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</si>
  <si>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</si>
  <si>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DRU - 1</t>
  </si>
  <si>
    <t>Hamallaj - Rrotull - Rushkull</t>
  </si>
  <si>
    <t xml:space="preserve">Rezervuar Lume  </t>
  </si>
  <si>
    <t>Tarin, Topana, Shkalle</t>
  </si>
  <si>
    <t>DRU - 8</t>
  </si>
  <si>
    <t>Rade Reservoir 1</t>
  </si>
  <si>
    <t>Reservuar</t>
  </si>
  <si>
    <t>Rade</t>
  </si>
  <si>
    <t>DRU - 9</t>
  </si>
  <si>
    <t>Rade Reservoir 2</t>
  </si>
  <si>
    <t>DRU - Shen</t>
  </si>
  <si>
    <t>Shenpjetri</t>
  </si>
  <si>
    <t>DRU - Ara</t>
  </si>
  <si>
    <t>Arapaj 2</t>
  </si>
  <si>
    <t>Arapaj</t>
  </si>
  <si>
    <t>DRU - 14</t>
  </si>
  <si>
    <t>Manskuri Vogel Reservoir</t>
  </si>
  <si>
    <t>Manskuri</t>
  </si>
  <si>
    <t>DRU - 15</t>
  </si>
  <si>
    <t>Bozanxhie Reservoir</t>
  </si>
  <si>
    <t>Bozanxhie</t>
  </si>
  <si>
    <t>DRU - 16</t>
  </si>
  <si>
    <t>Romanat Reservoir</t>
  </si>
  <si>
    <t>Romanat</t>
  </si>
  <si>
    <t>DRU - 17</t>
  </si>
  <si>
    <t>Memaj Reservoir</t>
  </si>
  <si>
    <t>Memaj</t>
  </si>
  <si>
    <t>DRU - 19</t>
  </si>
  <si>
    <t>Arapaj Reservoir</t>
  </si>
  <si>
    <t>DRU - 20</t>
  </si>
  <si>
    <t>Shkallnur Reservoir</t>
  </si>
  <si>
    <t>Shkallnur</t>
  </si>
  <si>
    <t>DRU - 21</t>
  </si>
  <si>
    <t>Spitall Reservoir 1</t>
  </si>
  <si>
    <t>Spitall</t>
  </si>
  <si>
    <t>DRU - 22</t>
  </si>
  <si>
    <t>Spitall Reservoir 2</t>
  </si>
  <si>
    <t>DRU - 23</t>
  </si>
  <si>
    <t>Ishem Reservoir</t>
  </si>
  <si>
    <t>Ishem</t>
  </si>
  <si>
    <t>DRU - 27</t>
  </si>
  <si>
    <t>Plepa stacion pompimi</t>
  </si>
  <si>
    <t>Stp</t>
  </si>
  <si>
    <t>Plepa</t>
  </si>
  <si>
    <t>DRU - 33</t>
  </si>
  <si>
    <t>Rrashbull 1</t>
  </si>
  <si>
    <t>Rrashbull</t>
  </si>
  <si>
    <t>DRU - 34</t>
  </si>
  <si>
    <t>Rrashbull 2</t>
  </si>
  <si>
    <t>DRU - 35</t>
  </si>
  <si>
    <t xml:space="preserve">Shkallnur  </t>
  </si>
  <si>
    <t>DRU - 36</t>
  </si>
  <si>
    <t>Xhafzotaj</t>
  </si>
  <si>
    <t>Total</t>
  </si>
  <si>
    <t>19 Skema</t>
  </si>
  <si>
    <t>Skema të pjesërisht të transferuara</t>
  </si>
  <si>
    <t>Vetëm Kanale të Dyta në Km</t>
  </si>
  <si>
    <t>DRU - 2</t>
  </si>
  <si>
    <t>Hardhisht - Xhafzotaj - Shijak - Sukth - Rrushbull - Jube</t>
  </si>
  <si>
    <t xml:space="preserve">Lumi, Rezervuar </t>
  </si>
  <si>
    <t>Erzen, Xhafzotaj, Likesh, Borce, Rubjeke</t>
  </si>
  <si>
    <t>1 Skemë</t>
  </si>
  <si>
    <t>14 Skema</t>
  </si>
  <si>
    <t>5 Skema</t>
  </si>
  <si>
    <t>1 Skeme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</si>
</sst>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Border="0" applyProtection="0"/>
  </cellStyleXfs>
  <cellXfs count="26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2" applyFont="1" applyBorder="1" applyAlignment="1">
      <alignment wrapText="1"/>
    </xf>
    <xf numFmtId="0" fontId="3" fillId="0" borderId="1" xfId="2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0" fontId="6" fillId="0" borderId="1" xfId="1" applyNumberFormat="1" applyFont="1" applyBorder="1"/>
    <xf numFmtId="0" fontId="3" fillId="0" borderId="1" xfId="2" applyFont="1" applyBorder="1" applyAlignment="1">
      <alignment horizontal="center" wrapText="1"/>
    </xf>
    <xf numFmtId="0" fontId="4" fillId="2" borderId="1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1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5" fillId="0" borderId="6" xfId="2" applyBorder="1" applyAlignment="1">
      <alignment vertical="center" wrapText="1"/>
    </xf>
  </cellXfs>
  <cellStyles count="3">
    <cellStyle name="Normal" xfId="0" builtinId="0"/>
    <cellStyle name="Normal 2" xfId="2" xr:uid="{955708EE-0050-4956-8B98-8D270A66F5B9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294C-FAA4-4F56-8631-D5DEA7C43653}">
  <dimension ref="A1:I31"/>
  <sheetViews>
    <sheetView tabSelected="1" zoomScaleNormal="100" workbookViewId="0">
      <selection activeCell="J28" sqref="J28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27.6" x14ac:dyDescent="0.25">
      <c r="A5" s="13">
        <v>1</v>
      </c>
      <c r="B5" s="14" t="s">
        <v>11</v>
      </c>
      <c r="C5" s="14" t="s">
        <v>12</v>
      </c>
      <c r="D5" s="14" t="s">
        <v>13</v>
      </c>
      <c r="E5" s="14" t="s">
        <v>14</v>
      </c>
      <c r="F5" s="15">
        <v>92.2</v>
      </c>
      <c r="G5" s="16"/>
      <c r="H5" s="16"/>
      <c r="I5" s="17">
        <f>H5/F5</f>
        <v>0</v>
      </c>
    </row>
    <row r="6" spans="1:9" ht="15.6" customHeight="1" x14ac:dyDescent="0.25">
      <c r="A6" s="13">
        <v>2</v>
      </c>
      <c r="B6" s="14" t="s">
        <v>15</v>
      </c>
      <c r="C6" s="14" t="s">
        <v>16</v>
      </c>
      <c r="D6" s="14" t="s">
        <v>17</v>
      </c>
      <c r="E6" s="14" t="s">
        <v>18</v>
      </c>
      <c r="F6" s="18">
        <v>2</v>
      </c>
      <c r="G6" s="16"/>
      <c r="H6" s="16"/>
      <c r="I6" s="17">
        <f t="shared" ref="I6:I24" si="0">H6/F6</f>
        <v>0</v>
      </c>
    </row>
    <row r="7" spans="1:9" ht="15.6" customHeight="1" x14ac:dyDescent="0.25">
      <c r="A7" s="13">
        <v>3</v>
      </c>
      <c r="B7" s="14" t="s">
        <v>19</v>
      </c>
      <c r="C7" s="14" t="s">
        <v>20</v>
      </c>
      <c r="D7" s="14" t="s">
        <v>17</v>
      </c>
      <c r="E7" s="14" t="s">
        <v>18</v>
      </c>
      <c r="F7" s="18">
        <v>3.5</v>
      </c>
      <c r="G7" s="18"/>
      <c r="H7" s="18"/>
      <c r="I7" s="17">
        <f t="shared" si="0"/>
        <v>0</v>
      </c>
    </row>
    <row r="8" spans="1:9" ht="15.6" customHeight="1" x14ac:dyDescent="0.25">
      <c r="A8" s="13">
        <v>4</v>
      </c>
      <c r="B8" s="14" t="s">
        <v>21</v>
      </c>
      <c r="C8" s="14" t="s">
        <v>22</v>
      </c>
      <c r="D8" s="14" t="s">
        <v>17</v>
      </c>
      <c r="E8" s="14" t="s">
        <v>22</v>
      </c>
      <c r="F8" s="18">
        <v>0</v>
      </c>
      <c r="G8" s="16"/>
      <c r="H8" s="16"/>
      <c r="I8" s="17" t="e">
        <f t="shared" si="0"/>
        <v>#DIV/0!</v>
      </c>
    </row>
    <row r="9" spans="1:9" ht="15.6" customHeight="1" x14ac:dyDescent="0.25">
      <c r="A9" s="13">
        <v>5</v>
      </c>
      <c r="B9" s="14" t="s">
        <v>23</v>
      </c>
      <c r="C9" s="14" t="s">
        <v>24</v>
      </c>
      <c r="D9" s="14" t="s">
        <v>17</v>
      </c>
      <c r="E9" s="14" t="s">
        <v>25</v>
      </c>
      <c r="F9" s="18">
        <v>1.6</v>
      </c>
      <c r="G9" s="16"/>
      <c r="H9" s="16"/>
      <c r="I9" s="17">
        <f t="shared" si="0"/>
        <v>0</v>
      </c>
    </row>
    <row r="10" spans="1:9" ht="15.6" customHeight="1" x14ac:dyDescent="0.25">
      <c r="A10" s="13">
        <v>6</v>
      </c>
      <c r="B10" s="14" t="s">
        <v>26</v>
      </c>
      <c r="C10" s="14" t="s">
        <v>27</v>
      </c>
      <c r="D10" s="14" t="s">
        <v>17</v>
      </c>
      <c r="E10" s="14" t="s">
        <v>28</v>
      </c>
      <c r="F10" s="18">
        <v>1.6</v>
      </c>
      <c r="G10" s="18"/>
      <c r="H10" s="18"/>
      <c r="I10" s="17">
        <f t="shared" si="0"/>
        <v>0</v>
      </c>
    </row>
    <row r="11" spans="1:9" ht="15.6" customHeight="1" x14ac:dyDescent="0.25">
      <c r="A11" s="13">
        <v>7</v>
      </c>
      <c r="B11" s="14" t="s">
        <v>29</v>
      </c>
      <c r="C11" s="14" t="s">
        <v>30</v>
      </c>
      <c r="D11" s="14" t="s">
        <v>17</v>
      </c>
      <c r="E11" s="14" t="s">
        <v>31</v>
      </c>
      <c r="F11" s="18">
        <v>2.5</v>
      </c>
      <c r="G11" s="16"/>
      <c r="H11" s="16"/>
      <c r="I11" s="17">
        <f t="shared" si="0"/>
        <v>0</v>
      </c>
    </row>
    <row r="12" spans="1:9" ht="15.6" customHeight="1" x14ac:dyDescent="0.25">
      <c r="A12" s="13">
        <v>8</v>
      </c>
      <c r="B12" s="14" t="s">
        <v>32</v>
      </c>
      <c r="C12" s="14" t="s">
        <v>33</v>
      </c>
      <c r="D12" s="14" t="s">
        <v>17</v>
      </c>
      <c r="E12" s="14" t="s">
        <v>34</v>
      </c>
      <c r="F12" s="18">
        <v>2</v>
      </c>
      <c r="G12" s="16"/>
      <c r="H12" s="16"/>
      <c r="I12" s="17">
        <f t="shared" si="0"/>
        <v>0</v>
      </c>
    </row>
    <row r="13" spans="1:9" ht="15.6" customHeight="1" x14ac:dyDescent="0.25">
      <c r="A13" s="13">
        <v>9</v>
      </c>
      <c r="B13" s="14" t="s">
        <v>35</v>
      </c>
      <c r="C13" s="14" t="s">
        <v>36</v>
      </c>
      <c r="D13" s="14" t="s">
        <v>17</v>
      </c>
      <c r="E13" s="14" t="s">
        <v>37</v>
      </c>
      <c r="F13" s="18">
        <v>1.6</v>
      </c>
      <c r="G13" s="18"/>
      <c r="H13" s="18"/>
      <c r="I13" s="17">
        <f t="shared" si="0"/>
        <v>0</v>
      </c>
    </row>
    <row r="14" spans="1:9" ht="15.6" customHeight="1" x14ac:dyDescent="0.25">
      <c r="A14" s="13">
        <v>10</v>
      </c>
      <c r="B14" s="14" t="s">
        <v>38</v>
      </c>
      <c r="C14" s="14" t="s">
        <v>39</v>
      </c>
      <c r="D14" s="14" t="s">
        <v>17</v>
      </c>
      <c r="E14" s="14" t="s">
        <v>25</v>
      </c>
      <c r="F14" s="18">
        <v>1</v>
      </c>
      <c r="G14" s="16"/>
      <c r="H14" s="16"/>
      <c r="I14" s="17">
        <f t="shared" si="0"/>
        <v>0</v>
      </c>
    </row>
    <row r="15" spans="1:9" ht="15.6" customHeight="1" x14ac:dyDescent="0.25">
      <c r="A15" s="13">
        <v>11</v>
      </c>
      <c r="B15" s="14" t="s">
        <v>40</v>
      </c>
      <c r="C15" s="14" t="s">
        <v>41</v>
      </c>
      <c r="D15" s="14" t="s">
        <v>17</v>
      </c>
      <c r="E15" s="14" t="s">
        <v>42</v>
      </c>
      <c r="F15" s="18">
        <v>9</v>
      </c>
      <c r="G15" s="16"/>
      <c r="H15" s="16"/>
      <c r="I15" s="17">
        <f t="shared" si="0"/>
        <v>0</v>
      </c>
    </row>
    <row r="16" spans="1:9" ht="15.6" customHeight="1" x14ac:dyDescent="0.25">
      <c r="A16" s="13">
        <v>12</v>
      </c>
      <c r="B16" s="14" t="s">
        <v>43</v>
      </c>
      <c r="C16" s="14" t="s">
        <v>44</v>
      </c>
      <c r="D16" s="14" t="s">
        <v>17</v>
      </c>
      <c r="E16" s="14" t="s">
        <v>45</v>
      </c>
      <c r="F16" s="18">
        <v>3</v>
      </c>
      <c r="G16" s="18"/>
      <c r="H16" s="18"/>
      <c r="I16" s="17">
        <f t="shared" si="0"/>
        <v>0</v>
      </c>
    </row>
    <row r="17" spans="1:9" ht="15.6" customHeight="1" x14ac:dyDescent="0.25">
      <c r="A17" s="13">
        <v>13</v>
      </c>
      <c r="B17" s="14" t="s">
        <v>46</v>
      </c>
      <c r="C17" s="14" t="s">
        <v>47</v>
      </c>
      <c r="D17" s="14" t="s">
        <v>17</v>
      </c>
      <c r="E17" s="14" t="s">
        <v>45</v>
      </c>
      <c r="F17" s="18">
        <v>5</v>
      </c>
      <c r="G17" s="16"/>
      <c r="H17" s="16"/>
      <c r="I17" s="17">
        <f t="shared" si="0"/>
        <v>0</v>
      </c>
    </row>
    <row r="18" spans="1:9" ht="15.6" customHeight="1" x14ac:dyDescent="0.25">
      <c r="A18" s="13">
        <v>14</v>
      </c>
      <c r="B18" s="14" t="s">
        <v>48</v>
      </c>
      <c r="C18" s="14" t="s">
        <v>49</v>
      </c>
      <c r="D18" s="14" t="s">
        <v>17</v>
      </c>
      <c r="E18" s="14" t="s">
        <v>50</v>
      </c>
      <c r="F18" s="18">
        <v>2.5</v>
      </c>
      <c r="G18" s="16"/>
      <c r="H18" s="16"/>
      <c r="I18" s="17">
        <f t="shared" si="0"/>
        <v>0</v>
      </c>
    </row>
    <row r="19" spans="1:9" ht="15.6" customHeight="1" x14ac:dyDescent="0.25">
      <c r="A19" s="13">
        <v>15</v>
      </c>
      <c r="B19" s="14" t="s">
        <v>51</v>
      </c>
      <c r="C19" s="14" t="s">
        <v>52</v>
      </c>
      <c r="D19" s="14" t="s">
        <v>53</v>
      </c>
      <c r="E19" s="14" t="s">
        <v>54</v>
      </c>
      <c r="F19" s="18">
        <v>0</v>
      </c>
      <c r="G19" s="18"/>
      <c r="H19" s="18"/>
      <c r="I19" s="17" t="e">
        <f t="shared" si="0"/>
        <v>#DIV/0!</v>
      </c>
    </row>
    <row r="20" spans="1:9" ht="15.6" customHeight="1" x14ac:dyDescent="0.25">
      <c r="A20" s="13">
        <v>16</v>
      </c>
      <c r="B20" s="14" t="s">
        <v>55</v>
      </c>
      <c r="C20" s="14" t="s">
        <v>56</v>
      </c>
      <c r="D20" s="14" t="s">
        <v>53</v>
      </c>
      <c r="E20" s="14" t="s">
        <v>57</v>
      </c>
      <c r="F20" s="18">
        <v>0</v>
      </c>
      <c r="G20" s="16"/>
      <c r="H20" s="16"/>
      <c r="I20" s="17" t="e">
        <f t="shared" si="0"/>
        <v>#DIV/0!</v>
      </c>
    </row>
    <row r="21" spans="1:9" ht="15.6" customHeight="1" x14ac:dyDescent="0.25">
      <c r="A21" s="13">
        <v>17</v>
      </c>
      <c r="B21" s="14" t="s">
        <v>58</v>
      </c>
      <c r="C21" s="14" t="s">
        <v>59</v>
      </c>
      <c r="D21" s="14" t="s">
        <v>53</v>
      </c>
      <c r="E21" s="14" t="s">
        <v>57</v>
      </c>
      <c r="F21" s="18">
        <v>0</v>
      </c>
      <c r="G21" s="16"/>
      <c r="H21" s="16"/>
      <c r="I21" s="17" t="e">
        <f t="shared" si="0"/>
        <v>#DIV/0!</v>
      </c>
    </row>
    <row r="22" spans="1:9" ht="15.6" customHeight="1" x14ac:dyDescent="0.25">
      <c r="A22" s="13">
        <v>18</v>
      </c>
      <c r="B22" s="14" t="s">
        <v>60</v>
      </c>
      <c r="C22" s="14" t="s">
        <v>61</v>
      </c>
      <c r="D22" s="14" t="s">
        <v>53</v>
      </c>
      <c r="E22" s="14" t="s">
        <v>42</v>
      </c>
      <c r="F22" s="18">
        <v>0</v>
      </c>
      <c r="G22" s="18"/>
      <c r="H22" s="18"/>
      <c r="I22" s="17" t="e">
        <f t="shared" si="0"/>
        <v>#DIV/0!</v>
      </c>
    </row>
    <row r="23" spans="1:9" ht="15.6" customHeight="1" x14ac:dyDescent="0.25">
      <c r="A23" s="13">
        <v>19</v>
      </c>
      <c r="B23" s="14" t="s">
        <v>62</v>
      </c>
      <c r="C23" s="14" t="s">
        <v>63</v>
      </c>
      <c r="D23" s="14" t="s">
        <v>53</v>
      </c>
      <c r="E23" s="14" t="s">
        <v>63</v>
      </c>
      <c r="F23" s="18">
        <v>0</v>
      </c>
      <c r="G23" s="16"/>
      <c r="H23" s="16"/>
      <c r="I23" s="17" t="e">
        <f t="shared" si="0"/>
        <v>#DIV/0!</v>
      </c>
    </row>
    <row r="24" spans="1:9" ht="16.8" customHeight="1" x14ac:dyDescent="0.25">
      <c r="A24" s="5" t="s">
        <v>64</v>
      </c>
      <c r="B24" s="5"/>
      <c r="C24" s="5"/>
      <c r="D24" s="5" t="s">
        <v>65</v>
      </c>
      <c r="E24" s="5"/>
      <c r="F24" s="19">
        <f>SUM(F5:F23)</f>
        <v>127.49999999999999</v>
      </c>
      <c r="G24" s="20"/>
      <c r="H24" s="19">
        <f>SUM(H5:H23)</f>
        <v>0</v>
      </c>
      <c r="I24" s="21">
        <f t="shared" si="0"/>
        <v>0</v>
      </c>
    </row>
    <row r="26" spans="1:9" ht="15" x14ac:dyDescent="0.25">
      <c r="A26" s="1" t="s">
        <v>66</v>
      </c>
    </row>
    <row r="28" spans="1:9" s="23" customFormat="1" ht="17.399999999999999" customHeight="1" x14ac:dyDescent="0.25">
      <c r="A28" s="5" t="s">
        <v>1</v>
      </c>
      <c r="B28" s="22" t="s">
        <v>2</v>
      </c>
      <c r="C28" s="22"/>
      <c r="D28" s="7" t="s">
        <v>3</v>
      </c>
      <c r="E28" s="8"/>
      <c r="F28" s="22" t="s">
        <v>67</v>
      </c>
      <c r="G28" s="6" t="s">
        <v>5</v>
      </c>
      <c r="H28" s="5" t="s">
        <v>6</v>
      </c>
      <c r="I28" s="5"/>
    </row>
    <row r="29" spans="1:9" s="23" customFormat="1" ht="17.399999999999999" customHeight="1" x14ac:dyDescent="0.25">
      <c r="A29" s="5"/>
      <c r="B29" s="10" t="s">
        <v>7</v>
      </c>
      <c r="C29" s="10" t="s">
        <v>8</v>
      </c>
      <c r="D29" s="11"/>
      <c r="E29" s="12"/>
      <c r="F29" s="22"/>
      <c r="G29" s="6"/>
      <c r="H29" s="10" t="s">
        <v>9</v>
      </c>
      <c r="I29" s="10" t="s">
        <v>10</v>
      </c>
    </row>
    <row r="30" spans="1:9" ht="39.6" x14ac:dyDescent="0.25">
      <c r="A30" s="24">
        <v>1</v>
      </c>
      <c r="B30" s="25" t="s">
        <v>68</v>
      </c>
      <c r="C30" s="25" t="s">
        <v>69</v>
      </c>
      <c r="D30" s="25" t="s">
        <v>70</v>
      </c>
      <c r="E30" s="25" t="s">
        <v>71</v>
      </c>
      <c r="F30" s="15">
        <v>71</v>
      </c>
      <c r="G30" s="16"/>
      <c r="H30" s="16"/>
      <c r="I30" s="17">
        <f t="shared" ref="I30:I31" si="1">H30/F30</f>
        <v>0</v>
      </c>
    </row>
    <row r="31" spans="1:9" ht="16.8" customHeight="1" x14ac:dyDescent="0.25">
      <c r="A31" s="5" t="s">
        <v>64</v>
      </c>
      <c r="B31" s="5"/>
      <c r="C31" s="5"/>
      <c r="D31" s="5" t="s">
        <v>72</v>
      </c>
      <c r="E31" s="5"/>
      <c r="F31" s="19">
        <f>SUM(F30:F30)</f>
        <v>71</v>
      </c>
      <c r="G31" s="20"/>
      <c r="H31" s="19">
        <f>SUM(H30:H30)</f>
        <v>0</v>
      </c>
      <c r="I31" s="21">
        <f t="shared" si="1"/>
        <v>0</v>
      </c>
    </row>
  </sheetData>
  <mergeCells count="16">
    <mergeCell ref="G28:G29"/>
    <mergeCell ref="H28:I28"/>
    <mergeCell ref="A31:C31"/>
    <mergeCell ref="D31:E31"/>
    <mergeCell ref="A24:C24"/>
    <mergeCell ref="D24:E24"/>
    <mergeCell ref="A28:A29"/>
    <mergeCell ref="B28:C28"/>
    <mergeCell ref="D28:E29"/>
    <mergeCell ref="F28:F29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6BFDD-2943-436F-89FB-A210BB645380}">
  <dimension ref="A1:I19"/>
  <sheetViews>
    <sheetView zoomScaleNormal="100" workbookViewId="0">
      <selection activeCell="D20" sqref="D20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27.6" x14ac:dyDescent="0.25">
      <c r="A5" s="13">
        <v>1</v>
      </c>
      <c r="B5" s="14" t="s">
        <v>11</v>
      </c>
      <c r="C5" s="14" t="s">
        <v>12</v>
      </c>
      <c r="D5" s="14" t="s">
        <v>13</v>
      </c>
      <c r="E5" s="14" t="s">
        <v>14</v>
      </c>
      <c r="F5" s="15">
        <v>92.2</v>
      </c>
      <c r="G5" s="16"/>
      <c r="H5" s="16"/>
      <c r="I5" s="17">
        <f>H5/F5</f>
        <v>0</v>
      </c>
    </row>
    <row r="6" spans="1:9" ht="15.6" customHeight="1" x14ac:dyDescent="0.25">
      <c r="A6" s="13">
        <v>2</v>
      </c>
      <c r="B6" s="14" t="s">
        <v>15</v>
      </c>
      <c r="C6" s="14" t="s">
        <v>16</v>
      </c>
      <c r="D6" s="14" t="s">
        <v>17</v>
      </c>
      <c r="E6" s="14" t="s">
        <v>18</v>
      </c>
      <c r="F6" s="18">
        <v>2</v>
      </c>
      <c r="G6" s="16"/>
      <c r="H6" s="16"/>
      <c r="I6" s="17">
        <f t="shared" ref="I6:I19" si="0">H6/F6</f>
        <v>0</v>
      </c>
    </row>
    <row r="7" spans="1:9" ht="15.6" customHeight="1" x14ac:dyDescent="0.25">
      <c r="A7" s="13">
        <v>3</v>
      </c>
      <c r="B7" s="14" t="s">
        <v>19</v>
      </c>
      <c r="C7" s="14" t="s">
        <v>20</v>
      </c>
      <c r="D7" s="14" t="s">
        <v>17</v>
      </c>
      <c r="E7" s="14" t="s">
        <v>18</v>
      </c>
      <c r="F7" s="18">
        <v>3.5</v>
      </c>
      <c r="G7" s="18"/>
      <c r="H7" s="18"/>
      <c r="I7" s="17">
        <f t="shared" si="0"/>
        <v>0</v>
      </c>
    </row>
    <row r="8" spans="1:9" ht="15.6" customHeight="1" x14ac:dyDescent="0.25">
      <c r="A8" s="13">
        <v>4</v>
      </c>
      <c r="B8" s="14" t="s">
        <v>21</v>
      </c>
      <c r="C8" s="14" t="s">
        <v>22</v>
      </c>
      <c r="D8" s="14" t="s">
        <v>17</v>
      </c>
      <c r="E8" s="14" t="s">
        <v>22</v>
      </c>
      <c r="F8" s="18">
        <v>0</v>
      </c>
      <c r="G8" s="16"/>
      <c r="H8" s="16"/>
      <c r="I8" s="17" t="e">
        <f t="shared" si="0"/>
        <v>#DIV/0!</v>
      </c>
    </row>
    <row r="9" spans="1:9" ht="15.6" customHeight="1" x14ac:dyDescent="0.25">
      <c r="A9" s="13">
        <v>5</v>
      </c>
      <c r="B9" s="14" t="s">
        <v>23</v>
      </c>
      <c r="C9" s="14" t="s">
        <v>24</v>
      </c>
      <c r="D9" s="14" t="s">
        <v>17</v>
      </c>
      <c r="E9" s="14" t="s">
        <v>25</v>
      </c>
      <c r="F9" s="18">
        <v>1.6</v>
      </c>
      <c r="G9" s="16"/>
      <c r="H9" s="16"/>
      <c r="I9" s="17">
        <f t="shared" si="0"/>
        <v>0</v>
      </c>
    </row>
    <row r="10" spans="1:9" ht="15.6" customHeight="1" x14ac:dyDescent="0.25">
      <c r="A10" s="13">
        <v>6</v>
      </c>
      <c r="B10" s="14" t="s">
        <v>26</v>
      </c>
      <c r="C10" s="14" t="s">
        <v>27</v>
      </c>
      <c r="D10" s="14" t="s">
        <v>17</v>
      </c>
      <c r="E10" s="14" t="s">
        <v>28</v>
      </c>
      <c r="F10" s="18">
        <v>1.6</v>
      </c>
      <c r="G10" s="18"/>
      <c r="H10" s="18"/>
      <c r="I10" s="17">
        <f t="shared" si="0"/>
        <v>0</v>
      </c>
    </row>
    <row r="11" spans="1:9" ht="15.6" customHeight="1" x14ac:dyDescent="0.25">
      <c r="A11" s="13">
        <v>7</v>
      </c>
      <c r="B11" s="14" t="s">
        <v>29</v>
      </c>
      <c r="C11" s="14" t="s">
        <v>30</v>
      </c>
      <c r="D11" s="14" t="s">
        <v>17</v>
      </c>
      <c r="E11" s="14" t="s">
        <v>31</v>
      </c>
      <c r="F11" s="18">
        <v>2.5</v>
      </c>
      <c r="G11" s="16"/>
      <c r="H11" s="16"/>
      <c r="I11" s="17">
        <f t="shared" si="0"/>
        <v>0</v>
      </c>
    </row>
    <row r="12" spans="1:9" ht="15.6" customHeight="1" x14ac:dyDescent="0.25">
      <c r="A12" s="13">
        <v>8</v>
      </c>
      <c r="B12" s="14" t="s">
        <v>32</v>
      </c>
      <c r="C12" s="14" t="s">
        <v>33</v>
      </c>
      <c r="D12" s="14" t="s">
        <v>17</v>
      </c>
      <c r="E12" s="14" t="s">
        <v>34</v>
      </c>
      <c r="F12" s="18">
        <v>2</v>
      </c>
      <c r="G12" s="16"/>
      <c r="H12" s="16"/>
      <c r="I12" s="17">
        <f t="shared" si="0"/>
        <v>0</v>
      </c>
    </row>
    <row r="13" spans="1:9" ht="15.6" customHeight="1" x14ac:dyDescent="0.25">
      <c r="A13" s="13">
        <v>9</v>
      </c>
      <c r="B13" s="14" t="s">
        <v>35</v>
      </c>
      <c r="C13" s="14" t="s">
        <v>36</v>
      </c>
      <c r="D13" s="14" t="s">
        <v>17</v>
      </c>
      <c r="E13" s="14" t="s">
        <v>37</v>
      </c>
      <c r="F13" s="18">
        <v>1.6</v>
      </c>
      <c r="G13" s="18"/>
      <c r="H13" s="18"/>
      <c r="I13" s="17">
        <f t="shared" si="0"/>
        <v>0</v>
      </c>
    </row>
    <row r="14" spans="1:9" ht="15.6" customHeight="1" x14ac:dyDescent="0.25">
      <c r="A14" s="13">
        <v>10</v>
      </c>
      <c r="B14" s="14" t="s">
        <v>38</v>
      </c>
      <c r="C14" s="14" t="s">
        <v>39</v>
      </c>
      <c r="D14" s="14" t="s">
        <v>17</v>
      </c>
      <c r="E14" s="14" t="s">
        <v>25</v>
      </c>
      <c r="F14" s="18">
        <v>1</v>
      </c>
      <c r="G14" s="16"/>
      <c r="H14" s="16"/>
      <c r="I14" s="17">
        <f t="shared" si="0"/>
        <v>0</v>
      </c>
    </row>
    <row r="15" spans="1:9" ht="15.6" customHeight="1" x14ac:dyDescent="0.25">
      <c r="A15" s="13">
        <v>11</v>
      </c>
      <c r="B15" s="14" t="s">
        <v>40</v>
      </c>
      <c r="C15" s="14" t="s">
        <v>41</v>
      </c>
      <c r="D15" s="14" t="s">
        <v>17</v>
      </c>
      <c r="E15" s="14" t="s">
        <v>42</v>
      </c>
      <c r="F15" s="18">
        <v>9</v>
      </c>
      <c r="G15" s="16"/>
      <c r="H15" s="16"/>
      <c r="I15" s="17">
        <f t="shared" si="0"/>
        <v>0</v>
      </c>
    </row>
    <row r="16" spans="1:9" ht="15.6" customHeight="1" x14ac:dyDescent="0.25">
      <c r="A16" s="13">
        <v>12</v>
      </c>
      <c r="B16" s="14" t="s">
        <v>43</v>
      </c>
      <c r="C16" s="14" t="s">
        <v>44</v>
      </c>
      <c r="D16" s="14" t="s">
        <v>17</v>
      </c>
      <c r="E16" s="14" t="s">
        <v>45</v>
      </c>
      <c r="F16" s="18">
        <v>3</v>
      </c>
      <c r="G16" s="18"/>
      <c r="H16" s="18"/>
      <c r="I16" s="17">
        <f t="shared" si="0"/>
        <v>0</v>
      </c>
    </row>
    <row r="17" spans="1:9" ht="15.6" customHeight="1" x14ac:dyDescent="0.25">
      <c r="A17" s="13">
        <v>13</v>
      </c>
      <c r="B17" s="14" t="s">
        <v>46</v>
      </c>
      <c r="C17" s="14" t="s">
        <v>47</v>
      </c>
      <c r="D17" s="14" t="s">
        <v>17</v>
      </c>
      <c r="E17" s="14" t="s">
        <v>45</v>
      </c>
      <c r="F17" s="18">
        <v>5</v>
      </c>
      <c r="G17" s="16"/>
      <c r="H17" s="16"/>
      <c r="I17" s="17">
        <f t="shared" si="0"/>
        <v>0</v>
      </c>
    </row>
    <row r="18" spans="1:9" ht="15.6" customHeight="1" x14ac:dyDescent="0.25">
      <c r="A18" s="13">
        <v>14</v>
      </c>
      <c r="B18" s="14" t="s">
        <v>48</v>
      </c>
      <c r="C18" s="14" t="s">
        <v>49</v>
      </c>
      <c r="D18" s="14" t="s">
        <v>17</v>
      </c>
      <c r="E18" s="14" t="s">
        <v>50</v>
      </c>
      <c r="F18" s="18">
        <v>2.5</v>
      </c>
      <c r="G18" s="16"/>
      <c r="H18" s="16"/>
      <c r="I18" s="17">
        <f t="shared" si="0"/>
        <v>0</v>
      </c>
    </row>
    <row r="19" spans="1:9" ht="16.8" customHeight="1" x14ac:dyDescent="0.25">
      <c r="A19" s="5" t="s">
        <v>64</v>
      </c>
      <c r="B19" s="5"/>
      <c r="C19" s="5"/>
      <c r="D19" s="5" t="s">
        <v>73</v>
      </c>
      <c r="E19" s="5"/>
      <c r="F19" s="19">
        <f>SUM(F5:F18)</f>
        <v>127.49999999999999</v>
      </c>
      <c r="G19" s="20"/>
      <c r="H19" s="19">
        <f>SUM(H5:H18)</f>
        <v>0</v>
      </c>
      <c r="I19" s="21">
        <f t="shared" si="0"/>
        <v>0</v>
      </c>
    </row>
  </sheetData>
  <mergeCells count="8">
    <mergeCell ref="A19:C19"/>
    <mergeCell ref="D19:E19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E022F-7CBD-406E-8B55-D478511E5C2D}">
  <dimension ref="A1:I10"/>
  <sheetViews>
    <sheetView zoomScaleNormal="100" workbookViewId="0">
      <selection activeCell="C23" sqref="C23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51</v>
      </c>
      <c r="C5" s="14" t="s">
        <v>52</v>
      </c>
      <c r="D5" s="14" t="s">
        <v>53</v>
      </c>
      <c r="E5" s="14" t="s">
        <v>54</v>
      </c>
      <c r="F5" s="18">
        <v>0</v>
      </c>
      <c r="G5" s="18"/>
      <c r="H5" s="18"/>
      <c r="I5" s="17" t="e">
        <f t="shared" ref="I5:I10" si="0">H5/F5</f>
        <v>#DIV/0!</v>
      </c>
    </row>
    <row r="6" spans="1:9" ht="15.6" customHeight="1" x14ac:dyDescent="0.25">
      <c r="A6" s="13">
        <v>2</v>
      </c>
      <c r="B6" s="14" t="s">
        <v>55</v>
      </c>
      <c r="C6" s="14" t="s">
        <v>56</v>
      </c>
      <c r="D6" s="14" t="s">
        <v>53</v>
      </c>
      <c r="E6" s="14" t="s">
        <v>57</v>
      </c>
      <c r="F6" s="18">
        <v>0</v>
      </c>
      <c r="G6" s="16"/>
      <c r="H6" s="16"/>
      <c r="I6" s="17" t="e">
        <f t="shared" si="0"/>
        <v>#DIV/0!</v>
      </c>
    </row>
    <row r="7" spans="1:9" ht="15.6" customHeight="1" x14ac:dyDescent="0.25">
      <c r="A7" s="13">
        <v>3</v>
      </c>
      <c r="B7" s="14" t="s">
        <v>58</v>
      </c>
      <c r="C7" s="14" t="s">
        <v>59</v>
      </c>
      <c r="D7" s="14" t="s">
        <v>53</v>
      </c>
      <c r="E7" s="14" t="s">
        <v>57</v>
      </c>
      <c r="F7" s="18">
        <v>0</v>
      </c>
      <c r="G7" s="16"/>
      <c r="H7" s="16"/>
      <c r="I7" s="17" t="e">
        <f t="shared" si="0"/>
        <v>#DIV/0!</v>
      </c>
    </row>
    <row r="8" spans="1:9" ht="15.6" customHeight="1" x14ac:dyDescent="0.25">
      <c r="A8" s="13">
        <v>4</v>
      </c>
      <c r="B8" s="14" t="s">
        <v>60</v>
      </c>
      <c r="C8" s="14" t="s">
        <v>61</v>
      </c>
      <c r="D8" s="14" t="s">
        <v>53</v>
      </c>
      <c r="E8" s="14" t="s">
        <v>42</v>
      </c>
      <c r="F8" s="18">
        <v>0</v>
      </c>
      <c r="G8" s="18"/>
      <c r="H8" s="18"/>
      <c r="I8" s="17" t="e">
        <f t="shared" si="0"/>
        <v>#DIV/0!</v>
      </c>
    </row>
    <row r="9" spans="1:9" ht="15.6" customHeight="1" x14ac:dyDescent="0.25">
      <c r="A9" s="13">
        <v>5</v>
      </c>
      <c r="B9" s="14" t="s">
        <v>62</v>
      </c>
      <c r="C9" s="14" t="s">
        <v>63</v>
      </c>
      <c r="D9" s="14" t="s">
        <v>53</v>
      </c>
      <c r="E9" s="14" t="s">
        <v>63</v>
      </c>
      <c r="F9" s="18">
        <v>0</v>
      </c>
      <c r="G9" s="16"/>
      <c r="H9" s="16"/>
      <c r="I9" s="17" t="e">
        <f t="shared" si="0"/>
        <v>#DIV/0!</v>
      </c>
    </row>
    <row r="10" spans="1:9" ht="16.8" customHeight="1" x14ac:dyDescent="0.25">
      <c r="A10" s="5" t="s">
        <v>64</v>
      </c>
      <c r="B10" s="5"/>
      <c r="C10" s="5"/>
      <c r="D10" s="5" t="s">
        <v>74</v>
      </c>
      <c r="E10" s="5"/>
      <c r="F10" s="19">
        <f>SUM(F5:F9)</f>
        <v>0</v>
      </c>
      <c r="G10" s="20"/>
      <c r="H10" s="19">
        <f>SUM(H5:H9)</f>
        <v>0</v>
      </c>
      <c r="I10" s="21" t="e">
        <f t="shared" si="0"/>
        <v>#DIV/0!</v>
      </c>
    </row>
  </sheetData>
  <mergeCells count="8">
    <mergeCell ref="A10:C10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97404-654E-45FE-875D-269E4B87A3B7}">
  <dimension ref="A1:I6"/>
  <sheetViews>
    <sheetView zoomScaleNormal="100" workbookViewId="0">
      <selection activeCell="D7" sqref="D7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27.6" x14ac:dyDescent="0.25">
      <c r="A5" s="13">
        <v>1</v>
      </c>
      <c r="B5" s="14" t="s">
        <v>11</v>
      </c>
      <c r="C5" s="14" t="s">
        <v>12</v>
      </c>
      <c r="D5" s="14" t="s">
        <v>13</v>
      </c>
      <c r="E5" s="14" t="s">
        <v>14</v>
      </c>
      <c r="F5" s="15">
        <v>92.2</v>
      </c>
      <c r="G5" s="16"/>
      <c r="H5" s="16"/>
      <c r="I5" s="17">
        <f>H5/F5</f>
        <v>0</v>
      </c>
    </row>
    <row r="6" spans="1:9" ht="16.8" customHeight="1" x14ac:dyDescent="0.25">
      <c r="A6" s="5" t="s">
        <v>64</v>
      </c>
      <c r="B6" s="5"/>
      <c r="C6" s="5"/>
      <c r="D6" s="5" t="s">
        <v>75</v>
      </c>
      <c r="E6" s="5"/>
      <c r="F6" s="19">
        <f>SUM(F5:F5)</f>
        <v>92.2</v>
      </c>
      <c r="G6" s="20"/>
      <c r="H6" s="19">
        <f>SUM(H5:H5)</f>
        <v>0</v>
      </c>
      <c r="I6" s="21">
        <f t="shared" ref="I6" si="0">H6/F6</f>
        <v>0</v>
      </c>
    </row>
  </sheetData>
  <mergeCells count="8">
    <mergeCell ref="A6:C6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1BAC5-8B9D-44E9-A0D5-DC8718F00DC3}">
  <dimension ref="A2:I7"/>
  <sheetViews>
    <sheetView zoomScaleNormal="100" workbookViewId="0">
      <selection activeCell="A2" sqref="A2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2" spans="1:9" ht="15" x14ac:dyDescent="0.25">
      <c r="A2" s="1" t="s">
        <v>66</v>
      </c>
    </row>
    <row r="4" spans="1:9" s="23" customFormat="1" ht="17.399999999999999" customHeight="1" x14ac:dyDescent="0.25">
      <c r="A4" s="5" t="s">
        <v>1</v>
      </c>
      <c r="B4" s="22" t="s">
        <v>2</v>
      </c>
      <c r="C4" s="22"/>
      <c r="D4" s="7" t="s">
        <v>3</v>
      </c>
      <c r="E4" s="8"/>
      <c r="F4" s="22" t="s">
        <v>67</v>
      </c>
      <c r="G4" s="6" t="s">
        <v>5</v>
      </c>
      <c r="H4" s="5" t="s">
        <v>6</v>
      </c>
      <c r="I4" s="5"/>
    </row>
    <row r="5" spans="1:9" s="23" customFormat="1" ht="17.399999999999999" customHeight="1" x14ac:dyDescent="0.25">
      <c r="A5" s="5"/>
      <c r="B5" s="10" t="s">
        <v>7</v>
      </c>
      <c r="C5" s="10" t="s">
        <v>8</v>
      </c>
      <c r="D5" s="11"/>
      <c r="E5" s="12"/>
      <c r="F5" s="22"/>
      <c r="G5" s="6"/>
      <c r="H5" s="10" t="s">
        <v>9</v>
      </c>
      <c r="I5" s="10" t="s">
        <v>10</v>
      </c>
    </row>
    <row r="6" spans="1:9" ht="39.6" x14ac:dyDescent="0.25">
      <c r="A6" s="24">
        <v>1</v>
      </c>
      <c r="B6" s="25" t="s">
        <v>68</v>
      </c>
      <c r="C6" s="25" t="s">
        <v>69</v>
      </c>
      <c r="D6" s="25" t="s">
        <v>70</v>
      </c>
      <c r="E6" s="25" t="s">
        <v>71</v>
      </c>
      <c r="F6" s="15">
        <v>71</v>
      </c>
      <c r="G6" s="16"/>
      <c r="H6" s="16"/>
      <c r="I6" s="17">
        <f t="shared" ref="I6:I7" si="0">H6/F6</f>
        <v>0</v>
      </c>
    </row>
    <row r="7" spans="1:9" ht="16.8" customHeight="1" x14ac:dyDescent="0.25">
      <c r="A7" s="5" t="s">
        <v>64</v>
      </c>
      <c r="B7" s="5"/>
      <c r="C7" s="5"/>
      <c r="D7" s="5" t="s">
        <v>72</v>
      </c>
      <c r="E7" s="5"/>
      <c r="F7" s="19">
        <f>SUM(F6:F6)</f>
        <v>71</v>
      </c>
      <c r="G7" s="20"/>
      <c r="H7" s="19">
        <f>SUM(H6:H6)</f>
        <v>0</v>
      </c>
      <c r="I7" s="21">
        <f t="shared" si="0"/>
        <v>0</v>
      </c>
    </row>
  </sheetData>
  <mergeCells count="8">
    <mergeCell ref="G4:G5"/>
    <mergeCell ref="H4:I4"/>
    <mergeCell ref="A7:C7"/>
    <mergeCell ref="D7:E7"/>
    <mergeCell ref="A4:A5"/>
    <mergeCell ref="B4:C4"/>
    <mergeCell ref="D4:E5"/>
    <mergeCell ref="F4:F5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Inv__Ujitjes_Durres</vt:lpstr>
      <vt:lpstr>Rezervuar</vt:lpstr>
      <vt:lpstr>Stacion Pompimi</vt:lpstr>
      <vt:lpstr>Lume</vt:lpstr>
      <vt:lpstr>Skema Pjeserisht te transferuar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2026-10-05T12:02:58Z</dcterms:created>
  <dcterms:modified xsi:type="dcterms:W3CDTF">2026-10-05T12:05:41Z</dcterms:modified>
</cp:coreProperties>
</file>