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E6C0308C-57DD-44D4-9E98-13C973AB1670}" xr6:coauthVersionLast="47" xr6:coauthVersionMax="47" xr10:uidLastSave="{00000000-0000-0000-0000-000000000000}"/>
  <bookViews>
    <workbookView xWindow="-28920" yWindow="-1470" windowWidth="29040" windowHeight="15720" xr2:uid="{014C114A-D1CB-4285-AE57-139E1689BDD8}"/>
  </bookViews>
  <sheets>
    <sheet name="Inv__Ujitjes_Korce" sheetId="1" r:id="rId1"/>
    <sheet name="Rezervuar" sheetId="2" r:id="rId2"/>
    <sheet name="Stacion Pompimi" sheetId="3" r:id="rId3"/>
    <sheet name="Skema Pjeserisht te transferuar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5" l="1"/>
  <c r="I8" i="5" s="1"/>
  <c r="F8" i="5"/>
  <c r="I7" i="5"/>
  <c r="I6" i="5"/>
  <c r="H10" i="3"/>
  <c r="F10" i="3"/>
  <c r="I9" i="3"/>
  <c r="I8" i="3"/>
  <c r="I7" i="3"/>
  <c r="I6" i="3"/>
  <c r="I5" i="3"/>
  <c r="H31" i="2"/>
  <c r="F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44" i="1"/>
  <c r="I44" i="1" s="1"/>
  <c r="F44" i="1"/>
  <c r="I43" i="1"/>
  <c r="I42" i="1"/>
  <c r="H36" i="1"/>
  <c r="I36" i="1" s="1"/>
  <c r="F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10" i="3" l="1"/>
  <c r="I31" i="2"/>
</calcChain>
</file>

<file path=xl/sharedStrings.xml><?xml version="1.0" encoding="utf-8"?>
<sst xmlns="http://schemas.openxmlformats.org/spreadsheetml/2006/main" count="311" uniqueCount="89">
  <si>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</si>
  <si>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</si>
  <si>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</si>
  <si>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</si>
  <si>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</si>
  <si>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</si>
  <si>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</si>
  <si>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</si>
  <si>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</si>
  <si>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</si>
  <si>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</si>
  <si>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KOU - 81</t>
  </si>
  <si>
    <t>Mborje st.pom</t>
  </si>
  <si>
    <t>rez.Gjanc k.djathte</t>
  </si>
  <si>
    <t>KOU - 13</t>
  </si>
  <si>
    <t>Lavdar Reservoir</t>
  </si>
  <si>
    <t>Reservuar</t>
  </si>
  <si>
    <t>KOU - 14</t>
  </si>
  <si>
    <t>Voskopoje Reservoir</t>
  </si>
  <si>
    <t>KOU - 5</t>
  </si>
  <si>
    <t>Kamenice Reservoir</t>
  </si>
  <si>
    <t>KOU - 19</t>
  </si>
  <si>
    <t>Dvoran Zapet Reservoir</t>
  </si>
  <si>
    <t>KOU - 15</t>
  </si>
  <si>
    <t>Vithkuq Makerz Reservoir</t>
  </si>
  <si>
    <t>KOU - 22</t>
  </si>
  <si>
    <t>Shipske Reservoir</t>
  </si>
  <si>
    <t>KOU - 23</t>
  </si>
  <si>
    <t>Panarit Reservoir 1</t>
  </si>
  <si>
    <t>KOU - 12</t>
  </si>
  <si>
    <t>Gjonomadh Reservoir</t>
  </si>
  <si>
    <t>KOU - 21</t>
  </si>
  <si>
    <t>Gjergjevice Reservoir</t>
  </si>
  <si>
    <t>KOU - 24</t>
  </si>
  <si>
    <t>Lubonje Reservoir 1</t>
  </si>
  <si>
    <t>KOU - 16</t>
  </si>
  <si>
    <t>Vithkuq Kroi Kuq Reservoir</t>
  </si>
  <si>
    <t>KOU - 42</t>
  </si>
  <si>
    <t xml:space="preserve">Grabocke Reservoir </t>
  </si>
  <si>
    <t>KOU - 44</t>
  </si>
  <si>
    <t>Voskopoje Reservoir kampi</t>
  </si>
  <si>
    <t>KOU - 41</t>
  </si>
  <si>
    <t>Drenove Reservoir</t>
  </si>
  <si>
    <t>KOU - 6</t>
  </si>
  <si>
    <t>Cemerice Reservoir</t>
  </si>
  <si>
    <t>KOU - 17</t>
  </si>
  <si>
    <t>Opar Reservoir</t>
  </si>
  <si>
    <t>KOU - 18</t>
  </si>
  <si>
    <t>Kodra Pilaf Reservoir</t>
  </si>
  <si>
    <t>KOU - 20</t>
  </si>
  <si>
    <t>Boboshtice Reservoir</t>
  </si>
  <si>
    <t>KOU - 25</t>
  </si>
  <si>
    <t>Lubonje Reservoir 2</t>
  </si>
  <si>
    <t>KOU - 43</t>
  </si>
  <si>
    <t>Krushove Reservoir  Zhomber</t>
  </si>
  <si>
    <t>KOU - 45</t>
  </si>
  <si>
    <t>Kamenice Reservoir 5</t>
  </si>
  <si>
    <t>KOU - 46</t>
  </si>
  <si>
    <t>Floq Reservoir</t>
  </si>
  <si>
    <t>KOU - 47</t>
  </si>
  <si>
    <t>Panarit Reservoir 2</t>
  </si>
  <si>
    <t>KOU - 61</t>
  </si>
  <si>
    <t>Mazreke Reservoir</t>
  </si>
  <si>
    <t>KOU - 62</t>
  </si>
  <si>
    <t>Lekas stacion pompimi</t>
  </si>
  <si>
    <t>Lume</t>
  </si>
  <si>
    <t>KOU - 63</t>
  </si>
  <si>
    <t>Shkozanj stacion pompimi</t>
  </si>
  <si>
    <t>KOU - 64</t>
  </si>
  <si>
    <t>Gjanc stacion pompimi</t>
  </si>
  <si>
    <t>KOU - 79</t>
  </si>
  <si>
    <t>Dishnice st.pomp</t>
  </si>
  <si>
    <t>Ventrok</t>
  </si>
  <si>
    <t>KOU - 80</t>
  </si>
  <si>
    <t>Belorta st.pomp</t>
  </si>
  <si>
    <t>KOU - 75</t>
  </si>
  <si>
    <t>Krushove Reservoir 3</t>
  </si>
  <si>
    <t>Total</t>
  </si>
  <si>
    <t>31 Skema</t>
  </si>
  <si>
    <t>Skema të pjesërisht të transferuara</t>
  </si>
  <si>
    <t>Vetëm Kanale të Dyta në Km</t>
  </si>
  <si>
    <t>KOU - 2</t>
  </si>
  <si>
    <t>Ventrok + Zemblak</t>
  </si>
  <si>
    <t>Lum + Stp</t>
  </si>
  <si>
    <t>KOU - 1</t>
  </si>
  <si>
    <t>Gjanc Reservoir</t>
  </si>
  <si>
    <t>Res, Stp</t>
  </si>
  <si>
    <t>2 Skema</t>
  </si>
  <si>
    <t>26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</si>
</sst>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1" fontId="3" fillId="0" borderId="1" xfId="1" applyNumberFormat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</cellXfs>
  <cellStyles count="3">
    <cellStyle name="Normal" xfId="0" builtinId="0"/>
    <cellStyle name="Normal 2" xfId="1" xr:uid="{0F498BF6-676B-4E46-934D-FBF9AFEECF5E}"/>
    <cellStyle name="Percent 2" xfId="2" xr:uid="{BA1F4002-EF14-496D-AC4C-DCDB412DFC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D468-EE36-4A0E-B6A6-533FBFA47100}">
  <sheetPr codeName="Sheet30"/>
  <dimension ref="A1:I44"/>
  <sheetViews>
    <sheetView tabSelected="1" zoomScaleNormal="100" workbookViewId="0">
      <selection activeCell="J37" sqref="J3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0</v>
      </c>
      <c r="G5" s="18"/>
      <c r="H5" s="18"/>
      <c r="I5" s="19" t="e">
        <f t="shared" ref="I5:I34" si="0">H5/F5</f>
        <v>#DIV/0!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3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16</v>
      </c>
      <c r="E7" s="16" t="s">
        <v>16</v>
      </c>
      <c r="F7" s="17">
        <v>0.5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16</v>
      </c>
      <c r="E8" s="16" t="s">
        <v>16</v>
      </c>
      <c r="F8" s="17">
        <v>2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21</v>
      </c>
      <c r="C9" s="14" t="s">
        <v>22</v>
      </c>
      <c r="D9" s="15" t="s">
        <v>16</v>
      </c>
      <c r="E9" s="16" t="s">
        <v>16</v>
      </c>
      <c r="F9" s="17">
        <v>1.2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23</v>
      </c>
      <c r="C10" s="14" t="s">
        <v>24</v>
      </c>
      <c r="D10" s="15" t="s">
        <v>16</v>
      </c>
      <c r="E10" s="16" t="s">
        <v>16</v>
      </c>
      <c r="F10" s="17">
        <v>2.5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25</v>
      </c>
      <c r="C11" s="14" t="s">
        <v>26</v>
      </c>
      <c r="D11" s="15" t="s">
        <v>16</v>
      </c>
      <c r="E11" s="16" t="s">
        <v>16</v>
      </c>
      <c r="F11" s="17">
        <v>0.5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27</v>
      </c>
      <c r="C12" s="14" t="s">
        <v>28</v>
      </c>
      <c r="D12" s="15" t="s">
        <v>16</v>
      </c>
      <c r="E12" s="16" t="s">
        <v>16</v>
      </c>
      <c r="F12" s="17">
        <v>0</v>
      </c>
      <c r="G12" s="18"/>
      <c r="H12" s="18"/>
      <c r="I12" s="19" t="e">
        <f t="shared" si="0"/>
        <v>#DIV/0!</v>
      </c>
    </row>
    <row r="13" spans="1:9" ht="15.6" customHeight="1" x14ac:dyDescent="0.25">
      <c r="A13" s="13">
        <v>9</v>
      </c>
      <c r="B13" s="14" t="s">
        <v>29</v>
      </c>
      <c r="C13" s="14" t="s">
        <v>30</v>
      </c>
      <c r="D13" s="15" t="s">
        <v>16</v>
      </c>
      <c r="E13" s="16" t="s">
        <v>16</v>
      </c>
      <c r="F13" s="17">
        <v>2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31</v>
      </c>
      <c r="C14" s="14" t="s">
        <v>32</v>
      </c>
      <c r="D14" s="15" t="s">
        <v>16</v>
      </c>
      <c r="E14" s="16" t="s">
        <v>16</v>
      </c>
      <c r="F14" s="17">
        <v>0</v>
      </c>
      <c r="G14" s="18"/>
      <c r="H14" s="18"/>
      <c r="I14" s="19" t="e">
        <f t="shared" si="0"/>
        <v>#DIV/0!</v>
      </c>
    </row>
    <row r="15" spans="1:9" ht="15.6" customHeight="1" x14ac:dyDescent="0.25">
      <c r="A15" s="13">
        <v>11</v>
      </c>
      <c r="B15" s="14" t="s">
        <v>33</v>
      </c>
      <c r="C15" s="14" t="s">
        <v>34</v>
      </c>
      <c r="D15" s="15" t="s">
        <v>16</v>
      </c>
      <c r="E15" s="16" t="s">
        <v>16</v>
      </c>
      <c r="F15" s="17">
        <v>2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35</v>
      </c>
      <c r="C16" s="14" t="s">
        <v>36</v>
      </c>
      <c r="D16" s="15" t="s">
        <v>16</v>
      </c>
      <c r="E16" s="16" t="s">
        <v>16</v>
      </c>
      <c r="F16" s="17">
        <v>1.5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37</v>
      </c>
      <c r="C17" s="14" t="s">
        <v>38</v>
      </c>
      <c r="D17" s="15" t="s">
        <v>16</v>
      </c>
      <c r="E17" s="16" t="s">
        <v>16</v>
      </c>
      <c r="F17" s="17">
        <v>0</v>
      </c>
      <c r="G17" s="18"/>
      <c r="H17" s="18"/>
      <c r="I17" s="19" t="e">
        <f t="shared" si="0"/>
        <v>#DIV/0!</v>
      </c>
    </row>
    <row r="18" spans="1:9" ht="15.6" customHeight="1" x14ac:dyDescent="0.25">
      <c r="A18" s="13">
        <v>14</v>
      </c>
      <c r="B18" s="14" t="s">
        <v>39</v>
      </c>
      <c r="C18" s="14" t="s">
        <v>40</v>
      </c>
      <c r="D18" s="15" t="s">
        <v>16</v>
      </c>
      <c r="E18" s="16" t="s">
        <v>16</v>
      </c>
      <c r="F18" s="17">
        <v>2.5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41</v>
      </c>
      <c r="C19" s="14" t="s">
        <v>42</v>
      </c>
      <c r="D19" s="15" t="s">
        <v>16</v>
      </c>
      <c r="E19" s="16" t="s">
        <v>16</v>
      </c>
      <c r="F19" s="17">
        <v>0.5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43</v>
      </c>
      <c r="C20" s="14" t="s">
        <v>44</v>
      </c>
      <c r="D20" s="15" t="s">
        <v>16</v>
      </c>
      <c r="E20" s="16" t="s">
        <v>16</v>
      </c>
      <c r="F20" s="17">
        <v>21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45</v>
      </c>
      <c r="C21" s="14" t="s">
        <v>46</v>
      </c>
      <c r="D21" s="15" t="s">
        <v>16</v>
      </c>
      <c r="E21" s="16" t="s">
        <v>16</v>
      </c>
      <c r="F21" s="20">
        <v>0</v>
      </c>
      <c r="G21" s="18"/>
      <c r="H21" s="18"/>
      <c r="I21" s="19" t="e">
        <f t="shared" si="0"/>
        <v>#DIV/0!</v>
      </c>
    </row>
    <row r="22" spans="1:9" ht="15.6" customHeight="1" x14ac:dyDescent="0.25">
      <c r="A22" s="13">
        <v>18</v>
      </c>
      <c r="B22" s="14" t="s">
        <v>47</v>
      </c>
      <c r="C22" s="14" t="s">
        <v>48</v>
      </c>
      <c r="D22" s="15" t="s">
        <v>16</v>
      </c>
      <c r="E22" s="16" t="s">
        <v>16</v>
      </c>
      <c r="F22" s="17">
        <v>2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49</v>
      </c>
      <c r="C23" s="14" t="s">
        <v>50</v>
      </c>
      <c r="D23" s="15" t="s">
        <v>16</v>
      </c>
      <c r="E23" s="16" t="s">
        <v>16</v>
      </c>
      <c r="F23" s="17">
        <v>1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51</v>
      </c>
      <c r="C24" s="14" t="s">
        <v>52</v>
      </c>
      <c r="D24" s="15" t="s">
        <v>16</v>
      </c>
      <c r="E24" s="16" t="s">
        <v>16</v>
      </c>
      <c r="F24" s="17">
        <v>1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53</v>
      </c>
      <c r="C25" s="14" t="s">
        <v>54</v>
      </c>
      <c r="D25" s="15" t="s">
        <v>16</v>
      </c>
      <c r="E25" s="16" t="s">
        <v>16</v>
      </c>
      <c r="F25" s="17">
        <v>2.5</v>
      </c>
      <c r="G25" s="17"/>
      <c r="H25" s="17"/>
      <c r="I25" s="19">
        <f t="shared" si="0"/>
        <v>0</v>
      </c>
    </row>
    <row r="26" spans="1:9" ht="15.6" customHeight="1" x14ac:dyDescent="0.25">
      <c r="A26" s="13">
        <v>22</v>
      </c>
      <c r="B26" s="14" t="s">
        <v>55</v>
      </c>
      <c r="C26" s="14" t="s">
        <v>56</v>
      </c>
      <c r="D26" s="15" t="s">
        <v>16</v>
      </c>
      <c r="E26" s="16"/>
      <c r="F26" s="17">
        <v>0</v>
      </c>
      <c r="G26" s="17"/>
      <c r="H26" s="17"/>
      <c r="I26" s="19" t="e">
        <f t="shared" si="0"/>
        <v>#DIV/0!</v>
      </c>
    </row>
    <row r="27" spans="1:9" ht="15.6" customHeight="1" x14ac:dyDescent="0.25">
      <c r="A27" s="13">
        <v>23</v>
      </c>
      <c r="B27" s="14" t="s">
        <v>57</v>
      </c>
      <c r="C27" s="14" t="s">
        <v>58</v>
      </c>
      <c r="D27" s="15" t="s">
        <v>16</v>
      </c>
      <c r="E27" s="16"/>
      <c r="F27" s="17">
        <v>0</v>
      </c>
      <c r="G27" s="17"/>
      <c r="H27" s="17"/>
      <c r="I27" s="19" t="e">
        <f t="shared" si="0"/>
        <v>#DIV/0!</v>
      </c>
    </row>
    <row r="28" spans="1:9" ht="15.6" customHeight="1" x14ac:dyDescent="0.25">
      <c r="A28" s="13">
        <v>24</v>
      </c>
      <c r="B28" s="14" t="s">
        <v>59</v>
      </c>
      <c r="C28" s="14" t="s">
        <v>60</v>
      </c>
      <c r="D28" s="15" t="s">
        <v>16</v>
      </c>
      <c r="E28" s="16"/>
      <c r="F28" s="17">
        <v>0</v>
      </c>
      <c r="G28" s="17"/>
      <c r="H28" s="17"/>
      <c r="I28" s="19" t="e">
        <f t="shared" si="0"/>
        <v>#DIV/0!</v>
      </c>
    </row>
    <row r="29" spans="1:9" ht="15.6" customHeight="1" x14ac:dyDescent="0.25">
      <c r="A29" s="13">
        <v>25</v>
      </c>
      <c r="B29" s="14" t="s">
        <v>61</v>
      </c>
      <c r="C29" s="14" t="s">
        <v>62</v>
      </c>
      <c r="D29" s="15" t="s">
        <v>16</v>
      </c>
      <c r="E29" s="16" t="s">
        <v>16</v>
      </c>
      <c r="F29" s="17">
        <v>0.5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63</v>
      </c>
      <c r="C30" s="14" t="s">
        <v>64</v>
      </c>
      <c r="D30" s="15" t="s">
        <v>65</v>
      </c>
      <c r="E30" s="16"/>
      <c r="F30" s="17">
        <v>3</v>
      </c>
      <c r="G30" s="18"/>
      <c r="H30" s="18"/>
      <c r="I30" s="19">
        <f t="shared" si="0"/>
        <v>0</v>
      </c>
    </row>
    <row r="31" spans="1:9" ht="15.6" customHeight="1" x14ac:dyDescent="0.25">
      <c r="A31" s="13">
        <v>27</v>
      </c>
      <c r="B31" s="14" t="s">
        <v>66</v>
      </c>
      <c r="C31" s="14" t="s">
        <v>67</v>
      </c>
      <c r="D31" s="15" t="s">
        <v>65</v>
      </c>
      <c r="E31" s="16"/>
      <c r="F31" s="17">
        <v>2</v>
      </c>
      <c r="G31" s="18"/>
      <c r="H31" s="18"/>
      <c r="I31" s="19">
        <f t="shared" si="0"/>
        <v>0</v>
      </c>
    </row>
    <row r="32" spans="1:9" ht="15.6" customHeight="1" x14ac:dyDescent="0.25">
      <c r="A32" s="13">
        <v>28</v>
      </c>
      <c r="B32" s="14" t="s">
        <v>68</v>
      </c>
      <c r="C32" s="14" t="s">
        <v>69</v>
      </c>
      <c r="D32" s="15" t="s">
        <v>16</v>
      </c>
      <c r="E32" s="16"/>
      <c r="F32" s="17">
        <v>2.5</v>
      </c>
      <c r="G32" s="18"/>
      <c r="H32" s="18"/>
      <c r="I32" s="19">
        <f t="shared" si="0"/>
        <v>0</v>
      </c>
    </row>
    <row r="33" spans="1:9" ht="15.6" customHeight="1" x14ac:dyDescent="0.25">
      <c r="A33" s="13">
        <v>29</v>
      </c>
      <c r="B33" s="14" t="s">
        <v>70</v>
      </c>
      <c r="C33" s="14" t="s">
        <v>71</v>
      </c>
      <c r="D33" s="15" t="s">
        <v>72</v>
      </c>
      <c r="E33" s="16"/>
      <c r="F33" s="17">
        <v>0</v>
      </c>
      <c r="G33" s="18"/>
      <c r="H33" s="18"/>
      <c r="I33" s="19" t="e">
        <f t="shared" si="0"/>
        <v>#DIV/0!</v>
      </c>
    </row>
    <row r="34" spans="1:9" ht="15.6" customHeight="1" x14ac:dyDescent="0.25">
      <c r="A34" s="13">
        <v>30</v>
      </c>
      <c r="B34" s="14" t="s">
        <v>73</v>
      </c>
      <c r="C34" s="14" t="s">
        <v>74</v>
      </c>
      <c r="D34" s="15" t="s">
        <v>72</v>
      </c>
      <c r="E34" s="16"/>
      <c r="F34" s="17">
        <v>0</v>
      </c>
      <c r="G34" s="18"/>
      <c r="H34" s="18"/>
      <c r="I34" s="19" t="e">
        <f t="shared" si="0"/>
        <v>#DIV/0!</v>
      </c>
    </row>
    <row r="35" spans="1:9" ht="15.6" customHeight="1" x14ac:dyDescent="0.25">
      <c r="A35" s="13">
        <v>31</v>
      </c>
      <c r="B35" s="14" t="s">
        <v>75</v>
      </c>
      <c r="C35" s="14" t="s">
        <v>76</v>
      </c>
      <c r="D35" s="15" t="s">
        <v>16</v>
      </c>
      <c r="E35" s="16"/>
      <c r="F35" s="17">
        <v>0</v>
      </c>
      <c r="G35" s="18"/>
      <c r="H35" s="18"/>
      <c r="I35" s="19" t="e">
        <f>H35/F35</f>
        <v>#DIV/0!</v>
      </c>
    </row>
    <row r="36" spans="1:9" ht="16.8" customHeight="1" x14ac:dyDescent="0.25">
      <c r="A36" s="5" t="s">
        <v>77</v>
      </c>
      <c r="B36" s="5"/>
      <c r="C36" s="5"/>
      <c r="D36" s="5" t="s">
        <v>78</v>
      </c>
      <c r="E36" s="5"/>
      <c r="F36" s="21">
        <f>SUM(F5:F35)</f>
        <v>53.7</v>
      </c>
      <c r="G36" s="22"/>
      <c r="H36" s="21">
        <f>SUM(H5:H35)</f>
        <v>0</v>
      </c>
      <c r="I36" s="23">
        <f>H36/F36</f>
        <v>0</v>
      </c>
    </row>
    <row r="38" spans="1:9" ht="15" x14ac:dyDescent="0.25">
      <c r="A38" s="1" t="s">
        <v>79</v>
      </c>
    </row>
    <row r="40" spans="1:9" s="25" customFormat="1" ht="17.399999999999999" customHeight="1" x14ac:dyDescent="0.25">
      <c r="A40" s="5" t="s">
        <v>1</v>
      </c>
      <c r="B40" s="24" t="s">
        <v>2</v>
      </c>
      <c r="C40" s="24"/>
      <c r="D40" s="7" t="s">
        <v>3</v>
      </c>
      <c r="E40" s="8"/>
      <c r="F40" s="24" t="s">
        <v>80</v>
      </c>
      <c r="G40" s="6" t="s">
        <v>5</v>
      </c>
      <c r="H40" s="5" t="s">
        <v>6</v>
      </c>
      <c r="I40" s="5"/>
    </row>
    <row r="41" spans="1:9" s="25" customFormat="1" ht="17.399999999999999" customHeight="1" x14ac:dyDescent="0.25">
      <c r="A41" s="5"/>
      <c r="B41" s="10" t="s">
        <v>7</v>
      </c>
      <c r="C41" s="10" t="s">
        <v>8</v>
      </c>
      <c r="D41" s="11"/>
      <c r="E41" s="12"/>
      <c r="F41" s="24"/>
      <c r="G41" s="6"/>
      <c r="H41" s="10" t="s">
        <v>9</v>
      </c>
      <c r="I41" s="10" t="s">
        <v>10</v>
      </c>
    </row>
    <row r="42" spans="1:9" ht="16.2" customHeight="1" x14ac:dyDescent="0.25">
      <c r="A42" s="26">
        <v>1</v>
      </c>
      <c r="B42" s="27" t="s">
        <v>81</v>
      </c>
      <c r="C42" s="28" t="s">
        <v>82</v>
      </c>
      <c r="D42" s="29" t="s">
        <v>83</v>
      </c>
      <c r="E42" s="30" t="s">
        <v>83</v>
      </c>
      <c r="F42" s="31">
        <v>192</v>
      </c>
      <c r="G42" s="18"/>
      <c r="H42" s="18"/>
      <c r="I42" s="19">
        <f>H42/F42</f>
        <v>0</v>
      </c>
    </row>
    <row r="43" spans="1:9" ht="16.2" customHeight="1" x14ac:dyDescent="0.25">
      <c r="A43" s="26">
        <v>2</v>
      </c>
      <c r="B43" s="27" t="s">
        <v>84</v>
      </c>
      <c r="C43" s="32" t="s">
        <v>85</v>
      </c>
      <c r="D43" s="29" t="s">
        <v>86</v>
      </c>
      <c r="E43" s="30" t="s">
        <v>86</v>
      </c>
      <c r="F43" s="31">
        <v>90</v>
      </c>
      <c r="G43" s="18"/>
      <c r="H43" s="18"/>
      <c r="I43" s="19">
        <f>H43/F43</f>
        <v>0</v>
      </c>
    </row>
    <row r="44" spans="1:9" ht="16.8" customHeight="1" x14ac:dyDescent="0.25">
      <c r="A44" s="5" t="s">
        <v>77</v>
      </c>
      <c r="B44" s="5"/>
      <c r="C44" s="5"/>
      <c r="D44" s="5" t="s">
        <v>87</v>
      </c>
      <c r="E44" s="5"/>
      <c r="F44" s="21">
        <f>SUM(F42:F43)</f>
        <v>282</v>
      </c>
      <c r="G44" s="22"/>
      <c r="H44" s="21">
        <f>SUM(H42:H43)</f>
        <v>0</v>
      </c>
      <c r="I44" s="23">
        <f>H44/F44</f>
        <v>0</v>
      </c>
    </row>
  </sheetData>
  <mergeCells count="49">
    <mergeCell ref="F40:F41"/>
    <mergeCell ref="G40:G41"/>
    <mergeCell ref="H40:I40"/>
    <mergeCell ref="D42:E42"/>
    <mergeCell ref="D43:E43"/>
    <mergeCell ref="A44:C44"/>
    <mergeCell ref="D44:E44"/>
    <mergeCell ref="D35:E35"/>
    <mergeCell ref="A36:C36"/>
    <mergeCell ref="D36:E36"/>
    <mergeCell ref="A40:A41"/>
    <mergeCell ref="B40:C40"/>
    <mergeCell ref="D40:E41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FD43-90EA-4900-9AF4-00EB53EBE643}">
  <sheetPr codeName="Sheet31"/>
  <dimension ref="A1:I31"/>
  <sheetViews>
    <sheetView zoomScaleNormal="100" workbookViewId="0">
      <selection activeCell="C40" sqref="C4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0</v>
      </c>
      <c r="G5" s="18"/>
      <c r="H5" s="18"/>
      <c r="I5" s="19" t="e">
        <f t="shared" ref="I5:I29" si="0">H5/F5</f>
        <v>#DIV/0!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3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16</v>
      </c>
      <c r="E7" s="16" t="s">
        <v>16</v>
      </c>
      <c r="F7" s="17">
        <v>0.5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16</v>
      </c>
      <c r="E8" s="16" t="s">
        <v>16</v>
      </c>
      <c r="F8" s="17">
        <v>2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21</v>
      </c>
      <c r="C9" s="14" t="s">
        <v>22</v>
      </c>
      <c r="D9" s="15" t="s">
        <v>16</v>
      </c>
      <c r="E9" s="16" t="s">
        <v>16</v>
      </c>
      <c r="F9" s="17">
        <v>1.2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23</v>
      </c>
      <c r="C10" s="14" t="s">
        <v>24</v>
      </c>
      <c r="D10" s="15" t="s">
        <v>16</v>
      </c>
      <c r="E10" s="16" t="s">
        <v>16</v>
      </c>
      <c r="F10" s="17">
        <v>2.5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25</v>
      </c>
      <c r="C11" s="14" t="s">
        <v>26</v>
      </c>
      <c r="D11" s="15" t="s">
        <v>16</v>
      </c>
      <c r="E11" s="16" t="s">
        <v>16</v>
      </c>
      <c r="F11" s="17">
        <v>0.5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27</v>
      </c>
      <c r="C12" s="14" t="s">
        <v>28</v>
      </c>
      <c r="D12" s="15" t="s">
        <v>16</v>
      </c>
      <c r="E12" s="16" t="s">
        <v>16</v>
      </c>
      <c r="F12" s="17">
        <v>0</v>
      </c>
      <c r="G12" s="18"/>
      <c r="H12" s="18"/>
      <c r="I12" s="19" t="e">
        <f t="shared" si="0"/>
        <v>#DIV/0!</v>
      </c>
    </row>
    <row r="13" spans="1:9" ht="15.6" customHeight="1" x14ac:dyDescent="0.25">
      <c r="A13" s="13">
        <v>9</v>
      </c>
      <c r="B13" s="14" t="s">
        <v>29</v>
      </c>
      <c r="C13" s="14" t="s">
        <v>30</v>
      </c>
      <c r="D13" s="15" t="s">
        <v>16</v>
      </c>
      <c r="E13" s="16" t="s">
        <v>16</v>
      </c>
      <c r="F13" s="17">
        <v>2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31</v>
      </c>
      <c r="C14" s="14" t="s">
        <v>32</v>
      </c>
      <c r="D14" s="15" t="s">
        <v>16</v>
      </c>
      <c r="E14" s="16" t="s">
        <v>16</v>
      </c>
      <c r="F14" s="17">
        <v>0</v>
      </c>
      <c r="G14" s="18"/>
      <c r="H14" s="18"/>
      <c r="I14" s="19" t="e">
        <f t="shared" si="0"/>
        <v>#DIV/0!</v>
      </c>
    </row>
    <row r="15" spans="1:9" ht="15.6" customHeight="1" x14ac:dyDescent="0.25">
      <c r="A15" s="13">
        <v>11</v>
      </c>
      <c r="B15" s="14" t="s">
        <v>33</v>
      </c>
      <c r="C15" s="14" t="s">
        <v>34</v>
      </c>
      <c r="D15" s="15" t="s">
        <v>16</v>
      </c>
      <c r="E15" s="16" t="s">
        <v>16</v>
      </c>
      <c r="F15" s="17">
        <v>2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35</v>
      </c>
      <c r="C16" s="14" t="s">
        <v>36</v>
      </c>
      <c r="D16" s="15" t="s">
        <v>16</v>
      </c>
      <c r="E16" s="16" t="s">
        <v>16</v>
      </c>
      <c r="F16" s="17">
        <v>1.5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37</v>
      </c>
      <c r="C17" s="14" t="s">
        <v>38</v>
      </c>
      <c r="D17" s="15" t="s">
        <v>16</v>
      </c>
      <c r="E17" s="16" t="s">
        <v>16</v>
      </c>
      <c r="F17" s="17">
        <v>0</v>
      </c>
      <c r="G17" s="18"/>
      <c r="H17" s="18"/>
      <c r="I17" s="19" t="e">
        <f t="shared" si="0"/>
        <v>#DIV/0!</v>
      </c>
    </row>
    <row r="18" spans="1:9" ht="15.6" customHeight="1" x14ac:dyDescent="0.25">
      <c r="A18" s="13">
        <v>14</v>
      </c>
      <c r="B18" s="14" t="s">
        <v>39</v>
      </c>
      <c r="C18" s="14" t="s">
        <v>40</v>
      </c>
      <c r="D18" s="15" t="s">
        <v>16</v>
      </c>
      <c r="E18" s="16" t="s">
        <v>16</v>
      </c>
      <c r="F18" s="17">
        <v>2.5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41</v>
      </c>
      <c r="C19" s="14" t="s">
        <v>42</v>
      </c>
      <c r="D19" s="15" t="s">
        <v>16</v>
      </c>
      <c r="E19" s="16" t="s">
        <v>16</v>
      </c>
      <c r="F19" s="17">
        <v>0.5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43</v>
      </c>
      <c r="C20" s="14" t="s">
        <v>44</v>
      </c>
      <c r="D20" s="15" t="s">
        <v>16</v>
      </c>
      <c r="E20" s="16" t="s">
        <v>16</v>
      </c>
      <c r="F20" s="17">
        <v>21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45</v>
      </c>
      <c r="C21" s="14" t="s">
        <v>46</v>
      </c>
      <c r="D21" s="15" t="s">
        <v>16</v>
      </c>
      <c r="E21" s="16" t="s">
        <v>16</v>
      </c>
      <c r="F21" s="20">
        <v>0</v>
      </c>
      <c r="G21" s="18"/>
      <c r="H21" s="18"/>
      <c r="I21" s="19" t="e">
        <f t="shared" si="0"/>
        <v>#DIV/0!</v>
      </c>
    </row>
    <row r="22" spans="1:9" ht="15.6" customHeight="1" x14ac:dyDescent="0.25">
      <c r="A22" s="13">
        <v>18</v>
      </c>
      <c r="B22" s="14" t="s">
        <v>47</v>
      </c>
      <c r="C22" s="14" t="s">
        <v>48</v>
      </c>
      <c r="D22" s="15" t="s">
        <v>16</v>
      </c>
      <c r="E22" s="16" t="s">
        <v>16</v>
      </c>
      <c r="F22" s="17">
        <v>2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49</v>
      </c>
      <c r="C23" s="14" t="s">
        <v>50</v>
      </c>
      <c r="D23" s="15" t="s">
        <v>16</v>
      </c>
      <c r="E23" s="16" t="s">
        <v>16</v>
      </c>
      <c r="F23" s="17">
        <v>1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51</v>
      </c>
      <c r="C24" s="14" t="s">
        <v>52</v>
      </c>
      <c r="D24" s="15" t="s">
        <v>16</v>
      </c>
      <c r="E24" s="16" t="s">
        <v>16</v>
      </c>
      <c r="F24" s="17">
        <v>1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53</v>
      </c>
      <c r="C25" s="14" t="s">
        <v>54</v>
      </c>
      <c r="D25" s="15" t="s">
        <v>16</v>
      </c>
      <c r="E25" s="16" t="s">
        <v>16</v>
      </c>
      <c r="F25" s="17">
        <v>2.5</v>
      </c>
      <c r="G25" s="17"/>
      <c r="H25" s="17"/>
      <c r="I25" s="19">
        <f t="shared" si="0"/>
        <v>0</v>
      </c>
    </row>
    <row r="26" spans="1:9" ht="15.6" customHeight="1" x14ac:dyDescent="0.25">
      <c r="A26" s="13">
        <v>22</v>
      </c>
      <c r="B26" s="14" t="s">
        <v>55</v>
      </c>
      <c r="C26" s="14" t="s">
        <v>56</v>
      </c>
      <c r="D26" s="15" t="s">
        <v>16</v>
      </c>
      <c r="E26" s="16"/>
      <c r="F26" s="17">
        <v>0</v>
      </c>
      <c r="G26" s="17"/>
      <c r="H26" s="17"/>
      <c r="I26" s="19" t="e">
        <f t="shared" si="0"/>
        <v>#DIV/0!</v>
      </c>
    </row>
    <row r="27" spans="1:9" ht="15.6" customHeight="1" x14ac:dyDescent="0.25">
      <c r="A27" s="13">
        <v>23</v>
      </c>
      <c r="B27" s="14" t="s">
        <v>57</v>
      </c>
      <c r="C27" s="14" t="s">
        <v>58</v>
      </c>
      <c r="D27" s="15" t="s">
        <v>16</v>
      </c>
      <c r="E27" s="16"/>
      <c r="F27" s="17">
        <v>0</v>
      </c>
      <c r="G27" s="17"/>
      <c r="H27" s="17"/>
      <c r="I27" s="19" t="e">
        <f t="shared" si="0"/>
        <v>#DIV/0!</v>
      </c>
    </row>
    <row r="28" spans="1:9" ht="15.6" customHeight="1" x14ac:dyDescent="0.25">
      <c r="A28" s="13">
        <v>24</v>
      </c>
      <c r="B28" s="14" t="s">
        <v>59</v>
      </c>
      <c r="C28" s="14" t="s">
        <v>60</v>
      </c>
      <c r="D28" s="15" t="s">
        <v>16</v>
      </c>
      <c r="E28" s="16"/>
      <c r="F28" s="17">
        <v>0</v>
      </c>
      <c r="G28" s="17"/>
      <c r="H28" s="17"/>
      <c r="I28" s="19" t="e">
        <f t="shared" si="0"/>
        <v>#DIV/0!</v>
      </c>
    </row>
    <row r="29" spans="1:9" ht="15.6" customHeight="1" x14ac:dyDescent="0.25">
      <c r="A29" s="13">
        <v>25</v>
      </c>
      <c r="B29" s="14" t="s">
        <v>61</v>
      </c>
      <c r="C29" s="14" t="s">
        <v>62</v>
      </c>
      <c r="D29" s="15" t="s">
        <v>16</v>
      </c>
      <c r="E29" s="16" t="s">
        <v>16</v>
      </c>
      <c r="F29" s="17">
        <v>0.5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75</v>
      </c>
      <c r="C30" s="14" t="s">
        <v>76</v>
      </c>
      <c r="D30" s="15" t="s">
        <v>16</v>
      </c>
      <c r="E30" s="16"/>
      <c r="F30" s="17">
        <v>0</v>
      </c>
      <c r="G30" s="18"/>
      <c r="H30" s="18"/>
      <c r="I30" s="19" t="e">
        <f>H30/F30</f>
        <v>#DIV/0!</v>
      </c>
    </row>
    <row r="31" spans="1:9" ht="16.8" customHeight="1" x14ac:dyDescent="0.25">
      <c r="A31" s="5" t="s">
        <v>77</v>
      </c>
      <c r="B31" s="5"/>
      <c r="C31" s="5"/>
      <c r="D31" s="5" t="s">
        <v>88</v>
      </c>
      <c r="E31" s="5"/>
      <c r="F31" s="21">
        <f>SUM(F5:F30)</f>
        <v>46.2</v>
      </c>
      <c r="G31" s="22"/>
      <c r="H31" s="21">
        <f>SUM(H5:H30)</f>
        <v>0</v>
      </c>
      <c r="I31" s="23">
        <f>H31/F31</f>
        <v>0</v>
      </c>
    </row>
  </sheetData>
  <mergeCells count="34">
    <mergeCell ref="D30:E30"/>
    <mergeCell ref="A31:C31"/>
    <mergeCell ref="D31:E31"/>
    <mergeCell ref="D29:E29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2B0E-87C9-4185-8670-1C2AEE3E7B66}">
  <sheetPr codeName="Sheet32"/>
  <dimension ref="A1:I10"/>
  <sheetViews>
    <sheetView zoomScaleNormal="100" workbookViewId="0">
      <selection activeCell="C18" sqref="C1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63</v>
      </c>
      <c r="C5" s="14" t="s">
        <v>64</v>
      </c>
      <c r="D5" s="15" t="s">
        <v>65</v>
      </c>
      <c r="E5" s="16"/>
      <c r="F5" s="17">
        <v>3</v>
      </c>
      <c r="G5" s="18"/>
      <c r="H5" s="18"/>
      <c r="I5" s="19">
        <f t="shared" ref="I5:I9" si="0">H5/F5</f>
        <v>0</v>
      </c>
    </row>
    <row r="6" spans="1:9" ht="15.6" customHeight="1" x14ac:dyDescent="0.25">
      <c r="A6" s="13">
        <v>2</v>
      </c>
      <c r="B6" s="14" t="s">
        <v>66</v>
      </c>
      <c r="C6" s="14" t="s">
        <v>67</v>
      </c>
      <c r="D6" s="15" t="s">
        <v>65</v>
      </c>
      <c r="E6" s="16"/>
      <c r="F6" s="17">
        <v>2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68</v>
      </c>
      <c r="C7" s="14" t="s">
        <v>69</v>
      </c>
      <c r="D7" s="15" t="s">
        <v>16</v>
      </c>
      <c r="E7" s="16"/>
      <c r="F7" s="17">
        <v>2.5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70</v>
      </c>
      <c r="C8" s="14" t="s">
        <v>71</v>
      </c>
      <c r="D8" s="15" t="s">
        <v>72</v>
      </c>
      <c r="E8" s="16"/>
      <c r="F8" s="17">
        <v>0</v>
      </c>
      <c r="G8" s="18"/>
      <c r="H8" s="18"/>
      <c r="I8" s="19" t="e">
        <f t="shared" si="0"/>
        <v>#DIV/0!</v>
      </c>
    </row>
    <row r="9" spans="1:9" ht="15.6" customHeight="1" x14ac:dyDescent="0.25">
      <c r="A9" s="13">
        <v>5</v>
      </c>
      <c r="B9" s="14" t="s">
        <v>73</v>
      </c>
      <c r="C9" s="14" t="s">
        <v>74</v>
      </c>
      <c r="D9" s="15" t="s">
        <v>72</v>
      </c>
      <c r="E9" s="16"/>
      <c r="F9" s="17">
        <v>0</v>
      </c>
      <c r="G9" s="18"/>
      <c r="H9" s="18"/>
      <c r="I9" s="19" t="e">
        <f t="shared" si="0"/>
        <v>#DIV/0!</v>
      </c>
    </row>
    <row r="10" spans="1:9" ht="16.8" customHeight="1" x14ac:dyDescent="0.25">
      <c r="A10" s="5" t="s">
        <v>77</v>
      </c>
      <c r="B10" s="5"/>
      <c r="C10" s="5"/>
      <c r="D10" s="5" t="s">
        <v>78</v>
      </c>
      <c r="E10" s="5"/>
      <c r="F10" s="21">
        <f>SUM(F5:F9)</f>
        <v>7.5</v>
      </c>
      <c r="G10" s="22"/>
      <c r="H10" s="21">
        <f>SUM(H5:H9)</f>
        <v>0</v>
      </c>
      <c r="I10" s="23">
        <f>H10/F10</f>
        <v>0</v>
      </c>
    </row>
  </sheetData>
  <mergeCells count="13">
    <mergeCell ref="A10:C10"/>
    <mergeCell ref="D10:E10"/>
    <mergeCell ref="D5:E5"/>
    <mergeCell ref="D6:E6"/>
    <mergeCell ref="D7:E7"/>
    <mergeCell ref="D8:E8"/>
    <mergeCell ref="D9:E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40E0-AB0F-4BB7-940F-4634A70A03D7}">
  <sheetPr codeName="Sheet34"/>
  <dimension ref="A2:I8"/>
  <sheetViews>
    <sheetView zoomScaleNormal="100" workbookViewId="0">
      <selection activeCell="C16" sqref="C1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79</v>
      </c>
    </row>
    <row r="4" spans="1:9" s="25" customFormat="1" ht="17.399999999999999" customHeight="1" x14ac:dyDescent="0.25">
      <c r="A4" s="5" t="s">
        <v>1</v>
      </c>
      <c r="B4" s="24" t="s">
        <v>2</v>
      </c>
      <c r="C4" s="24"/>
      <c r="D4" s="7" t="s">
        <v>3</v>
      </c>
      <c r="E4" s="8"/>
      <c r="F4" s="24" t="s">
        <v>80</v>
      </c>
      <c r="G4" s="6" t="s">
        <v>5</v>
      </c>
      <c r="H4" s="5" t="s">
        <v>6</v>
      </c>
      <c r="I4" s="5"/>
    </row>
    <row r="5" spans="1:9" s="25" customFormat="1" ht="17.399999999999999" customHeight="1" x14ac:dyDescent="0.25">
      <c r="A5" s="5"/>
      <c r="B5" s="10" t="s">
        <v>7</v>
      </c>
      <c r="C5" s="10" t="s">
        <v>8</v>
      </c>
      <c r="D5" s="11"/>
      <c r="E5" s="12"/>
      <c r="F5" s="24"/>
      <c r="G5" s="6"/>
      <c r="H5" s="10" t="s">
        <v>9</v>
      </c>
      <c r="I5" s="10" t="s">
        <v>10</v>
      </c>
    </row>
    <row r="6" spans="1:9" ht="16.2" customHeight="1" x14ac:dyDescent="0.25">
      <c r="A6" s="26">
        <v>1</v>
      </c>
      <c r="B6" s="27" t="s">
        <v>81</v>
      </c>
      <c r="C6" s="28" t="s">
        <v>82</v>
      </c>
      <c r="D6" s="29" t="s">
        <v>83</v>
      </c>
      <c r="E6" s="30" t="s">
        <v>83</v>
      </c>
      <c r="F6" s="31">
        <v>192</v>
      </c>
      <c r="G6" s="18"/>
      <c r="H6" s="18"/>
      <c r="I6" s="19">
        <f>H6/F6</f>
        <v>0</v>
      </c>
    </row>
    <row r="7" spans="1:9" ht="16.2" customHeight="1" x14ac:dyDescent="0.25">
      <c r="A7" s="26">
        <v>2</v>
      </c>
      <c r="B7" s="27" t="s">
        <v>84</v>
      </c>
      <c r="C7" s="32" t="s">
        <v>85</v>
      </c>
      <c r="D7" s="29" t="s">
        <v>86</v>
      </c>
      <c r="E7" s="30" t="s">
        <v>86</v>
      </c>
      <c r="F7" s="31">
        <v>90</v>
      </c>
      <c r="G7" s="18"/>
      <c r="H7" s="18"/>
      <c r="I7" s="19">
        <f>H7/F7</f>
        <v>0</v>
      </c>
    </row>
    <row r="8" spans="1:9" ht="16.8" customHeight="1" x14ac:dyDescent="0.25">
      <c r="A8" s="5" t="s">
        <v>77</v>
      </c>
      <c r="B8" s="5"/>
      <c r="C8" s="5"/>
      <c r="D8" s="5" t="s">
        <v>87</v>
      </c>
      <c r="E8" s="5"/>
      <c r="F8" s="21">
        <f>SUM(F6:F7)</f>
        <v>282</v>
      </c>
      <c r="G8" s="22"/>
      <c r="H8" s="21">
        <f>SUM(H6:H7)</f>
        <v>0</v>
      </c>
      <c r="I8" s="23">
        <f>H8/F8</f>
        <v>0</v>
      </c>
    </row>
  </sheetData>
  <mergeCells count="10">
    <mergeCell ref="F4:F5"/>
    <mergeCell ref="G4:G5"/>
    <mergeCell ref="H4:I4"/>
    <mergeCell ref="D6:E6"/>
    <mergeCell ref="D7:E7"/>
    <mergeCell ref="A8:C8"/>
    <mergeCell ref="D8:E8"/>
    <mergeCell ref="A4:A5"/>
    <mergeCell ref="B4:C4"/>
    <mergeCell ref="D4:E5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Inv__Ujitjes_Korce</vt:lpstr>
      <vt:lpstr>Rezervuar</vt:lpstr>
      <vt:lpstr>Stacion Pompimi</vt:lpstr>
      <vt:lpstr>Skema Pjeserisht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2026-10-06T12:48:36Z</dcterms:created>
  <dcterms:modified xsi:type="dcterms:W3CDTF">2026-10-06T12:51:15Z</dcterms:modified>
</cp:coreProperties>
</file>