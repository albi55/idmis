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2D0A0D4-4F40-4B59-B269-69585B5FF0F9}" xr6:coauthVersionLast="47" xr6:coauthVersionMax="47" xr10:uidLastSave="{00000000-0000-0000-0000-000000000000}"/>
  <bookViews>
    <workbookView xWindow="-28920" yWindow="-1470" windowWidth="29040" windowHeight="15720" activeTab="3" xr2:uid="{4D677637-5B48-4B82-A449-01E6C40FA300}"/>
  </bookViews>
  <sheets>
    <sheet name="Inv__Ujitjes_Diber" sheetId="1" r:id="rId1"/>
    <sheet name="Rezervuar" sheetId="4" r:id="rId2"/>
    <sheet name="Stacion Pompimi" sheetId="3" r:id="rId3"/>
    <sheet name="Lume &amp; Prrua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5" l="1"/>
  <c r="I19" i="5"/>
  <c r="H115" i="5"/>
  <c r="F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21" i="4"/>
  <c r="F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3" i="3"/>
  <c r="F13" i="3"/>
  <c r="I12" i="3"/>
  <c r="I11" i="3"/>
  <c r="I10" i="3"/>
  <c r="I9" i="3"/>
  <c r="I8" i="3"/>
  <c r="I7" i="3"/>
  <c r="I6" i="3"/>
  <c r="I5" i="3"/>
  <c r="H141" i="1"/>
  <c r="I141" i="1" s="1"/>
  <c r="F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15" i="5" l="1"/>
  <c r="I13" i="3"/>
  <c r="I21" i="4"/>
</calcChain>
</file>

<file path=xl/sharedStrings.xml><?xml version="1.0" encoding="utf-8"?>
<sst xmlns="http://schemas.openxmlformats.org/spreadsheetml/2006/main" count="1130" uniqueCount="346">
  <si>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</si>
  <si>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</si>
  <si>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</si>
  <si>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</si>
  <si>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</si>
  <si>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</si>
  <si>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</si>
  <si>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</si>
  <si>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</si>
  <si>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</si>
  <si>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</si>
  <si>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DIU(J) - 11</t>
  </si>
  <si>
    <t>Kanali Qëndrës</t>
  </si>
  <si>
    <t>Lume ( Llixha )</t>
  </si>
  <si>
    <t>DIU(N) - 10</t>
  </si>
  <si>
    <t>Kanali Sete - Fushe Alije - Kander</t>
  </si>
  <si>
    <t>Lume ( Sete ) + Burime</t>
  </si>
  <si>
    <t>DIU(N) - 12</t>
  </si>
  <si>
    <t>Kanali Grame - Sohodoll</t>
  </si>
  <si>
    <t>Perrua ( Grame ) + Rezervuar</t>
  </si>
  <si>
    <t>DIU (J) - 2</t>
  </si>
  <si>
    <t>Liqejte e Kacnise</t>
  </si>
  <si>
    <t>Lume ( Osum )</t>
  </si>
  <si>
    <t>DIU(N) - 8</t>
  </si>
  <si>
    <t>Cernjev - Shumbat kanal</t>
  </si>
  <si>
    <t>Lume ( Veleshnice )</t>
  </si>
  <si>
    <t>DIU (V) - 1</t>
  </si>
  <si>
    <t>Kanali Sete - Dardhe - Sine</t>
  </si>
  <si>
    <t>Burim Gur Lure</t>
  </si>
  <si>
    <t>DIU(J) - 10</t>
  </si>
  <si>
    <t>Kanali Kovashices</t>
  </si>
  <si>
    <t>Lum ( Zogje)</t>
  </si>
  <si>
    <t>DIU(N) -13/0</t>
  </si>
  <si>
    <t>Kanali Muhur - Brezhdan</t>
  </si>
  <si>
    <t>Lume ( Murres )</t>
  </si>
  <si>
    <t>DIU(N) - 11</t>
  </si>
  <si>
    <t>Kanali Sete - Arras Lacas</t>
  </si>
  <si>
    <t>Lume ( Sete )</t>
  </si>
  <si>
    <t>DIU (J) - 3</t>
  </si>
  <si>
    <t>Rezervuari i Qenokut</t>
  </si>
  <si>
    <t>Perroi Melan</t>
  </si>
  <si>
    <t>DIU(N) - 9</t>
  </si>
  <si>
    <t>Kanali Vlesh - Shumbat</t>
  </si>
  <si>
    <t>Lume ( Vleshe )</t>
  </si>
  <si>
    <t>DIU (V) - 3</t>
  </si>
  <si>
    <t>Rezervuari Shumbat</t>
  </si>
  <si>
    <t xml:space="preserve">Rezervuar   </t>
  </si>
  <si>
    <t>DIU(N) - 15</t>
  </si>
  <si>
    <t>Kanali Fushe Muhur</t>
  </si>
  <si>
    <t>DIU(N) - 35</t>
  </si>
  <si>
    <t>Kanali Vija e Mullirit</t>
  </si>
  <si>
    <t>Lume ( Grames )</t>
  </si>
  <si>
    <t>DIU(N) - 37</t>
  </si>
  <si>
    <t>Kanali Vija Madhe</t>
  </si>
  <si>
    <t>DIU(S) - 44</t>
  </si>
  <si>
    <t>Kanali Trepce Pejke</t>
  </si>
  <si>
    <t>Rezervuar</t>
  </si>
  <si>
    <t>DIU (J) - 6</t>
  </si>
  <si>
    <t>Rezervuari Grezhdan</t>
  </si>
  <si>
    <t>Burime Bjeshke</t>
  </si>
  <si>
    <t>DIU(S) - 32</t>
  </si>
  <si>
    <t>Kanali Drini i Ri</t>
  </si>
  <si>
    <t>Lume Drin</t>
  </si>
  <si>
    <t>DIU (J) - 4</t>
  </si>
  <si>
    <t>Rezervuari Kuplane</t>
  </si>
  <si>
    <t>Perrua</t>
  </si>
  <si>
    <t>DIU(S) - 37</t>
  </si>
  <si>
    <t>Rezervuari Lukan</t>
  </si>
  <si>
    <t>Burime</t>
  </si>
  <si>
    <t>DIU (J) - 5</t>
  </si>
  <si>
    <t>Rezervuari Melan</t>
  </si>
  <si>
    <t>Perrua ( Melan)</t>
  </si>
  <si>
    <t>DIU(S) - 55</t>
  </si>
  <si>
    <t>Kanali Vija e Madhe Dohoshisht</t>
  </si>
  <si>
    <t>DIU(N) - 19</t>
  </si>
  <si>
    <t>Kanali Zhuri Brezhdan</t>
  </si>
  <si>
    <t>DIU(N) - 62</t>
  </si>
  <si>
    <t>Liqeni Sopeve</t>
  </si>
  <si>
    <t>DIU (J) - 9</t>
  </si>
  <si>
    <t>Rezervuari Greve</t>
  </si>
  <si>
    <t>Perrua (Greve)</t>
  </si>
  <si>
    <t>DIU(S) - 56</t>
  </si>
  <si>
    <t>Kanali Varen - Dohoshisht</t>
  </si>
  <si>
    <t>DIU(N) - 64</t>
  </si>
  <si>
    <t>Kanali Mazhic - Hotesh</t>
  </si>
  <si>
    <t>Burim</t>
  </si>
  <si>
    <t>DIU(S) - 45</t>
  </si>
  <si>
    <t>Kanali Mulliri Melan</t>
  </si>
  <si>
    <t>Perrua (Melan)</t>
  </si>
  <si>
    <t>DIU (V) - 2</t>
  </si>
  <si>
    <t>Rezervuari i Brestit</t>
  </si>
  <si>
    <t>DIU(S) - 51</t>
  </si>
  <si>
    <t>Kanali Kambere Zimur</t>
  </si>
  <si>
    <t>DIU(N) - 63</t>
  </si>
  <si>
    <t>Rezervuari Qaf Murr</t>
  </si>
  <si>
    <t>DIU(S) - 36</t>
  </si>
  <si>
    <t>Kanali Varosh - Qaf Murre</t>
  </si>
  <si>
    <t>DIU (J) - 7</t>
  </si>
  <si>
    <t>Maqellare stacion pompimi</t>
  </si>
  <si>
    <t>Lume (Drin)</t>
  </si>
  <si>
    <t>DIU (J) - 8</t>
  </si>
  <si>
    <t>Luzni stacion pompimi</t>
  </si>
  <si>
    <t>DIU (J) - 10</t>
  </si>
  <si>
    <t>Rec</t>
  </si>
  <si>
    <t>Stacion Pompimi</t>
  </si>
  <si>
    <t>DIU (J) - 11</t>
  </si>
  <si>
    <t>Grican Muhur</t>
  </si>
  <si>
    <t>DIU (J) - 12</t>
  </si>
  <si>
    <t>Pasmar Muhur</t>
  </si>
  <si>
    <t>DIU (J) - 13</t>
  </si>
  <si>
    <t>Kllopcisht</t>
  </si>
  <si>
    <t>DIU (V) - 4</t>
  </si>
  <si>
    <t>Rezervuari i Brezhdanit</t>
  </si>
  <si>
    <t>Kanali Muhurr-Brezhdan</t>
  </si>
  <si>
    <t>DIU (V) - 5</t>
  </si>
  <si>
    <t>Rezervuari Hotit</t>
  </si>
  <si>
    <t>DIU (V) - 6</t>
  </si>
  <si>
    <t>Reç stacion pompimi 1</t>
  </si>
  <si>
    <t>DIU (V) - 7</t>
  </si>
  <si>
    <t>Reç stacion pompimi 2</t>
  </si>
  <si>
    <t>DIU(J) - 12</t>
  </si>
  <si>
    <t>Kanali Gjuras - Arapaj</t>
  </si>
  <si>
    <t>Lume ( Gjuras )</t>
  </si>
  <si>
    <t>DIU(J) - 13</t>
  </si>
  <si>
    <t>Kanali Bukavec - Dovolan</t>
  </si>
  <si>
    <t>Lume ( Bukavec )</t>
  </si>
  <si>
    <t>DIU(J) - 14</t>
  </si>
  <si>
    <t>Kanali Katund - Grezhdan</t>
  </si>
  <si>
    <t>Lume ( Grazhdan )</t>
  </si>
  <si>
    <t>DIU(J) - 15</t>
  </si>
  <si>
    <t>Kanali Katund - Gradec</t>
  </si>
  <si>
    <t>DIU(J) - 16</t>
  </si>
  <si>
    <t>Kanali Katund - Prostavec</t>
  </si>
  <si>
    <t>DIU(J) - 17</t>
  </si>
  <si>
    <t>Kanali Vija e re Kovashice</t>
  </si>
  <si>
    <t>DIU(J) - 18</t>
  </si>
  <si>
    <t>Kanali Vija e Suloves Herbel</t>
  </si>
  <si>
    <t>DIU(J) - 19</t>
  </si>
  <si>
    <t>Kanali Kercisht i poshtem</t>
  </si>
  <si>
    <t>DIU(J) - 20</t>
  </si>
  <si>
    <t>Kanali Jazi Pocest</t>
  </si>
  <si>
    <t>DIU(J) - 21</t>
  </si>
  <si>
    <t>Kanali Lagjia e siperme Hobok</t>
  </si>
  <si>
    <t>DIU(J) - 22</t>
  </si>
  <si>
    <t>Kanali Drin Potgorce</t>
  </si>
  <si>
    <t>Lume ( Drin )</t>
  </si>
  <si>
    <t>DIU(J) - 23</t>
  </si>
  <si>
    <t>Kanali Katund - Vojnike</t>
  </si>
  <si>
    <t>DIU(J) - 24</t>
  </si>
  <si>
    <t>Kanali Katund  Majtare</t>
  </si>
  <si>
    <t>DIU(J) - 25</t>
  </si>
  <si>
    <t>Kanali Jabelli Burim</t>
  </si>
  <si>
    <t>DIU(J) - 26</t>
  </si>
  <si>
    <t>Tanasia Bllate</t>
  </si>
  <si>
    <t>DIU(J) - 27</t>
  </si>
  <si>
    <t>Kanali Fushe Pesjake</t>
  </si>
  <si>
    <t>DIU(J) - 28</t>
  </si>
  <si>
    <t>Kanali Trepce Dovolan</t>
  </si>
  <si>
    <t>DIU(J) - 29</t>
  </si>
  <si>
    <t>Kanali Izvori Bllate</t>
  </si>
  <si>
    <t>DIU(J) - 30</t>
  </si>
  <si>
    <t>Kanali Delaj Arap i Poshtem</t>
  </si>
  <si>
    <t>DIU(S) - 31</t>
  </si>
  <si>
    <t>Kanali Mere Arap i Eper</t>
  </si>
  <si>
    <t>DIU(S) - 33</t>
  </si>
  <si>
    <t>Kanali Gjurra e Re</t>
  </si>
  <si>
    <t>DIU(S) - 34</t>
  </si>
  <si>
    <t>DIU(S) - 35</t>
  </si>
  <si>
    <t>Kanali Znac Selishte</t>
  </si>
  <si>
    <t>Rezervuar (Kacni)</t>
  </si>
  <si>
    <t>DIU(S) - 38</t>
  </si>
  <si>
    <t>Kanali Kodras - Murre</t>
  </si>
  <si>
    <t>DIU(S) - 39</t>
  </si>
  <si>
    <t>Kanali Lunar - Selishte</t>
  </si>
  <si>
    <t>DIU(S) - 40</t>
  </si>
  <si>
    <t>Kanali Katund - Kacni</t>
  </si>
  <si>
    <t>DIU(S) - 41</t>
  </si>
  <si>
    <t>Kanali Katund - Greve</t>
  </si>
  <si>
    <t>Rezervuar (Greve)</t>
  </si>
  <si>
    <t>DIU(S) - 42</t>
  </si>
  <si>
    <t>Kanali Uji i Hidhte</t>
  </si>
  <si>
    <t>DIU(S) - 43</t>
  </si>
  <si>
    <t>Kanali Banja - Begjunec</t>
  </si>
  <si>
    <t>DIU(S) - 46</t>
  </si>
  <si>
    <t>Kanali Mulliri - Trepce</t>
  </si>
  <si>
    <t>DIU(S) - 47</t>
  </si>
  <si>
    <t>Kanali Tomin - Pollozhan</t>
  </si>
  <si>
    <t>Kanali Llixha-Brezhdan</t>
  </si>
  <si>
    <t>DIU(S) - 48</t>
  </si>
  <si>
    <t>Kanali Somalice Domoshisht</t>
  </si>
  <si>
    <t>DIU(S) - 49</t>
  </si>
  <si>
    <t>Kanali Tomin - Zdojan</t>
  </si>
  <si>
    <t>DIU(S) - 50</t>
  </si>
  <si>
    <t>Kanali Tomin - Pilafe</t>
  </si>
  <si>
    <t>DIU(S) - 52</t>
  </si>
  <si>
    <t>Kanali Tomin - Ushtelence</t>
  </si>
  <si>
    <t>DIU(S) - 53</t>
  </si>
  <si>
    <t>Kanali Grykes - Shimcan</t>
  </si>
  <si>
    <t>DIU(S) - 54</t>
  </si>
  <si>
    <t>kanali Aravende - Staravec</t>
  </si>
  <si>
    <t>DIU(S) - 57</t>
  </si>
  <si>
    <t>Kanali Kreste - Staravec</t>
  </si>
  <si>
    <t>DIU(S) - 58</t>
  </si>
  <si>
    <t>Kanali Guri i Zi - Staravec</t>
  </si>
  <si>
    <t>DIU(S) - 59</t>
  </si>
  <si>
    <t>Kanali Barake - Cetush</t>
  </si>
  <si>
    <t>DIU(S) - 60</t>
  </si>
  <si>
    <t>Kanali Trene - Selane</t>
  </si>
  <si>
    <t>DIU(S) - 61</t>
  </si>
  <si>
    <t>Kanali Perroi Bahute</t>
  </si>
  <si>
    <t>DIU(N) -12/1</t>
  </si>
  <si>
    <t>Kanali Kastriot - Kukej</t>
  </si>
  <si>
    <t>Kanali Grames</t>
  </si>
  <si>
    <t>DIU(N) -12/2</t>
  </si>
  <si>
    <t>Kanali Makisht - Fushe Sohodoll</t>
  </si>
  <si>
    <t>DIU(N) -13/1</t>
  </si>
  <si>
    <t>Kanali Muhur - Rehan</t>
  </si>
  <si>
    <t>Kanali Muhurr - Brezhdan</t>
  </si>
  <si>
    <t>DIU(N) -13/2</t>
  </si>
  <si>
    <t>Kanali Hoxhe - Muhurr</t>
  </si>
  <si>
    <t>DIU(N) -13/3</t>
  </si>
  <si>
    <t>Kanali Gur Kuq - Hoxhe</t>
  </si>
  <si>
    <t>DIU(N) -13/4</t>
  </si>
  <si>
    <t>Kanali Vakuf - Rreth Kale</t>
  </si>
  <si>
    <t>DIU(N) -13/5</t>
  </si>
  <si>
    <t>Degezime Kanali Brezhdan</t>
  </si>
  <si>
    <t>DIU(N) -13/6</t>
  </si>
  <si>
    <t>Degezime Kanali Gjaraja</t>
  </si>
  <si>
    <t>DIU(N) - 14</t>
  </si>
  <si>
    <t>Kanali Sheh - Vajmadh</t>
  </si>
  <si>
    <t>Lume Sine</t>
  </si>
  <si>
    <t>DIU(N) - 16</t>
  </si>
  <si>
    <t>Kanali Dy Vija - Rreth Kale</t>
  </si>
  <si>
    <t>Lumi Lleshit</t>
  </si>
  <si>
    <t>DIU(N) - 17</t>
  </si>
  <si>
    <t>Kanali Muze - Renxe</t>
  </si>
  <si>
    <t>DIU(N) - 18</t>
  </si>
  <si>
    <t>Kanali Fushe Cetush</t>
  </si>
  <si>
    <t>Lumi Izvure</t>
  </si>
  <si>
    <t>DIU(N) - 20</t>
  </si>
  <si>
    <t>Kanali Has - Kander</t>
  </si>
  <si>
    <t>DIU(N) - 21</t>
  </si>
  <si>
    <t>Kanali Kosov - Gjelagj</t>
  </si>
  <si>
    <t>DIU(N) - 22</t>
  </si>
  <si>
    <t>Kanali Stanes - Vrenjt</t>
  </si>
  <si>
    <t>DIU(N) - 23</t>
  </si>
  <si>
    <t>Kanali Zall Kalis - Lugje</t>
  </si>
  <si>
    <t>Lume ( Veleshic )</t>
  </si>
  <si>
    <t>DIU(N) - 24</t>
  </si>
  <si>
    <t>Kanali Gurra Dipjake</t>
  </si>
  <si>
    <t>Lume ( Dipjake )</t>
  </si>
  <si>
    <t>DIU(N) - 25</t>
  </si>
  <si>
    <t>Kanali Gurra Sllatine</t>
  </si>
  <si>
    <t>Lume ( Sllatine )</t>
  </si>
  <si>
    <t>DIU(N) - 26</t>
  </si>
  <si>
    <t>Kanali Gurra Venish 1</t>
  </si>
  <si>
    <t>kanal ( Venisht )</t>
  </si>
  <si>
    <t>DIU(N) - 27</t>
  </si>
  <si>
    <t>Kanali Gurra Venish 2</t>
  </si>
  <si>
    <t>DIU(N) - 28</t>
  </si>
  <si>
    <t>Kanali Kullas - Izvir</t>
  </si>
  <si>
    <t>Lume ( Izvir )</t>
  </si>
  <si>
    <t>DIU(N) - 29</t>
  </si>
  <si>
    <t>Kanali Sorokol - Ceren</t>
  </si>
  <si>
    <t>Lume ( Sorokol )</t>
  </si>
  <si>
    <t>DIU(N) - 30</t>
  </si>
  <si>
    <t>Kanali Bralica - Shulla</t>
  </si>
  <si>
    <t>Lume ( Bralice )</t>
  </si>
  <si>
    <t>DIU(N) - 31</t>
  </si>
  <si>
    <t>Kanali Xhorllaka - Like</t>
  </si>
  <si>
    <t>Lume ( Xhorllaka )</t>
  </si>
  <si>
    <t>DIU(N) - 32</t>
  </si>
  <si>
    <t>Kanali Bralica - Dode</t>
  </si>
  <si>
    <t>Lume ( Bralica )</t>
  </si>
  <si>
    <t>DIU(N) - 33</t>
  </si>
  <si>
    <t>Kanali Drin - Ushtelenxe</t>
  </si>
  <si>
    <t>DIU(N) - 34</t>
  </si>
  <si>
    <t>Kanali Vija Dajcel</t>
  </si>
  <si>
    <t>DIU(N) - 36</t>
  </si>
  <si>
    <t>Kanali Kronx - Mam</t>
  </si>
  <si>
    <t>DIU(N) - 38</t>
  </si>
  <si>
    <t>Kanali Vija Holle</t>
  </si>
  <si>
    <t>Lume. ( Grames )</t>
  </si>
  <si>
    <t>DIU(N) - 39</t>
  </si>
  <si>
    <t>Kanali Vija Mal - Renxe</t>
  </si>
  <si>
    <t>DIU(N) - 40</t>
  </si>
  <si>
    <t>Kanali Kronx - Pergjegj</t>
  </si>
  <si>
    <t>DIU(N) - 41</t>
  </si>
  <si>
    <t>Kanali Vija Mullirit</t>
  </si>
  <si>
    <t>DIU(N) - 42</t>
  </si>
  <si>
    <t>Kanali Vija Zoge</t>
  </si>
  <si>
    <t>Lume ( Sine )</t>
  </si>
  <si>
    <t>DIU(N) - 43</t>
  </si>
  <si>
    <t>Kanali burimet Gjelogj - Zhgjerdh</t>
  </si>
  <si>
    <t>Lume ( Gjelogj )</t>
  </si>
  <si>
    <t>DIU(N) - 44</t>
  </si>
  <si>
    <t>Kanali Murlnaj - Sht. I. Loke</t>
  </si>
  <si>
    <t>DIU(N) - 45</t>
  </si>
  <si>
    <t>Kanali Mulliri Vjeter - Zoge</t>
  </si>
  <si>
    <t>DIU(N) - 46</t>
  </si>
  <si>
    <t>Kanali Gura Mzeze - Sine e poshtme</t>
  </si>
  <si>
    <t>Lume ( Gura Mzeze )</t>
  </si>
  <si>
    <t>DIU(N) - 47</t>
  </si>
  <si>
    <t>Vija Gurra Noke</t>
  </si>
  <si>
    <t>Lume ( Noke )</t>
  </si>
  <si>
    <t>DIU(N) - 48</t>
  </si>
  <si>
    <t>Kanali Arras i Poshtem</t>
  </si>
  <si>
    <t>Lume ( Shehu )</t>
  </si>
  <si>
    <t>DIU(N) - 49</t>
  </si>
  <si>
    <t>Kanali Vija Poshnjare</t>
  </si>
  <si>
    <t>Lume ( Ruse )</t>
  </si>
  <si>
    <t>DIU(N) - 50</t>
  </si>
  <si>
    <t>Kanali Lashkize - Xhedike</t>
  </si>
  <si>
    <t>Lume ( Lashkize )</t>
  </si>
  <si>
    <t>DIU(N) - 51</t>
  </si>
  <si>
    <t>Kanalo Krej Lure</t>
  </si>
  <si>
    <t>Lume ( Molle )</t>
  </si>
  <si>
    <t>DIU(N) - 52</t>
  </si>
  <si>
    <t>Kanali Armolle</t>
  </si>
  <si>
    <t>DIU(N) - 53</t>
  </si>
  <si>
    <t>Kanali Armolle e Poshteme</t>
  </si>
  <si>
    <t>DIU(N) - 54</t>
  </si>
  <si>
    <t>Kanali Pregj - Lure</t>
  </si>
  <si>
    <t>DIU(N) - 55</t>
  </si>
  <si>
    <t>Rezervuari Ndershene</t>
  </si>
  <si>
    <t>Lume ( Gurre Kuq )</t>
  </si>
  <si>
    <t>DIU(N) - 56</t>
  </si>
  <si>
    <t>Kanali Gur - Reç</t>
  </si>
  <si>
    <t>DIU(N) - 57</t>
  </si>
  <si>
    <t>Kanali Gurre Vile</t>
  </si>
  <si>
    <t>Lume ( Gurre Vile )</t>
  </si>
  <si>
    <t>DIU(N) - 58</t>
  </si>
  <si>
    <t>Kanali Zall - Dardhe</t>
  </si>
  <si>
    <t>DIU(N) - 59</t>
  </si>
  <si>
    <t>Kanali Lugje te Poshtem</t>
  </si>
  <si>
    <t>Lume ( Veleshice )</t>
  </si>
  <si>
    <t>DIU(N) - 60</t>
  </si>
  <si>
    <t>Kanali Gure Tarte</t>
  </si>
  <si>
    <t>Lume ( Gurre tarte )</t>
  </si>
  <si>
    <t>DIU(N) - 66</t>
  </si>
  <si>
    <t>Kanali Drin - Zall Reç</t>
  </si>
  <si>
    <t>Total</t>
  </si>
  <si>
    <t>136 Skema</t>
  </si>
  <si>
    <t>16 Skema</t>
  </si>
  <si>
    <t>8 Skema</t>
  </si>
  <si>
    <t>110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</si>
</sst>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EDE9540E-C0F1-4CBF-8434-F4FCE6198A6C}"/>
    <cellStyle name="Percent 2" xfId="2" xr:uid="{916FA4DE-77DB-4233-B841-15D21304E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F36F-FDCF-4C62-BAD1-B4E505F30832}">
  <sheetPr codeName="Sheet1"/>
  <dimension ref="A1:I141"/>
  <sheetViews>
    <sheetView zoomScaleNormal="100" workbookViewId="0">
      <selection activeCell="F150" sqref="F15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14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11.5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22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 t="s">
        <v>25</v>
      </c>
      <c r="E9" s="16" t="s">
        <v>25</v>
      </c>
      <c r="F9" s="17">
        <v>22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28</v>
      </c>
      <c r="E10" s="16" t="s">
        <v>28</v>
      </c>
      <c r="F10" s="17">
        <v>32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5" t="s">
        <v>31</v>
      </c>
      <c r="E11" s="16" t="s">
        <v>31</v>
      </c>
      <c r="F11" s="17">
        <v>12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7">
        <v>17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37</v>
      </c>
      <c r="E13" s="16" t="s">
        <v>37</v>
      </c>
      <c r="F13" s="17">
        <v>9.6999999999999993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40</v>
      </c>
      <c r="E14" s="16" t="s">
        <v>40</v>
      </c>
      <c r="F14" s="17">
        <v>6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41</v>
      </c>
      <c r="C15" s="14" t="s">
        <v>42</v>
      </c>
      <c r="D15" s="15" t="s">
        <v>43</v>
      </c>
      <c r="E15" s="16" t="s">
        <v>43</v>
      </c>
      <c r="F15" s="17">
        <v>14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44</v>
      </c>
      <c r="C16" s="14" t="s">
        <v>45</v>
      </c>
      <c r="D16" s="15" t="s">
        <v>46</v>
      </c>
      <c r="E16" s="16" t="s">
        <v>46</v>
      </c>
      <c r="F16" s="17">
        <v>5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47</v>
      </c>
      <c r="C17" s="14" t="s">
        <v>48</v>
      </c>
      <c r="D17" s="15" t="s">
        <v>34</v>
      </c>
      <c r="E17" s="16" t="s">
        <v>34</v>
      </c>
      <c r="F17" s="17">
        <v>3.5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49</v>
      </c>
      <c r="C18" s="14" t="s">
        <v>50</v>
      </c>
      <c r="D18" s="15" t="s">
        <v>51</v>
      </c>
      <c r="E18" s="16" t="s">
        <v>51</v>
      </c>
      <c r="F18" s="17">
        <v>3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52</v>
      </c>
      <c r="C19" s="14" t="s">
        <v>53</v>
      </c>
      <c r="D19" s="15" t="s">
        <v>51</v>
      </c>
      <c r="E19" s="16" t="s">
        <v>51</v>
      </c>
      <c r="F19" s="17">
        <v>3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54</v>
      </c>
      <c r="C20" s="14" t="s">
        <v>55</v>
      </c>
      <c r="D20" s="15" t="s">
        <v>56</v>
      </c>
      <c r="E20" s="16" t="s">
        <v>56</v>
      </c>
      <c r="F20" s="17">
        <v>4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57</v>
      </c>
      <c r="C21" s="14" t="s">
        <v>58</v>
      </c>
      <c r="D21" s="15" t="s">
        <v>59</v>
      </c>
      <c r="E21" s="16" t="s">
        <v>59</v>
      </c>
      <c r="F21" s="20">
        <v>2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60</v>
      </c>
      <c r="C22" s="14" t="s">
        <v>61</v>
      </c>
      <c r="D22" s="15" t="s">
        <v>62</v>
      </c>
      <c r="E22" s="16" t="s">
        <v>62</v>
      </c>
      <c r="F22" s="17">
        <v>4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63</v>
      </c>
      <c r="C23" s="14" t="s">
        <v>64</v>
      </c>
      <c r="D23" s="15" t="s">
        <v>65</v>
      </c>
      <c r="E23" s="16" t="s">
        <v>65</v>
      </c>
      <c r="F23" s="17">
        <v>2.5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66</v>
      </c>
      <c r="C24" s="14" t="s">
        <v>67</v>
      </c>
      <c r="D24" s="15" t="s">
        <v>68</v>
      </c>
      <c r="E24" s="16" t="s">
        <v>68</v>
      </c>
      <c r="F24" s="17">
        <v>3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69</v>
      </c>
      <c r="C25" s="14" t="s">
        <v>70</v>
      </c>
      <c r="D25" s="15" t="s">
        <v>71</v>
      </c>
      <c r="E25" s="16" t="s">
        <v>71</v>
      </c>
      <c r="F25" s="17">
        <v>1.5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72</v>
      </c>
      <c r="C26" s="14" t="s">
        <v>73</v>
      </c>
      <c r="D26" s="15" t="s">
        <v>68</v>
      </c>
      <c r="E26" s="16" t="s">
        <v>68</v>
      </c>
      <c r="F26" s="17">
        <v>3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74</v>
      </c>
      <c r="C27" s="14" t="s">
        <v>75</v>
      </c>
      <c r="D27" s="15" t="s">
        <v>68</v>
      </c>
      <c r="E27" s="16" t="s">
        <v>68</v>
      </c>
      <c r="F27" s="17">
        <v>2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76</v>
      </c>
      <c r="C28" s="14" t="s">
        <v>77</v>
      </c>
      <c r="D28" s="15" t="s">
        <v>56</v>
      </c>
      <c r="E28" s="16" t="s">
        <v>56</v>
      </c>
      <c r="F28" s="17">
        <v>2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78</v>
      </c>
      <c r="C29" s="14" t="s">
        <v>79</v>
      </c>
      <c r="D29" s="15" t="s">
        <v>80</v>
      </c>
      <c r="E29" s="16" t="s">
        <v>80</v>
      </c>
      <c r="F29" s="17">
        <v>0.5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81</v>
      </c>
      <c r="C30" s="14" t="s">
        <v>82</v>
      </c>
      <c r="D30" s="15" t="s">
        <v>68</v>
      </c>
      <c r="E30" s="16" t="s">
        <v>68</v>
      </c>
      <c r="F30" s="17">
        <v>3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83</v>
      </c>
      <c r="C31" s="14" t="s">
        <v>84</v>
      </c>
      <c r="D31" s="15" t="s">
        <v>85</v>
      </c>
      <c r="E31" s="16" t="s">
        <v>85</v>
      </c>
      <c r="F31" s="17">
        <v>5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86</v>
      </c>
      <c r="C32" s="14" t="s">
        <v>87</v>
      </c>
      <c r="D32" s="15" t="s">
        <v>88</v>
      </c>
      <c r="E32" s="16" t="s">
        <v>88</v>
      </c>
      <c r="F32" s="17">
        <v>1.1000000000000001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89</v>
      </c>
      <c r="C33" s="14" t="s">
        <v>90</v>
      </c>
      <c r="D33" s="15" t="s">
        <v>68</v>
      </c>
      <c r="E33" s="16" t="s">
        <v>68</v>
      </c>
      <c r="F33" s="17">
        <v>0.5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91</v>
      </c>
      <c r="C34" s="14" t="s">
        <v>92</v>
      </c>
      <c r="D34" s="15" t="s">
        <v>59</v>
      </c>
      <c r="E34" s="16" t="s">
        <v>59</v>
      </c>
      <c r="F34" s="17">
        <v>1.2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93</v>
      </c>
      <c r="C35" s="14" t="s">
        <v>94</v>
      </c>
      <c r="D35" s="15" t="s">
        <v>56</v>
      </c>
      <c r="E35" s="16" t="s">
        <v>56</v>
      </c>
      <c r="F35" s="17">
        <v>0.8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95</v>
      </c>
      <c r="C36" s="14" t="s">
        <v>96</v>
      </c>
      <c r="D36" s="15" t="s">
        <v>68</v>
      </c>
      <c r="E36" s="16" t="s">
        <v>68</v>
      </c>
      <c r="F36" s="17">
        <v>2.5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97</v>
      </c>
      <c r="C37" s="14" t="s">
        <v>98</v>
      </c>
      <c r="D37" s="15" t="s">
        <v>99</v>
      </c>
      <c r="E37" s="16" t="s">
        <v>99</v>
      </c>
      <c r="F37" s="17">
        <v>6.7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100</v>
      </c>
      <c r="C38" s="14" t="s">
        <v>101</v>
      </c>
      <c r="D38" s="15" t="s">
        <v>99</v>
      </c>
      <c r="E38" s="16" t="s">
        <v>99</v>
      </c>
      <c r="F38" s="17">
        <v>4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102</v>
      </c>
      <c r="C39" s="14" t="s">
        <v>103</v>
      </c>
      <c r="D39" s="15" t="s">
        <v>104</v>
      </c>
      <c r="E39" s="16" t="s">
        <v>104</v>
      </c>
      <c r="F39" s="17">
        <v>1.2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105</v>
      </c>
      <c r="C40" s="14" t="s">
        <v>106</v>
      </c>
      <c r="D40" s="15" t="s">
        <v>104</v>
      </c>
      <c r="E40" s="16" t="s">
        <v>104</v>
      </c>
      <c r="F40" s="17">
        <v>1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107</v>
      </c>
      <c r="C41" s="14" t="s">
        <v>108</v>
      </c>
      <c r="D41" s="15" t="s">
        <v>104</v>
      </c>
      <c r="E41" s="16" t="s">
        <v>104</v>
      </c>
      <c r="F41" s="17">
        <v>2.8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109</v>
      </c>
      <c r="C42" s="14" t="s">
        <v>110</v>
      </c>
      <c r="D42" s="15" t="s">
        <v>104</v>
      </c>
      <c r="E42" s="16" t="s">
        <v>104</v>
      </c>
      <c r="F42" s="17">
        <v>0.8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111</v>
      </c>
      <c r="C43" s="14" t="s">
        <v>112</v>
      </c>
      <c r="D43" s="15" t="s">
        <v>113</v>
      </c>
      <c r="E43" s="16" t="s">
        <v>113</v>
      </c>
      <c r="F43" s="17">
        <v>1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114</v>
      </c>
      <c r="C44" s="14" t="s">
        <v>115</v>
      </c>
      <c r="D44" s="15" t="s">
        <v>56</v>
      </c>
      <c r="E44" s="16" t="s">
        <v>56</v>
      </c>
      <c r="F44" s="17">
        <v>1.5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116</v>
      </c>
      <c r="C45" s="14" t="s">
        <v>117</v>
      </c>
      <c r="D45" s="15" t="s">
        <v>104</v>
      </c>
      <c r="E45" s="16" t="s">
        <v>104</v>
      </c>
      <c r="F45" s="17">
        <v>1.2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118</v>
      </c>
      <c r="C46" s="14" t="s">
        <v>119</v>
      </c>
      <c r="D46" s="15" t="s">
        <v>104</v>
      </c>
      <c r="E46" s="16" t="s">
        <v>104</v>
      </c>
      <c r="F46" s="17">
        <v>1.2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120</v>
      </c>
      <c r="C47" s="14" t="s">
        <v>121</v>
      </c>
      <c r="D47" s="15" t="s">
        <v>122</v>
      </c>
      <c r="E47" s="16" t="s">
        <v>122</v>
      </c>
      <c r="F47" s="17">
        <v>6</v>
      </c>
      <c r="G47" s="18"/>
      <c r="H47" s="18"/>
      <c r="I47" s="19">
        <f t="shared" si="0"/>
        <v>0</v>
      </c>
    </row>
    <row r="48" spans="1:9" ht="15.6" customHeight="1" x14ac:dyDescent="0.25">
      <c r="A48" s="13">
        <v>44</v>
      </c>
      <c r="B48" s="14" t="s">
        <v>123</v>
      </c>
      <c r="C48" s="14" t="s">
        <v>124</v>
      </c>
      <c r="D48" s="15" t="s">
        <v>125</v>
      </c>
      <c r="E48" s="16" t="s">
        <v>125</v>
      </c>
      <c r="F48" s="17">
        <v>1.5</v>
      </c>
      <c r="G48" s="18"/>
      <c r="H48" s="18"/>
      <c r="I48" s="19">
        <f t="shared" si="0"/>
        <v>0</v>
      </c>
    </row>
    <row r="49" spans="1:9" ht="15.6" customHeight="1" x14ac:dyDescent="0.25">
      <c r="A49" s="13">
        <v>45</v>
      </c>
      <c r="B49" s="14" t="s">
        <v>126</v>
      </c>
      <c r="C49" s="14" t="s">
        <v>127</v>
      </c>
      <c r="D49" s="15" t="s">
        <v>128</v>
      </c>
      <c r="E49" s="16" t="s">
        <v>128</v>
      </c>
      <c r="F49" s="17">
        <v>4.5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129</v>
      </c>
      <c r="C50" s="14" t="s">
        <v>130</v>
      </c>
      <c r="D50" s="15" t="s">
        <v>68</v>
      </c>
      <c r="E50" s="16" t="s">
        <v>68</v>
      </c>
      <c r="F50" s="17">
        <v>0.7</v>
      </c>
      <c r="G50" s="18"/>
      <c r="H50" s="18"/>
      <c r="I50" s="19">
        <f t="shared" si="0"/>
        <v>0</v>
      </c>
    </row>
    <row r="51" spans="1:9" ht="15.6" customHeight="1" x14ac:dyDescent="0.25">
      <c r="A51" s="13">
        <v>47</v>
      </c>
      <c r="B51" s="14" t="s">
        <v>131</v>
      </c>
      <c r="C51" s="14" t="s">
        <v>132</v>
      </c>
      <c r="D51" s="15" t="s">
        <v>68</v>
      </c>
      <c r="E51" s="16" t="s">
        <v>68</v>
      </c>
      <c r="F51" s="17">
        <v>1</v>
      </c>
      <c r="G51" s="18"/>
      <c r="H51" s="18"/>
      <c r="I51" s="19">
        <f t="shared" si="0"/>
        <v>0</v>
      </c>
    </row>
    <row r="52" spans="1:9" ht="15.6" customHeight="1" x14ac:dyDescent="0.25">
      <c r="A52" s="13">
        <v>48</v>
      </c>
      <c r="B52" s="14" t="s">
        <v>133</v>
      </c>
      <c r="C52" s="14" t="s">
        <v>134</v>
      </c>
      <c r="D52" s="15" t="s">
        <v>68</v>
      </c>
      <c r="E52" s="16" t="s">
        <v>68</v>
      </c>
      <c r="F52" s="17">
        <v>2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135</v>
      </c>
      <c r="C53" s="14" t="s">
        <v>136</v>
      </c>
      <c r="D53" s="15" t="s">
        <v>68</v>
      </c>
      <c r="E53" s="16" t="s">
        <v>68</v>
      </c>
      <c r="F53" s="17">
        <v>3</v>
      </c>
      <c r="G53" s="18"/>
      <c r="H53" s="18"/>
      <c r="I53" s="19">
        <f t="shared" si="0"/>
        <v>0</v>
      </c>
    </row>
    <row r="54" spans="1:9" ht="15.6" customHeight="1" x14ac:dyDescent="0.25">
      <c r="A54" s="13">
        <v>50</v>
      </c>
      <c r="B54" s="14" t="s">
        <v>137</v>
      </c>
      <c r="C54" s="14" t="s">
        <v>138</v>
      </c>
      <c r="D54" s="15" t="s">
        <v>68</v>
      </c>
      <c r="E54" s="16" t="s">
        <v>68</v>
      </c>
      <c r="F54" s="17">
        <v>5</v>
      </c>
      <c r="G54" s="18"/>
      <c r="H54" s="18"/>
      <c r="I54" s="19">
        <f t="shared" si="0"/>
        <v>0</v>
      </c>
    </row>
    <row r="55" spans="1:9" ht="15.6" customHeight="1" x14ac:dyDescent="0.25">
      <c r="A55" s="13">
        <v>51</v>
      </c>
      <c r="B55" s="14" t="s">
        <v>139</v>
      </c>
      <c r="C55" s="14" t="s">
        <v>140</v>
      </c>
      <c r="D55" s="15" t="s">
        <v>68</v>
      </c>
      <c r="E55" s="16" t="s">
        <v>68</v>
      </c>
      <c r="F55" s="17">
        <v>4</v>
      </c>
      <c r="G55" s="18"/>
      <c r="H55" s="18"/>
      <c r="I55" s="19">
        <f t="shared" si="0"/>
        <v>0</v>
      </c>
    </row>
    <row r="56" spans="1:9" ht="15.6" customHeight="1" x14ac:dyDescent="0.25">
      <c r="A56" s="13">
        <v>52</v>
      </c>
      <c r="B56" s="14" t="s">
        <v>141</v>
      </c>
      <c r="C56" s="14" t="s">
        <v>142</v>
      </c>
      <c r="D56" s="15" t="s">
        <v>68</v>
      </c>
      <c r="E56" s="16" t="s">
        <v>68</v>
      </c>
      <c r="F56" s="17">
        <v>0.5</v>
      </c>
      <c r="G56" s="18"/>
      <c r="H56" s="18"/>
      <c r="I56" s="19">
        <f t="shared" si="0"/>
        <v>0</v>
      </c>
    </row>
    <row r="57" spans="1:9" ht="15.6" customHeight="1" x14ac:dyDescent="0.25">
      <c r="A57" s="13">
        <v>53</v>
      </c>
      <c r="B57" s="14" t="s">
        <v>143</v>
      </c>
      <c r="C57" s="14" t="s">
        <v>144</v>
      </c>
      <c r="D57" s="15" t="s">
        <v>145</v>
      </c>
      <c r="E57" s="16" t="s">
        <v>145</v>
      </c>
      <c r="F57" s="17">
        <v>3</v>
      </c>
      <c r="G57" s="18"/>
      <c r="H57" s="18"/>
      <c r="I57" s="19">
        <f t="shared" si="0"/>
        <v>0</v>
      </c>
    </row>
    <row r="58" spans="1:9" ht="15.6" customHeight="1" x14ac:dyDescent="0.25">
      <c r="A58" s="13">
        <v>54</v>
      </c>
      <c r="B58" s="14" t="s">
        <v>146</v>
      </c>
      <c r="C58" s="14" t="s">
        <v>147</v>
      </c>
      <c r="D58" s="15" t="s">
        <v>68</v>
      </c>
      <c r="E58" s="16" t="s">
        <v>68</v>
      </c>
      <c r="F58" s="17">
        <v>30</v>
      </c>
      <c r="G58" s="18"/>
      <c r="H58" s="18"/>
      <c r="I58" s="19">
        <f t="shared" si="0"/>
        <v>0</v>
      </c>
    </row>
    <row r="59" spans="1:9" ht="15.6" customHeight="1" x14ac:dyDescent="0.25">
      <c r="A59" s="13">
        <v>55</v>
      </c>
      <c r="B59" s="14" t="s">
        <v>148</v>
      </c>
      <c r="C59" s="14" t="s">
        <v>149</v>
      </c>
      <c r="D59" s="15" t="s">
        <v>68</v>
      </c>
      <c r="E59" s="16" t="s">
        <v>68</v>
      </c>
      <c r="F59" s="17">
        <v>1.5</v>
      </c>
      <c r="G59" s="18"/>
      <c r="H59" s="18"/>
      <c r="I59" s="19">
        <f t="shared" si="0"/>
        <v>0</v>
      </c>
    </row>
    <row r="60" spans="1:9" ht="15.6" customHeight="1" x14ac:dyDescent="0.25">
      <c r="A60" s="13">
        <v>56</v>
      </c>
      <c r="B60" s="14" t="s">
        <v>150</v>
      </c>
      <c r="C60" s="14" t="s">
        <v>151</v>
      </c>
      <c r="D60" s="15" t="s">
        <v>68</v>
      </c>
      <c r="E60" s="16" t="s">
        <v>68</v>
      </c>
      <c r="F60" s="17">
        <v>0.8</v>
      </c>
      <c r="G60" s="18"/>
      <c r="H60" s="18"/>
      <c r="I60" s="19">
        <f t="shared" si="0"/>
        <v>0</v>
      </c>
    </row>
    <row r="61" spans="1:9" ht="15.6" customHeight="1" x14ac:dyDescent="0.25">
      <c r="A61" s="13">
        <v>57</v>
      </c>
      <c r="B61" s="14" t="s">
        <v>152</v>
      </c>
      <c r="C61" s="14" t="s">
        <v>153</v>
      </c>
      <c r="D61" s="15" t="s">
        <v>68</v>
      </c>
      <c r="E61" s="16" t="s">
        <v>68</v>
      </c>
      <c r="F61" s="17">
        <v>1</v>
      </c>
      <c r="G61" s="18"/>
      <c r="H61" s="18"/>
      <c r="I61" s="19">
        <f t="shared" si="0"/>
        <v>0</v>
      </c>
    </row>
    <row r="62" spans="1:9" ht="15.6" customHeight="1" x14ac:dyDescent="0.25">
      <c r="A62" s="13">
        <v>58</v>
      </c>
      <c r="B62" s="14" t="s">
        <v>154</v>
      </c>
      <c r="C62" s="14" t="s">
        <v>155</v>
      </c>
      <c r="D62" s="15" t="s">
        <v>68</v>
      </c>
      <c r="E62" s="16" t="s">
        <v>68</v>
      </c>
      <c r="F62" s="17">
        <v>0.5</v>
      </c>
      <c r="G62" s="18"/>
      <c r="H62" s="18"/>
      <c r="I62" s="19">
        <f t="shared" si="0"/>
        <v>0</v>
      </c>
    </row>
    <row r="63" spans="1:9" ht="15.6" customHeight="1" x14ac:dyDescent="0.25">
      <c r="A63" s="13">
        <v>59</v>
      </c>
      <c r="B63" s="14" t="s">
        <v>156</v>
      </c>
      <c r="C63" s="14" t="s">
        <v>157</v>
      </c>
      <c r="D63" s="15" t="s">
        <v>56</v>
      </c>
      <c r="E63" s="16" t="s">
        <v>56</v>
      </c>
      <c r="F63" s="17">
        <v>4.5</v>
      </c>
      <c r="G63" s="18"/>
      <c r="H63" s="18"/>
      <c r="I63" s="19">
        <f t="shared" si="0"/>
        <v>0</v>
      </c>
    </row>
    <row r="64" spans="1:9" ht="15.6" customHeight="1" x14ac:dyDescent="0.25">
      <c r="A64" s="13">
        <v>60</v>
      </c>
      <c r="B64" s="14" t="s">
        <v>158</v>
      </c>
      <c r="C64" s="14" t="s">
        <v>159</v>
      </c>
      <c r="D64" s="15" t="s">
        <v>68</v>
      </c>
      <c r="E64" s="16" t="s">
        <v>68</v>
      </c>
      <c r="F64" s="17">
        <v>2</v>
      </c>
      <c r="G64" s="18"/>
      <c r="H64" s="18"/>
      <c r="I64" s="19">
        <f t="shared" si="0"/>
        <v>0</v>
      </c>
    </row>
    <row r="65" spans="1:9" ht="15.6" customHeight="1" x14ac:dyDescent="0.25">
      <c r="A65" s="13">
        <v>61</v>
      </c>
      <c r="B65" s="14" t="s">
        <v>160</v>
      </c>
      <c r="C65" s="14" t="s">
        <v>161</v>
      </c>
      <c r="D65" s="15" t="s">
        <v>68</v>
      </c>
      <c r="E65" s="16" t="s">
        <v>68</v>
      </c>
      <c r="F65" s="17">
        <v>1</v>
      </c>
      <c r="G65" s="18"/>
      <c r="H65" s="18"/>
      <c r="I65" s="19">
        <f t="shared" si="0"/>
        <v>0</v>
      </c>
    </row>
    <row r="66" spans="1:9" ht="15.6" customHeight="1" x14ac:dyDescent="0.25">
      <c r="A66" s="13">
        <v>62</v>
      </c>
      <c r="B66" s="14" t="s">
        <v>162</v>
      </c>
      <c r="C66" s="14" t="s">
        <v>163</v>
      </c>
      <c r="D66" s="15" t="s">
        <v>68</v>
      </c>
      <c r="E66" s="16" t="s">
        <v>68</v>
      </c>
      <c r="F66" s="17">
        <v>1</v>
      </c>
      <c r="G66" s="18"/>
      <c r="H66" s="18"/>
      <c r="I66" s="19">
        <f t="shared" si="0"/>
        <v>0</v>
      </c>
    </row>
    <row r="67" spans="1:9" ht="15.6" customHeight="1" x14ac:dyDescent="0.25">
      <c r="A67" s="13">
        <v>63</v>
      </c>
      <c r="B67" s="14" t="s">
        <v>164</v>
      </c>
      <c r="C67" s="14" t="s">
        <v>165</v>
      </c>
      <c r="D67" s="15" t="s">
        <v>68</v>
      </c>
      <c r="E67" s="16" t="s">
        <v>68</v>
      </c>
      <c r="F67" s="17">
        <v>1</v>
      </c>
      <c r="G67" s="18"/>
      <c r="H67" s="18"/>
      <c r="I67" s="19">
        <f t="shared" si="0"/>
        <v>0</v>
      </c>
    </row>
    <row r="68" spans="1:9" ht="15.6" customHeight="1" x14ac:dyDescent="0.25">
      <c r="A68" s="13">
        <v>64</v>
      </c>
      <c r="B68" s="14" t="s">
        <v>166</v>
      </c>
      <c r="C68" s="14" t="s">
        <v>84</v>
      </c>
      <c r="D68" s="15" t="s">
        <v>65</v>
      </c>
      <c r="E68" s="16" t="s">
        <v>65</v>
      </c>
      <c r="F68" s="17">
        <v>4</v>
      </c>
      <c r="G68" s="18"/>
      <c r="H68" s="18"/>
      <c r="I68" s="19">
        <f t="shared" si="0"/>
        <v>0</v>
      </c>
    </row>
    <row r="69" spans="1:9" ht="15.6" customHeight="1" x14ac:dyDescent="0.25">
      <c r="A69" s="13">
        <v>65</v>
      </c>
      <c r="B69" s="14" t="s">
        <v>167</v>
      </c>
      <c r="C69" s="14" t="s">
        <v>168</v>
      </c>
      <c r="D69" s="15" t="s">
        <v>169</v>
      </c>
      <c r="E69" s="16" t="s">
        <v>169</v>
      </c>
      <c r="F69" s="17">
        <v>1</v>
      </c>
      <c r="G69" s="18"/>
      <c r="H69" s="18"/>
      <c r="I69" s="19">
        <f t="shared" si="0"/>
        <v>0</v>
      </c>
    </row>
    <row r="70" spans="1:9" ht="15.6" customHeight="1" x14ac:dyDescent="0.25">
      <c r="A70" s="13">
        <v>66</v>
      </c>
      <c r="B70" s="14" t="s">
        <v>170</v>
      </c>
      <c r="C70" s="14" t="s">
        <v>171</v>
      </c>
      <c r="D70" s="15" t="s">
        <v>68</v>
      </c>
      <c r="E70" s="16" t="s">
        <v>68</v>
      </c>
      <c r="F70" s="17">
        <v>3.5</v>
      </c>
      <c r="G70" s="18"/>
      <c r="H70" s="18"/>
      <c r="I70" s="19">
        <f t="shared" si="0"/>
        <v>0</v>
      </c>
    </row>
    <row r="71" spans="1:9" ht="15.6" customHeight="1" x14ac:dyDescent="0.25">
      <c r="A71" s="13">
        <v>67</v>
      </c>
      <c r="B71" s="14" t="s">
        <v>172</v>
      </c>
      <c r="C71" s="14" t="s">
        <v>173</v>
      </c>
      <c r="D71" s="15" t="s">
        <v>65</v>
      </c>
      <c r="E71" s="16" t="s">
        <v>65</v>
      </c>
      <c r="F71" s="17">
        <v>7</v>
      </c>
      <c r="G71" s="18"/>
      <c r="H71" s="18"/>
      <c r="I71" s="19">
        <f t="shared" si="0"/>
        <v>0</v>
      </c>
    </row>
    <row r="72" spans="1:9" ht="15.6" customHeight="1" x14ac:dyDescent="0.25">
      <c r="A72" s="13">
        <v>68</v>
      </c>
      <c r="B72" s="14" t="s">
        <v>174</v>
      </c>
      <c r="C72" s="14" t="s">
        <v>175</v>
      </c>
      <c r="D72" s="15" t="s">
        <v>68</v>
      </c>
      <c r="E72" s="16" t="s">
        <v>68</v>
      </c>
      <c r="F72" s="17">
        <v>2</v>
      </c>
      <c r="G72" s="18"/>
      <c r="H72" s="18"/>
      <c r="I72" s="19">
        <f t="shared" si="0"/>
        <v>0</v>
      </c>
    </row>
    <row r="73" spans="1:9" ht="15.6" customHeight="1" x14ac:dyDescent="0.25">
      <c r="A73" s="13">
        <v>69</v>
      </c>
      <c r="B73" s="14" t="s">
        <v>176</v>
      </c>
      <c r="C73" s="14" t="s">
        <v>177</v>
      </c>
      <c r="D73" s="15" t="s">
        <v>178</v>
      </c>
      <c r="E73" s="16" t="s">
        <v>178</v>
      </c>
      <c r="F73" s="17">
        <v>2</v>
      </c>
      <c r="G73" s="18"/>
      <c r="H73" s="18"/>
      <c r="I73" s="19">
        <f t="shared" si="0"/>
        <v>0</v>
      </c>
    </row>
    <row r="74" spans="1:9" ht="15.6" customHeight="1" x14ac:dyDescent="0.25">
      <c r="A74" s="13">
        <v>70</v>
      </c>
      <c r="B74" s="14" t="s">
        <v>179</v>
      </c>
      <c r="C74" s="14" t="s">
        <v>180</v>
      </c>
      <c r="D74" s="15" t="s">
        <v>68</v>
      </c>
      <c r="E74" s="16" t="s">
        <v>68</v>
      </c>
      <c r="F74" s="17">
        <v>2</v>
      </c>
      <c r="G74" s="18"/>
      <c r="H74" s="18"/>
      <c r="I74" s="19">
        <f t="shared" si="0"/>
        <v>0</v>
      </c>
    </row>
    <row r="75" spans="1:9" ht="15.6" customHeight="1" x14ac:dyDescent="0.25">
      <c r="A75" s="13">
        <v>71</v>
      </c>
      <c r="B75" s="14" t="s">
        <v>181</v>
      </c>
      <c r="C75" s="14" t="s">
        <v>182</v>
      </c>
      <c r="D75" s="15" t="s">
        <v>65</v>
      </c>
      <c r="E75" s="16" t="s">
        <v>65</v>
      </c>
      <c r="F75" s="17">
        <v>4</v>
      </c>
      <c r="G75" s="18"/>
      <c r="H75" s="18"/>
      <c r="I75" s="19">
        <f t="shared" si="0"/>
        <v>0</v>
      </c>
    </row>
    <row r="76" spans="1:9" ht="15.6" customHeight="1" x14ac:dyDescent="0.25">
      <c r="A76" s="13">
        <v>72</v>
      </c>
      <c r="B76" s="14" t="s">
        <v>183</v>
      </c>
      <c r="C76" s="14" t="s">
        <v>184</v>
      </c>
      <c r="D76" s="15" t="s">
        <v>68</v>
      </c>
      <c r="E76" s="16" t="s">
        <v>68</v>
      </c>
      <c r="F76" s="17">
        <v>0.4</v>
      </c>
      <c r="G76" s="18"/>
      <c r="H76" s="18"/>
      <c r="I76" s="19">
        <f t="shared" si="0"/>
        <v>0</v>
      </c>
    </row>
    <row r="77" spans="1:9" ht="15.6" customHeight="1" x14ac:dyDescent="0.25">
      <c r="A77" s="13">
        <v>73</v>
      </c>
      <c r="B77" s="14" t="s">
        <v>185</v>
      </c>
      <c r="C77" s="14" t="s">
        <v>186</v>
      </c>
      <c r="D77" s="15" t="s">
        <v>187</v>
      </c>
      <c r="E77" s="16" t="s">
        <v>187</v>
      </c>
      <c r="F77" s="17">
        <v>1.9</v>
      </c>
      <c r="G77" s="18"/>
      <c r="H77" s="18"/>
      <c r="I77" s="19">
        <f t="shared" si="0"/>
        <v>0</v>
      </c>
    </row>
    <row r="78" spans="1:9" ht="15.6" customHeight="1" x14ac:dyDescent="0.25">
      <c r="A78" s="13">
        <v>74</v>
      </c>
      <c r="B78" s="14" t="s">
        <v>188</v>
      </c>
      <c r="C78" s="14" t="s">
        <v>189</v>
      </c>
      <c r="D78" s="15" t="s">
        <v>68</v>
      </c>
      <c r="E78" s="16" t="s">
        <v>68</v>
      </c>
      <c r="F78" s="17">
        <v>3</v>
      </c>
      <c r="G78" s="18"/>
      <c r="H78" s="18"/>
      <c r="I78" s="19">
        <f t="shared" si="0"/>
        <v>0</v>
      </c>
    </row>
    <row r="79" spans="1:9" ht="15.6" customHeight="1" x14ac:dyDescent="0.25">
      <c r="A79" s="13">
        <v>75</v>
      </c>
      <c r="B79" s="14" t="s">
        <v>190</v>
      </c>
      <c r="C79" s="14" t="s">
        <v>191</v>
      </c>
      <c r="D79" s="15" t="s">
        <v>187</v>
      </c>
      <c r="E79" s="16" t="s">
        <v>187</v>
      </c>
      <c r="F79" s="17">
        <v>4</v>
      </c>
      <c r="G79" s="18"/>
      <c r="H79" s="18"/>
      <c r="I79" s="19">
        <f t="shared" si="0"/>
        <v>0</v>
      </c>
    </row>
    <row r="80" spans="1:9" ht="15.6" customHeight="1" x14ac:dyDescent="0.25">
      <c r="A80" s="13">
        <v>76</v>
      </c>
      <c r="B80" s="14" t="s">
        <v>192</v>
      </c>
      <c r="C80" s="14" t="s">
        <v>193</v>
      </c>
      <c r="D80" s="15" t="s">
        <v>187</v>
      </c>
      <c r="E80" s="16" t="s">
        <v>187</v>
      </c>
      <c r="F80" s="17">
        <v>2</v>
      </c>
      <c r="G80" s="18"/>
      <c r="H80" s="18"/>
      <c r="I80" s="19">
        <f t="shared" si="0"/>
        <v>0</v>
      </c>
    </row>
    <row r="81" spans="1:9" ht="15.6" customHeight="1" x14ac:dyDescent="0.25">
      <c r="A81" s="13">
        <v>77</v>
      </c>
      <c r="B81" s="14" t="s">
        <v>194</v>
      </c>
      <c r="C81" s="14" t="s">
        <v>195</v>
      </c>
      <c r="D81" s="15" t="s">
        <v>187</v>
      </c>
      <c r="E81" s="16" t="s">
        <v>187</v>
      </c>
      <c r="F81" s="17">
        <v>1</v>
      </c>
      <c r="G81" s="18"/>
      <c r="H81" s="18"/>
      <c r="I81" s="19">
        <f t="shared" si="0"/>
        <v>0</v>
      </c>
    </row>
    <row r="82" spans="1:9" ht="15.6" customHeight="1" x14ac:dyDescent="0.25">
      <c r="A82" s="13">
        <v>78</v>
      </c>
      <c r="B82" s="14" t="s">
        <v>196</v>
      </c>
      <c r="C82" s="14" t="s">
        <v>197</v>
      </c>
      <c r="D82" s="15" t="s">
        <v>68</v>
      </c>
      <c r="E82" s="16" t="s">
        <v>68</v>
      </c>
      <c r="F82" s="17">
        <v>0.6</v>
      </c>
      <c r="G82" s="18"/>
      <c r="H82" s="18"/>
      <c r="I82" s="19">
        <f t="shared" si="0"/>
        <v>0</v>
      </c>
    </row>
    <row r="83" spans="1:9" ht="15.6" customHeight="1" x14ac:dyDescent="0.25">
      <c r="A83" s="13">
        <v>79</v>
      </c>
      <c r="B83" s="14" t="s">
        <v>198</v>
      </c>
      <c r="C83" s="14" t="s">
        <v>199</v>
      </c>
      <c r="D83" s="15" t="s">
        <v>68</v>
      </c>
      <c r="E83" s="16" t="s">
        <v>68</v>
      </c>
      <c r="F83" s="17">
        <v>0.4</v>
      </c>
      <c r="G83" s="18"/>
      <c r="H83" s="18"/>
      <c r="I83" s="19">
        <f t="shared" si="0"/>
        <v>0</v>
      </c>
    </row>
    <row r="84" spans="1:9" ht="15.6" customHeight="1" x14ac:dyDescent="0.25">
      <c r="A84" s="13">
        <v>80</v>
      </c>
      <c r="B84" s="14" t="s">
        <v>200</v>
      </c>
      <c r="C84" s="14" t="s">
        <v>201</v>
      </c>
      <c r="D84" s="15" t="s">
        <v>68</v>
      </c>
      <c r="E84" s="16" t="s">
        <v>68</v>
      </c>
      <c r="F84" s="17">
        <v>0.6</v>
      </c>
      <c r="G84" s="18"/>
      <c r="H84" s="18"/>
      <c r="I84" s="19">
        <f t="shared" si="0"/>
        <v>0</v>
      </c>
    </row>
    <row r="85" spans="1:9" ht="15.6" customHeight="1" x14ac:dyDescent="0.25">
      <c r="A85" s="13">
        <v>81</v>
      </c>
      <c r="B85" s="14" t="s">
        <v>202</v>
      </c>
      <c r="C85" s="14" t="s">
        <v>203</v>
      </c>
      <c r="D85" s="15" t="s">
        <v>68</v>
      </c>
      <c r="E85" s="16" t="s">
        <v>68</v>
      </c>
      <c r="F85" s="17">
        <v>0.4</v>
      </c>
      <c r="G85" s="18"/>
      <c r="H85" s="18"/>
      <c r="I85" s="19">
        <f t="shared" si="0"/>
        <v>0</v>
      </c>
    </row>
    <row r="86" spans="1:9" ht="15.6" customHeight="1" x14ac:dyDescent="0.25">
      <c r="A86" s="13">
        <v>82</v>
      </c>
      <c r="B86" s="14" t="s">
        <v>204</v>
      </c>
      <c r="C86" s="14" t="s">
        <v>205</v>
      </c>
      <c r="D86" s="15" t="s">
        <v>68</v>
      </c>
      <c r="E86" s="16" t="s">
        <v>68</v>
      </c>
      <c r="F86" s="17">
        <v>0.1</v>
      </c>
      <c r="G86" s="18"/>
      <c r="H86" s="18"/>
      <c r="I86" s="19">
        <f t="shared" si="0"/>
        <v>0</v>
      </c>
    </row>
    <row r="87" spans="1:9" ht="15.6" customHeight="1" x14ac:dyDescent="0.25">
      <c r="A87" s="13">
        <v>83</v>
      </c>
      <c r="B87" s="14" t="s">
        <v>206</v>
      </c>
      <c r="C87" s="14" t="s">
        <v>207</v>
      </c>
      <c r="D87" s="15" t="s">
        <v>65</v>
      </c>
      <c r="E87" s="16" t="s">
        <v>65</v>
      </c>
      <c r="F87" s="17">
        <v>4</v>
      </c>
      <c r="G87" s="18"/>
      <c r="H87" s="18"/>
      <c r="I87" s="19">
        <f t="shared" si="0"/>
        <v>0</v>
      </c>
    </row>
    <row r="88" spans="1:9" ht="15.6" customHeight="1" x14ac:dyDescent="0.25">
      <c r="A88" s="13">
        <v>84</v>
      </c>
      <c r="B88" s="14" t="s">
        <v>208</v>
      </c>
      <c r="C88" s="14" t="s">
        <v>209</v>
      </c>
      <c r="D88" s="15" t="s">
        <v>65</v>
      </c>
      <c r="E88" s="16" t="s">
        <v>65</v>
      </c>
      <c r="F88" s="17">
        <v>4</v>
      </c>
      <c r="G88" s="18"/>
      <c r="H88" s="18"/>
      <c r="I88" s="19">
        <f t="shared" si="0"/>
        <v>0</v>
      </c>
    </row>
    <row r="89" spans="1:9" ht="15.6" customHeight="1" x14ac:dyDescent="0.25">
      <c r="A89" s="13">
        <v>85</v>
      </c>
      <c r="B89" s="14" t="s">
        <v>210</v>
      </c>
      <c r="C89" s="14" t="s">
        <v>211</v>
      </c>
      <c r="D89" s="15" t="s">
        <v>212</v>
      </c>
      <c r="E89" s="16" t="s">
        <v>212</v>
      </c>
      <c r="F89" s="17">
        <v>1.2</v>
      </c>
      <c r="G89" s="18"/>
      <c r="H89" s="18"/>
      <c r="I89" s="19">
        <f t="shared" si="0"/>
        <v>0</v>
      </c>
    </row>
    <row r="90" spans="1:9" ht="15.6" customHeight="1" x14ac:dyDescent="0.25">
      <c r="A90" s="13">
        <v>86</v>
      </c>
      <c r="B90" s="14" t="s">
        <v>213</v>
      </c>
      <c r="C90" s="14" t="s">
        <v>214</v>
      </c>
      <c r="D90" s="15" t="s">
        <v>212</v>
      </c>
      <c r="E90" s="16" t="s">
        <v>212</v>
      </c>
      <c r="F90" s="17">
        <v>1.5</v>
      </c>
      <c r="G90" s="18"/>
      <c r="H90" s="18"/>
      <c r="I90" s="19">
        <f t="shared" si="0"/>
        <v>0</v>
      </c>
    </row>
    <row r="91" spans="1:9" ht="15.6" customHeight="1" x14ac:dyDescent="0.25">
      <c r="A91" s="13">
        <v>87</v>
      </c>
      <c r="B91" s="14" t="s">
        <v>215</v>
      </c>
      <c r="C91" s="14" t="s">
        <v>216</v>
      </c>
      <c r="D91" s="15" t="s">
        <v>217</v>
      </c>
      <c r="E91" s="16" t="s">
        <v>217</v>
      </c>
      <c r="F91" s="17">
        <v>4</v>
      </c>
      <c r="G91" s="18"/>
      <c r="H91" s="18"/>
      <c r="I91" s="19">
        <f t="shared" si="0"/>
        <v>0</v>
      </c>
    </row>
    <row r="92" spans="1:9" ht="15.6" customHeight="1" x14ac:dyDescent="0.25">
      <c r="A92" s="13">
        <v>88</v>
      </c>
      <c r="B92" s="14" t="s">
        <v>218</v>
      </c>
      <c r="C92" s="14" t="s">
        <v>219</v>
      </c>
      <c r="D92" s="15" t="s">
        <v>217</v>
      </c>
      <c r="E92" s="16" t="s">
        <v>217</v>
      </c>
      <c r="F92" s="17">
        <v>2</v>
      </c>
      <c r="G92" s="18"/>
      <c r="H92" s="18"/>
      <c r="I92" s="19">
        <f t="shared" si="0"/>
        <v>0</v>
      </c>
    </row>
    <row r="93" spans="1:9" ht="15.6" customHeight="1" x14ac:dyDescent="0.25">
      <c r="A93" s="13">
        <v>89</v>
      </c>
      <c r="B93" s="14" t="s">
        <v>220</v>
      </c>
      <c r="C93" s="14" t="s">
        <v>221</v>
      </c>
      <c r="D93" s="15" t="s">
        <v>217</v>
      </c>
      <c r="E93" s="16" t="s">
        <v>217</v>
      </c>
      <c r="F93" s="17">
        <v>2.5</v>
      </c>
      <c r="G93" s="18"/>
      <c r="H93" s="18"/>
      <c r="I93" s="19">
        <f t="shared" si="0"/>
        <v>0</v>
      </c>
    </row>
    <row r="94" spans="1:9" ht="15.6" customHeight="1" x14ac:dyDescent="0.25">
      <c r="A94" s="13">
        <v>90</v>
      </c>
      <c r="B94" s="14" t="s">
        <v>222</v>
      </c>
      <c r="C94" s="14" t="s">
        <v>223</v>
      </c>
      <c r="D94" s="15" t="s">
        <v>217</v>
      </c>
      <c r="E94" s="16" t="s">
        <v>217</v>
      </c>
      <c r="F94" s="17">
        <v>1</v>
      </c>
      <c r="G94" s="18"/>
      <c r="H94" s="18"/>
      <c r="I94" s="19">
        <f t="shared" si="0"/>
        <v>0</v>
      </c>
    </row>
    <row r="95" spans="1:9" ht="15.6" customHeight="1" x14ac:dyDescent="0.25">
      <c r="A95" s="13">
        <v>91</v>
      </c>
      <c r="B95" s="14" t="s">
        <v>224</v>
      </c>
      <c r="C95" s="14" t="s">
        <v>225</v>
      </c>
      <c r="D95" s="15" t="s">
        <v>217</v>
      </c>
      <c r="E95" s="16" t="s">
        <v>217</v>
      </c>
      <c r="F95" s="17">
        <v>4</v>
      </c>
      <c r="G95" s="18"/>
      <c r="H95" s="18"/>
      <c r="I95" s="19">
        <f t="shared" si="0"/>
        <v>0</v>
      </c>
    </row>
    <row r="96" spans="1:9" ht="15.6" customHeight="1" x14ac:dyDescent="0.25">
      <c r="A96" s="13">
        <v>92</v>
      </c>
      <c r="B96" s="14" t="s">
        <v>226</v>
      </c>
      <c r="C96" s="14" t="s">
        <v>227</v>
      </c>
      <c r="D96" s="15" t="s">
        <v>217</v>
      </c>
      <c r="E96" s="16" t="s">
        <v>217</v>
      </c>
      <c r="F96" s="17">
        <v>2.2999999999999998</v>
      </c>
      <c r="G96" s="18"/>
      <c r="H96" s="18"/>
      <c r="I96" s="19">
        <f t="shared" si="0"/>
        <v>0</v>
      </c>
    </row>
    <row r="97" spans="1:9" ht="15.6" customHeight="1" x14ac:dyDescent="0.25">
      <c r="A97" s="13">
        <v>93</v>
      </c>
      <c r="B97" s="14" t="s">
        <v>228</v>
      </c>
      <c r="C97" s="14" t="s">
        <v>229</v>
      </c>
      <c r="D97" s="15" t="s">
        <v>230</v>
      </c>
      <c r="E97" s="16" t="s">
        <v>230</v>
      </c>
      <c r="F97" s="17">
        <v>1</v>
      </c>
      <c r="G97" s="18"/>
      <c r="H97" s="18"/>
      <c r="I97" s="19">
        <f t="shared" si="0"/>
        <v>0</v>
      </c>
    </row>
    <row r="98" spans="1:9" ht="15.6" customHeight="1" x14ac:dyDescent="0.25">
      <c r="A98" s="13">
        <v>94</v>
      </c>
      <c r="B98" s="14" t="s">
        <v>231</v>
      </c>
      <c r="C98" s="14" t="s">
        <v>232</v>
      </c>
      <c r="D98" s="15" t="s">
        <v>233</v>
      </c>
      <c r="E98" s="16" t="s">
        <v>233</v>
      </c>
      <c r="F98" s="17">
        <v>0.6</v>
      </c>
      <c r="G98" s="18"/>
      <c r="H98" s="18"/>
      <c r="I98" s="19">
        <f t="shared" si="0"/>
        <v>0</v>
      </c>
    </row>
    <row r="99" spans="1:9" ht="15.6" customHeight="1" x14ac:dyDescent="0.25">
      <c r="A99" s="13">
        <v>95</v>
      </c>
      <c r="B99" s="14" t="s">
        <v>234</v>
      </c>
      <c r="C99" s="14" t="s">
        <v>235</v>
      </c>
      <c r="D99" s="15" t="s">
        <v>68</v>
      </c>
      <c r="E99" s="16" t="s">
        <v>68</v>
      </c>
      <c r="F99" s="17">
        <v>3</v>
      </c>
      <c r="G99" s="18"/>
      <c r="H99" s="18"/>
      <c r="I99" s="19">
        <f t="shared" si="0"/>
        <v>0</v>
      </c>
    </row>
    <row r="100" spans="1:9" ht="15.6" customHeight="1" x14ac:dyDescent="0.25">
      <c r="A100" s="13">
        <v>96</v>
      </c>
      <c r="B100" s="14" t="s">
        <v>236</v>
      </c>
      <c r="C100" s="14" t="s">
        <v>237</v>
      </c>
      <c r="D100" s="15" t="s">
        <v>238</v>
      </c>
      <c r="E100" s="16" t="s">
        <v>238</v>
      </c>
      <c r="F100" s="17">
        <v>0.9</v>
      </c>
      <c r="G100" s="18"/>
      <c r="H100" s="18"/>
      <c r="I100" s="19">
        <f t="shared" si="0"/>
        <v>0</v>
      </c>
    </row>
    <row r="101" spans="1:9" ht="15.6" customHeight="1" x14ac:dyDescent="0.25">
      <c r="A101" s="13">
        <v>97</v>
      </c>
      <c r="B101" s="14" t="s">
        <v>239</v>
      </c>
      <c r="C101" s="14" t="s">
        <v>240</v>
      </c>
      <c r="D101" s="15" t="s">
        <v>68</v>
      </c>
      <c r="E101" s="16" t="s">
        <v>68</v>
      </c>
      <c r="F101" s="17">
        <v>0.6</v>
      </c>
      <c r="G101" s="18"/>
      <c r="H101" s="18"/>
      <c r="I101" s="19">
        <f t="shared" si="0"/>
        <v>0</v>
      </c>
    </row>
    <row r="102" spans="1:9" ht="15.6" customHeight="1" x14ac:dyDescent="0.25">
      <c r="A102" s="13">
        <v>98</v>
      </c>
      <c r="B102" s="14" t="s">
        <v>241</v>
      </c>
      <c r="C102" s="14" t="s">
        <v>242</v>
      </c>
      <c r="D102" s="15" t="s">
        <v>68</v>
      </c>
      <c r="E102" s="16" t="s">
        <v>68</v>
      </c>
      <c r="F102" s="17">
        <v>0.6</v>
      </c>
      <c r="G102" s="18"/>
      <c r="H102" s="18"/>
      <c r="I102" s="19">
        <f t="shared" si="0"/>
        <v>0</v>
      </c>
    </row>
    <row r="103" spans="1:9" ht="15.6" customHeight="1" x14ac:dyDescent="0.25">
      <c r="A103" s="13">
        <v>99</v>
      </c>
      <c r="B103" s="14" t="s">
        <v>243</v>
      </c>
      <c r="C103" s="14" t="s">
        <v>244</v>
      </c>
      <c r="D103" s="15" t="s">
        <v>68</v>
      </c>
      <c r="E103" s="16" t="s">
        <v>68</v>
      </c>
      <c r="F103" s="17">
        <v>1.2</v>
      </c>
      <c r="G103" s="18"/>
      <c r="H103" s="18"/>
      <c r="I103" s="19">
        <f t="shared" si="0"/>
        <v>0</v>
      </c>
    </row>
    <row r="104" spans="1:9" ht="15.6" customHeight="1" x14ac:dyDescent="0.25">
      <c r="A104" s="13">
        <v>100</v>
      </c>
      <c r="B104" s="14" t="s">
        <v>245</v>
      </c>
      <c r="C104" s="14" t="s">
        <v>246</v>
      </c>
      <c r="D104" s="15" t="s">
        <v>247</v>
      </c>
      <c r="E104" s="16" t="s">
        <v>247</v>
      </c>
      <c r="F104" s="17">
        <v>5.5</v>
      </c>
      <c r="G104" s="18"/>
      <c r="H104" s="18"/>
      <c r="I104" s="19">
        <f t="shared" si="0"/>
        <v>0</v>
      </c>
    </row>
    <row r="105" spans="1:9" ht="15.6" customHeight="1" x14ac:dyDescent="0.25">
      <c r="A105" s="13">
        <v>101</v>
      </c>
      <c r="B105" s="14" t="s">
        <v>248</v>
      </c>
      <c r="C105" s="14" t="s">
        <v>249</v>
      </c>
      <c r="D105" s="15" t="s">
        <v>250</v>
      </c>
      <c r="E105" s="16" t="s">
        <v>250</v>
      </c>
      <c r="F105" s="17">
        <v>0.4</v>
      </c>
      <c r="G105" s="18"/>
      <c r="H105" s="18"/>
      <c r="I105" s="19">
        <f t="shared" si="0"/>
        <v>0</v>
      </c>
    </row>
    <row r="106" spans="1:9" ht="15.6" customHeight="1" x14ac:dyDescent="0.25">
      <c r="A106" s="13">
        <v>102</v>
      </c>
      <c r="B106" s="14" t="s">
        <v>251</v>
      </c>
      <c r="C106" s="14" t="s">
        <v>252</v>
      </c>
      <c r="D106" s="15" t="s">
        <v>253</v>
      </c>
      <c r="E106" s="16" t="s">
        <v>253</v>
      </c>
      <c r="F106" s="17">
        <v>1</v>
      </c>
      <c r="G106" s="18"/>
      <c r="H106" s="18"/>
      <c r="I106" s="19">
        <f t="shared" si="0"/>
        <v>0</v>
      </c>
    </row>
    <row r="107" spans="1:9" ht="15.6" customHeight="1" x14ac:dyDescent="0.25">
      <c r="A107" s="13">
        <v>103</v>
      </c>
      <c r="B107" s="14" t="s">
        <v>254</v>
      </c>
      <c r="C107" s="14" t="s">
        <v>255</v>
      </c>
      <c r="D107" s="15" t="s">
        <v>256</v>
      </c>
      <c r="E107" s="16" t="s">
        <v>256</v>
      </c>
      <c r="F107" s="17">
        <v>0.5</v>
      </c>
      <c r="G107" s="18"/>
      <c r="H107" s="18"/>
      <c r="I107" s="19">
        <f t="shared" si="0"/>
        <v>0</v>
      </c>
    </row>
    <row r="108" spans="1:9" ht="15.6" customHeight="1" x14ac:dyDescent="0.25">
      <c r="A108" s="13">
        <v>104</v>
      </c>
      <c r="B108" s="14" t="s">
        <v>257</v>
      </c>
      <c r="C108" s="14" t="s">
        <v>258</v>
      </c>
      <c r="D108" s="15" t="s">
        <v>256</v>
      </c>
      <c r="E108" s="16" t="s">
        <v>256</v>
      </c>
      <c r="F108" s="17">
        <v>0.7</v>
      </c>
      <c r="G108" s="18"/>
      <c r="H108" s="18"/>
      <c r="I108" s="19">
        <f t="shared" si="0"/>
        <v>0</v>
      </c>
    </row>
    <row r="109" spans="1:9" ht="15.6" customHeight="1" x14ac:dyDescent="0.25">
      <c r="A109" s="13">
        <v>105</v>
      </c>
      <c r="B109" s="14" t="s">
        <v>259</v>
      </c>
      <c r="C109" s="14" t="s">
        <v>260</v>
      </c>
      <c r="D109" s="15" t="s">
        <v>261</v>
      </c>
      <c r="E109" s="16" t="s">
        <v>261</v>
      </c>
      <c r="F109" s="17">
        <v>0.9</v>
      </c>
      <c r="G109" s="18"/>
      <c r="H109" s="18"/>
      <c r="I109" s="19">
        <f t="shared" si="0"/>
        <v>0</v>
      </c>
    </row>
    <row r="110" spans="1:9" ht="15.6" customHeight="1" x14ac:dyDescent="0.25">
      <c r="A110" s="13">
        <v>106</v>
      </c>
      <c r="B110" s="14" t="s">
        <v>262</v>
      </c>
      <c r="C110" s="14" t="s">
        <v>263</v>
      </c>
      <c r="D110" s="15" t="s">
        <v>264</v>
      </c>
      <c r="E110" s="16" t="s">
        <v>264</v>
      </c>
      <c r="F110" s="17">
        <v>3</v>
      </c>
      <c r="G110" s="18"/>
      <c r="H110" s="18"/>
      <c r="I110" s="19">
        <f t="shared" si="0"/>
        <v>0</v>
      </c>
    </row>
    <row r="111" spans="1:9" ht="15.6" customHeight="1" x14ac:dyDescent="0.25">
      <c r="A111" s="13">
        <v>107</v>
      </c>
      <c r="B111" s="14" t="s">
        <v>265</v>
      </c>
      <c r="C111" s="14" t="s">
        <v>266</v>
      </c>
      <c r="D111" s="15" t="s">
        <v>267</v>
      </c>
      <c r="E111" s="16" t="s">
        <v>267</v>
      </c>
      <c r="F111" s="17">
        <v>2</v>
      </c>
      <c r="G111" s="18"/>
      <c r="H111" s="18"/>
      <c r="I111" s="19">
        <f t="shared" si="0"/>
        <v>0</v>
      </c>
    </row>
    <row r="112" spans="1:9" ht="15.6" customHeight="1" x14ac:dyDescent="0.25">
      <c r="A112" s="13">
        <v>108</v>
      </c>
      <c r="B112" s="14" t="s">
        <v>268</v>
      </c>
      <c r="C112" s="14" t="s">
        <v>269</v>
      </c>
      <c r="D112" s="15" t="s">
        <v>270</v>
      </c>
      <c r="E112" s="16" t="s">
        <v>270</v>
      </c>
      <c r="F112" s="17">
        <v>1</v>
      </c>
      <c r="G112" s="18"/>
      <c r="H112" s="18"/>
      <c r="I112" s="19">
        <f t="shared" si="0"/>
        <v>0</v>
      </c>
    </row>
    <row r="113" spans="1:9" ht="15.6" customHeight="1" x14ac:dyDescent="0.25">
      <c r="A113" s="13">
        <v>109</v>
      </c>
      <c r="B113" s="14" t="s">
        <v>271</v>
      </c>
      <c r="C113" s="14" t="s">
        <v>272</v>
      </c>
      <c r="D113" s="15" t="s">
        <v>273</v>
      </c>
      <c r="E113" s="16" t="s">
        <v>273</v>
      </c>
      <c r="F113" s="17">
        <v>0.8</v>
      </c>
      <c r="G113" s="18"/>
      <c r="H113" s="18"/>
      <c r="I113" s="19">
        <f t="shared" si="0"/>
        <v>0</v>
      </c>
    </row>
    <row r="114" spans="1:9" ht="15.6" customHeight="1" x14ac:dyDescent="0.25">
      <c r="A114" s="13">
        <v>110</v>
      </c>
      <c r="B114" s="14" t="s">
        <v>274</v>
      </c>
      <c r="C114" s="14" t="s">
        <v>275</v>
      </c>
      <c r="D114" s="15" t="s">
        <v>145</v>
      </c>
      <c r="E114" s="16" t="s">
        <v>145</v>
      </c>
      <c r="F114" s="17">
        <v>2.7</v>
      </c>
      <c r="G114" s="18"/>
      <c r="H114" s="18"/>
      <c r="I114" s="19">
        <f t="shared" si="0"/>
        <v>0</v>
      </c>
    </row>
    <row r="115" spans="1:9" ht="15.6" customHeight="1" x14ac:dyDescent="0.25">
      <c r="A115" s="13">
        <v>111</v>
      </c>
      <c r="B115" s="14" t="s">
        <v>276</v>
      </c>
      <c r="C115" s="14" t="s">
        <v>277</v>
      </c>
      <c r="D115" s="15" t="s">
        <v>51</v>
      </c>
      <c r="E115" s="16" t="s">
        <v>51</v>
      </c>
      <c r="F115" s="17">
        <v>1.5</v>
      </c>
      <c r="G115" s="18"/>
      <c r="H115" s="18"/>
      <c r="I115" s="19">
        <f t="shared" si="0"/>
        <v>0</v>
      </c>
    </row>
    <row r="116" spans="1:9" ht="15.6" customHeight="1" x14ac:dyDescent="0.25">
      <c r="A116" s="13">
        <v>112</v>
      </c>
      <c r="B116" s="14" t="s">
        <v>278</v>
      </c>
      <c r="C116" s="14" t="s">
        <v>279</v>
      </c>
      <c r="D116" s="15" t="s">
        <v>51</v>
      </c>
      <c r="E116" s="16" t="s">
        <v>51</v>
      </c>
      <c r="F116" s="17">
        <v>1</v>
      </c>
      <c r="G116" s="18"/>
      <c r="H116" s="18"/>
      <c r="I116" s="19">
        <f t="shared" si="0"/>
        <v>0</v>
      </c>
    </row>
    <row r="117" spans="1:9" ht="15.6" customHeight="1" x14ac:dyDescent="0.25">
      <c r="A117" s="13">
        <v>113</v>
      </c>
      <c r="B117" s="14" t="s">
        <v>280</v>
      </c>
      <c r="C117" s="14" t="s">
        <v>281</v>
      </c>
      <c r="D117" s="15" t="s">
        <v>282</v>
      </c>
      <c r="E117" s="16" t="s">
        <v>282</v>
      </c>
      <c r="F117" s="17">
        <v>1.2</v>
      </c>
      <c r="G117" s="18"/>
      <c r="H117" s="18"/>
      <c r="I117" s="19">
        <f t="shared" si="0"/>
        <v>0</v>
      </c>
    </row>
    <row r="118" spans="1:9" ht="15.6" customHeight="1" x14ac:dyDescent="0.25">
      <c r="A118" s="13">
        <v>114</v>
      </c>
      <c r="B118" s="14" t="s">
        <v>283</v>
      </c>
      <c r="C118" s="14" t="s">
        <v>284</v>
      </c>
      <c r="D118" s="15" t="s">
        <v>51</v>
      </c>
      <c r="E118" s="16" t="s">
        <v>51</v>
      </c>
      <c r="F118" s="17">
        <v>3.5</v>
      </c>
      <c r="G118" s="18"/>
      <c r="H118" s="18"/>
      <c r="I118" s="19">
        <f t="shared" si="0"/>
        <v>0</v>
      </c>
    </row>
    <row r="119" spans="1:9" ht="15.6" customHeight="1" x14ac:dyDescent="0.25">
      <c r="A119" s="13">
        <v>115</v>
      </c>
      <c r="B119" s="14" t="s">
        <v>285</v>
      </c>
      <c r="C119" s="14" t="s">
        <v>286</v>
      </c>
      <c r="D119" s="15" t="s">
        <v>51</v>
      </c>
      <c r="E119" s="16" t="s">
        <v>51</v>
      </c>
      <c r="F119" s="17">
        <v>0.7</v>
      </c>
      <c r="G119" s="18"/>
      <c r="H119" s="18"/>
      <c r="I119" s="19">
        <f t="shared" si="0"/>
        <v>0</v>
      </c>
    </row>
    <row r="120" spans="1:9" ht="15.6" customHeight="1" x14ac:dyDescent="0.25">
      <c r="A120" s="13">
        <v>116</v>
      </c>
      <c r="B120" s="14" t="s">
        <v>287</v>
      </c>
      <c r="C120" s="14" t="s">
        <v>288</v>
      </c>
      <c r="D120" s="15" t="s">
        <v>37</v>
      </c>
      <c r="E120" s="16" t="s">
        <v>37</v>
      </c>
      <c r="F120" s="17">
        <v>3</v>
      </c>
      <c r="G120" s="18"/>
      <c r="H120" s="18"/>
      <c r="I120" s="19">
        <f t="shared" si="0"/>
        <v>0</v>
      </c>
    </row>
    <row r="121" spans="1:9" ht="15.6" customHeight="1" x14ac:dyDescent="0.25">
      <c r="A121" s="13">
        <v>117</v>
      </c>
      <c r="B121" s="14" t="s">
        <v>289</v>
      </c>
      <c r="C121" s="14" t="s">
        <v>290</v>
      </c>
      <c r="D121" s="15" t="s">
        <v>291</v>
      </c>
      <c r="E121" s="16" t="s">
        <v>291</v>
      </c>
      <c r="F121" s="17">
        <v>1.2</v>
      </c>
      <c r="G121" s="18"/>
      <c r="H121" s="18"/>
      <c r="I121" s="19">
        <f t="shared" si="0"/>
        <v>0</v>
      </c>
    </row>
    <row r="122" spans="1:9" ht="15.6" customHeight="1" x14ac:dyDescent="0.25">
      <c r="A122" s="13">
        <v>118</v>
      </c>
      <c r="B122" s="14" t="s">
        <v>292</v>
      </c>
      <c r="C122" s="14" t="s">
        <v>293</v>
      </c>
      <c r="D122" s="15" t="s">
        <v>294</v>
      </c>
      <c r="E122" s="16" t="s">
        <v>294</v>
      </c>
      <c r="F122" s="17">
        <v>2</v>
      </c>
      <c r="G122" s="18"/>
      <c r="H122" s="18"/>
      <c r="I122" s="19">
        <f t="shared" si="0"/>
        <v>0</v>
      </c>
    </row>
    <row r="123" spans="1:9" ht="15.6" customHeight="1" x14ac:dyDescent="0.25">
      <c r="A123" s="13">
        <v>119</v>
      </c>
      <c r="B123" s="14" t="s">
        <v>295</v>
      </c>
      <c r="C123" s="14" t="s">
        <v>296</v>
      </c>
      <c r="D123" s="15" t="s">
        <v>291</v>
      </c>
      <c r="E123" s="16" t="s">
        <v>291</v>
      </c>
      <c r="F123" s="17">
        <v>1.2</v>
      </c>
      <c r="G123" s="18"/>
      <c r="H123" s="18"/>
      <c r="I123" s="19">
        <f t="shared" si="0"/>
        <v>0</v>
      </c>
    </row>
    <row r="124" spans="1:9" ht="15.6" customHeight="1" x14ac:dyDescent="0.25">
      <c r="A124" s="13">
        <v>120</v>
      </c>
      <c r="B124" s="14" t="s">
        <v>297</v>
      </c>
      <c r="C124" s="14" t="s">
        <v>298</v>
      </c>
      <c r="D124" s="15" t="s">
        <v>294</v>
      </c>
      <c r="E124" s="16" t="s">
        <v>294</v>
      </c>
      <c r="F124" s="17">
        <v>0.5</v>
      </c>
      <c r="G124" s="18"/>
      <c r="H124" s="18"/>
      <c r="I124" s="19">
        <f t="shared" si="0"/>
        <v>0</v>
      </c>
    </row>
    <row r="125" spans="1:9" ht="15.6" customHeight="1" x14ac:dyDescent="0.25">
      <c r="A125" s="13">
        <v>121</v>
      </c>
      <c r="B125" s="14" t="s">
        <v>299</v>
      </c>
      <c r="C125" s="14" t="s">
        <v>300</v>
      </c>
      <c r="D125" s="15" t="s">
        <v>301</v>
      </c>
      <c r="E125" s="16" t="s">
        <v>301</v>
      </c>
      <c r="F125" s="17">
        <v>0.4</v>
      </c>
      <c r="G125" s="18"/>
      <c r="H125" s="18"/>
      <c r="I125" s="19">
        <f t="shared" si="0"/>
        <v>0</v>
      </c>
    </row>
    <row r="126" spans="1:9" ht="15.6" customHeight="1" x14ac:dyDescent="0.25">
      <c r="A126" s="13">
        <v>122</v>
      </c>
      <c r="B126" s="14" t="s">
        <v>302</v>
      </c>
      <c r="C126" s="14" t="s">
        <v>303</v>
      </c>
      <c r="D126" s="15" t="s">
        <v>304</v>
      </c>
      <c r="E126" s="16" t="s">
        <v>304</v>
      </c>
      <c r="F126" s="17">
        <v>0.3</v>
      </c>
      <c r="G126" s="18"/>
      <c r="H126" s="18"/>
      <c r="I126" s="19">
        <f t="shared" si="0"/>
        <v>0</v>
      </c>
    </row>
    <row r="127" spans="1:9" ht="15.6" customHeight="1" x14ac:dyDescent="0.25">
      <c r="A127" s="13">
        <v>123</v>
      </c>
      <c r="B127" s="14" t="s">
        <v>305</v>
      </c>
      <c r="C127" s="14" t="s">
        <v>306</v>
      </c>
      <c r="D127" s="15" t="s">
        <v>307</v>
      </c>
      <c r="E127" s="16" t="s">
        <v>307</v>
      </c>
      <c r="F127" s="17">
        <v>0.8</v>
      </c>
      <c r="G127" s="18"/>
      <c r="H127" s="18"/>
      <c r="I127" s="19">
        <f t="shared" si="0"/>
        <v>0</v>
      </c>
    </row>
    <row r="128" spans="1:9" ht="15.6" customHeight="1" x14ac:dyDescent="0.25">
      <c r="A128" s="13">
        <v>124</v>
      </c>
      <c r="B128" s="14" t="s">
        <v>308</v>
      </c>
      <c r="C128" s="14" t="s">
        <v>309</v>
      </c>
      <c r="D128" s="15" t="s">
        <v>310</v>
      </c>
      <c r="E128" s="16" t="s">
        <v>310</v>
      </c>
      <c r="F128" s="17">
        <v>0.9</v>
      </c>
      <c r="G128" s="18"/>
      <c r="H128" s="18"/>
      <c r="I128" s="19">
        <f t="shared" si="0"/>
        <v>0</v>
      </c>
    </row>
    <row r="129" spans="1:9" ht="15.6" customHeight="1" x14ac:dyDescent="0.25">
      <c r="A129" s="13">
        <v>125</v>
      </c>
      <c r="B129" s="14" t="s">
        <v>311</v>
      </c>
      <c r="C129" s="14" t="s">
        <v>312</v>
      </c>
      <c r="D129" s="15" t="s">
        <v>313</v>
      </c>
      <c r="E129" s="16" t="s">
        <v>313</v>
      </c>
      <c r="F129" s="17">
        <v>6</v>
      </c>
      <c r="G129" s="18"/>
      <c r="H129" s="18"/>
      <c r="I129" s="19">
        <f t="shared" si="0"/>
        <v>0</v>
      </c>
    </row>
    <row r="130" spans="1:9" ht="15.6" customHeight="1" x14ac:dyDescent="0.25">
      <c r="A130" s="13">
        <v>126</v>
      </c>
      <c r="B130" s="14" t="s">
        <v>314</v>
      </c>
      <c r="C130" s="14" t="s">
        <v>315</v>
      </c>
      <c r="D130" s="15" t="s">
        <v>316</v>
      </c>
      <c r="E130" s="16" t="s">
        <v>316</v>
      </c>
      <c r="F130" s="17">
        <v>2</v>
      </c>
      <c r="G130" s="18"/>
      <c r="H130" s="18"/>
      <c r="I130" s="19">
        <f t="shared" si="0"/>
        <v>0</v>
      </c>
    </row>
    <row r="131" spans="1:9" ht="15.6" customHeight="1" x14ac:dyDescent="0.25">
      <c r="A131" s="13">
        <v>127</v>
      </c>
      <c r="B131" s="14" t="s">
        <v>317</v>
      </c>
      <c r="C131" s="14" t="s">
        <v>318</v>
      </c>
      <c r="D131" s="15" t="s">
        <v>316</v>
      </c>
      <c r="E131" s="16" t="s">
        <v>316</v>
      </c>
      <c r="F131" s="17">
        <v>2.5</v>
      </c>
      <c r="G131" s="18"/>
      <c r="H131" s="18"/>
      <c r="I131" s="19">
        <f t="shared" si="0"/>
        <v>0</v>
      </c>
    </row>
    <row r="132" spans="1:9" ht="15.6" customHeight="1" x14ac:dyDescent="0.25">
      <c r="A132" s="13">
        <v>128</v>
      </c>
      <c r="B132" s="14" t="s">
        <v>319</v>
      </c>
      <c r="C132" s="14" t="s">
        <v>320</v>
      </c>
      <c r="D132" s="15" t="s">
        <v>316</v>
      </c>
      <c r="E132" s="16" t="s">
        <v>316</v>
      </c>
      <c r="F132" s="17">
        <v>1.5</v>
      </c>
      <c r="G132" s="18"/>
      <c r="H132" s="18"/>
      <c r="I132" s="19">
        <f t="shared" si="0"/>
        <v>0</v>
      </c>
    </row>
    <row r="133" spans="1:9" ht="15.6" customHeight="1" x14ac:dyDescent="0.25">
      <c r="A133" s="13">
        <v>129</v>
      </c>
      <c r="B133" s="14" t="s">
        <v>321</v>
      </c>
      <c r="C133" s="14" t="s">
        <v>322</v>
      </c>
      <c r="D133" s="15" t="s">
        <v>316</v>
      </c>
      <c r="E133" s="16" t="s">
        <v>316</v>
      </c>
      <c r="F133" s="17">
        <v>7</v>
      </c>
      <c r="G133" s="18"/>
      <c r="H133" s="18"/>
      <c r="I133" s="19">
        <f t="shared" si="0"/>
        <v>0</v>
      </c>
    </row>
    <row r="134" spans="1:9" ht="15.6" customHeight="1" x14ac:dyDescent="0.25">
      <c r="A134" s="13">
        <v>130</v>
      </c>
      <c r="B134" s="14" t="s">
        <v>323</v>
      </c>
      <c r="C134" s="14" t="s">
        <v>324</v>
      </c>
      <c r="D134" s="15" t="s">
        <v>325</v>
      </c>
      <c r="E134" s="16" t="s">
        <v>325</v>
      </c>
      <c r="F134" s="17">
        <v>1</v>
      </c>
      <c r="G134" s="18"/>
      <c r="H134" s="18"/>
      <c r="I134" s="19">
        <f t="shared" si="0"/>
        <v>0</v>
      </c>
    </row>
    <row r="135" spans="1:9" ht="15.6" customHeight="1" x14ac:dyDescent="0.25">
      <c r="A135" s="13">
        <v>131</v>
      </c>
      <c r="B135" s="14" t="s">
        <v>326</v>
      </c>
      <c r="C135" s="14" t="s">
        <v>327</v>
      </c>
      <c r="D135" s="15" t="s">
        <v>325</v>
      </c>
      <c r="E135" s="16" t="s">
        <v>325</v>
      </c>
      <c r="F135" s="17">
        <v>3</v>
      </c>
      <c r="G135" s="18"/>
      <c r="H135" s="18"/>
      <c r="I135" s="19">
        <f t="shared" si="0"/>
        <v>0</v>
      </c>
    </row>
    <row r="136" spans="1:9" ht="15.6" customHeight="1" x14ac:dyDescent="0.25">
      <c r="A136" s="13">
        <v>132</v>
      </c>
      <c r="B136" s="14" t="s">
        <v>328</v>
      </c>
      <c r="C136" s="14" t="s">
        <v>329</v>
      </c>
      <c r="D136" s="15" t="s">
        <v>330</v>
      </c>
      <c r="E136" s="16" t="s">
        <v>330</v>
      </c>
      <c r="F136" s="17">
        <v>0.8</v>
      </c>
      <c r="G136" s="18"/>
      <c r="H136" s="18"/>
      <c r="I136" s="19">
        <f t="shared" si="0"/>
        <v>0</v>
      </c>
    </row>
    <row r="137" spans="1:9" ht="15.6" customHeight="1" x14ac:dyDescent="0.25">
      <c r="A137" s="13">
        <v>133</v>
      </c>
      <c r="B137" s="14" t="s">
        <v>331</v>
      </c>
      <c r="C137" s="14" t="s">
        <v>332</v>
      </c>
      <c r="D137" s="15" t="s">
        <v>313</v>
      </c>
      <c r="E137" s="16" t="s">
        <v>313</v>
      </c>
      <c r="F137" s="17">
        <v>4.5</v>
      </c>
      <c r="G137" s="18"/>
      <c r="H137" s="18"/>
      <c r="I137" s="19">
        <f t="shared" si="0"/>
        <v>0</v>
      </c>
    </row>
    <row r="138" spans="1:9" ht="15.6" customHeight="1" x14ac:dyDescent="0.25">
      <c r="A138" s="13">
        <v>134</v>
      </c>
      <c r="B138" s="14" t="s">
        <v>333</v>
      </c>
      <c r="C138" s="14" t="s">
        <v>334</v>
      </c>
      <c r="D138" s="15" t="s">
        <v>335</v>
      </c>
      <c r="E138" s="16" t="s">
        <v>335</v>
      </c>
      <c r="F138" s="17">
        <v>8</v>
      </c>
      <c r="G138" s="18"/>
      <c r="H138" s="18"/>
      <c r="I138" s="19">
        <f t="shared" si="0"/>
        <v>0</v>
      </c>
    </row>
    <row r="139" spans="1:9" ht="15.6" customHeight="1" x14ac:dyDescent="0.25">
      <c r="A139" s="13">
        <v>135</v>
      </c>
      <c r="B139" s="14" t="s">
        <v>336</v>
      </c>
      <c r="C139" s="14" t="s">
        <v>337</v>
      </c>
      <c r="D139" s="15" t="s">
        <v>338</v>
      </c>
      <c r="E139" s="16" t="s">
        <v>338</v>
      </c>
      <c r="F139" s="17">
        <v>0.7</v>
      </c>
      <c r="G139" s="18"/>
      <c r="H139" s="18"/>
      <c r="I139" s="19">
        <f t="shared" si="0"/>
        <v>0</v>
      </c>
    </row>
    <row r="140" spans="1:9" ht="15.6" customHeight="1" x14ac:dyDescent="0.25">
      <c r="A140" s="13">
        <v>136</v>
      </c>
      <c r="B140" s="14" t="s">
        <v>339</v>
      </c>
      <c r="C140" s="14" t="s">
        <v>340</v>
      </c>
      <c r="D140" s="15" t="s">
        <v>145</v>
      </c>
      <c r="E140" s="16" t="s">
        <v>145</v>
      </c>
      <c r="F140" s="17">
        <v>3</v>
      </c>
      <c r="G140" s="18"/>
      <c r="H140" s="18"/>
      <c r="I140" s="19">
        <f t="shared" si="0"/>
        <v>0</v>
      </c>
    </row>
    <row r="141" spans="1:9" ht="16.8" customHeight="1" x14ac:dyDescent="0.25">
      <c r="A141" s="5" t="s">
        <v>341</v>
      </c>
      <c r="B141" s="5"/>
      <c r="C141" s="5"/>
      <c r="D141" s="5" t="s">
        <v>342</v>
      </c>
      <c r="E141" s="5"/>
      <c r="F141" s="21">
        <f>SUM(F5:F140)</f>
        <v>477.19999999999982</v>
      </c>
      <c r="G141" s="22"/>
      <c r="H141" s="21">
        <f>SUM(H5:H140)</f>
        <v>0</v>
      </c>
      <c r="I141" s="23">
        <f t="shared" si="0"/>
        <v>0</v>
      </c>
    </row>
  </sheetData>
  <mergeCells count="144">
    <mergeCell ref="D137:E137"/>
    <mergeCell ref="D138:E138"/>
    <mergeCell ref="D139:E139"/>
    <mergeCell ref="D140:E140"/>
    <mergeCell ref="A141:C141"/>
    <mergeCell ref="D141:E141"/>
    <mergeCell ref="D131:E131"/>
    <mergeCell ref="D132:E132"/>
    <mergeCell ref="D133:E133"/>
    <mergeCell ref="D134:E134"/>
    <mergeCell ref="D135:E135"/>
    <mergeCell ref="D136:E136"/>
    <mergeCell ref="D125:E125"/>
    <mergeCell ref="D126:E126"/>
    <mergeCell ref="D127:E127"/>
    <mergeCell ref="D128:E128"/>
    <mergeCell ref="D129:E129"/>
    <mergeCell ref="D130:E130"/>
    <mergeCell ref="D119:E119"/>
    <mergeCell ref="D120:E120"/>
    <mergeCell ref="D121:E121"/>
    <mergeCell ref="D122:E122"/>
    <mergeCell ref="D123:E123"/>
    <mergeCell ref="D124:E124"/>
    <mergeCell ref="D113:E113"/>
    <mergeCell ref="D114:E114"/>
    <mergeCell ref="D115:E115"/>
    <mergeCell ref="D116:E116"/>
    <mergeCell ref="D117:E117"/>
    <mergeCell ref="D118:E118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35C8-3235-49BC-BCD4-53E5696F5C4D}">
  <sheetPr codeName="Sheet2"/>
  <dimension ref="A1:I21"/>
  <sheetViews>
    <sheetView zoomScaleNormal="100" workbookViewId="0">
      <selection activeCell="D22" sqref="D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17</v>
      </c>
      <c r="C5" s="14" t="s">
        <v>18</v>
      </c>
      <c r="D5" s="15" t="s">
        <v>19</v>
      </c>
      <c r="E5" s="16" t="s">
        <v>19</v>
      </c>
      <c r="F5" s="17">
        <v>11.5</v>
      </c>
      <c r="G5" s="17"/>
      <c r="H5" s="17"/>
      <c r="I5" s="19">
        <f t="shared" ref="I5:I21" si="0">H5/F5</f>
        <v>0</v>
      </c>
    </row>
    <row r="6" spans="1:9" ht="15.6" customHeight="1" x14ac:dyDescent="0.25">
      <c r="A6" s="13">
        <v>2</v>
      </c>
      <c r="B6" s="14" t="s">
        <v>44</v>
      </c>
      <c r="C6" s="14" t="s">
        <v>45</v>
      </c>
      <c r="D6" s="15" t="s">
        <v>46</v>
      </c>
      <c r="E6" s="16" t="s">
        <v>46</v>
      </c>
      <c r="F6" s="17">
        <v>5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57</v>
      </c>
      <c r="C7" s="14" t="s">
        <v>58</v>
      </c>
      <c r="D7" s="15" t="s">
        <v>59</v>
      </c>
      <c r="E7" s="16" t="s">
        <v>59</v>
      </c>
      <c r="F7" s="20">
        <v>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63</v>
      </c>
      <c r="C8" s="14" t="s">
        <v>64</v>
      </c>
      <c r="D8" s="15" t="s">
        <v>65</v>
      </c>
      <c r="E8" s="16" t="s">
        <v>65</v>
      </c>
      <c r="F8" s="17">
        <v>2.5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66</v>
      </c>
      <c r="C9" s="14" t="s">
        <v>67</v>
      </c>
      <c r="D9" s="15" t="s">
        <v>68</v>
      </c>
      <c r="E9" s="16" t="s">
        <v>68</v>
      </c>
      <c r="F9" s="17">
        <v>3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69</v>
      </c>
      <c r="C10" s="14" t="s">
        <v>70</v>
      </c>
      <c r="D10" s="15" t="s">
        <v>71</v>
      </c>
      <c r="E10" s="16" t="s">
        <v>71</v>
      </c>
      <c r="F10" s="17">
        <v>1.5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76</v>
      </c>
      <c r="C11" s="14" t="s">
        <v>77</v>
      </c>
      <c r="D11" s="15" t="s">
        <v>56</v>
      </c>
      <c r="E11" s="16" t="s">
        <v>56</v>
      </c>
      <c r="F11" s="17">
        <v>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78</v>
      </c>
      <c r="C12" s="14" t="s">
        <v>79</v>
      </c>
      <c r="D12" s="15" t="s">
        <v>80</v>
      </c>
      <c r="E12" s="16" t="s">
        <v>80</v>
      </c>
      <c r="F12" s="17">
        <v>0.5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93</v>
      </c>
      <c r="C13" s="14" t="s">
        <v>94</v>
      </c>
      <c r="D13" s="15" t="s">
        <v>56</v>
      </c>
      <c r="E13" s="16" t="s">
        <v>56</v>
      </c>
      <c r="F13" s="17">
        <v>0.8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95</v>
      </c>
      <c r="C14" s="14" t="s">
        <v>96</v>
      </c>
      <c r="D14" s="15" t="s">
        <v>68</v>
      </c>
      <c r="E14" s="16" t="s">
        <v>68</v>
      </c>
      <c r="F14" s="17">
        <v>2.5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111</v>
      </c>
      <c r="C15" s="14" t="s">
        <v>112</v>
      </c>
      <c r="D15" s="15" t="s">
        <v>113</v>
      </c>
      <c r="E15" s="16" t="s">
        <v>113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114</v>
      </c>
      <c r="C16" s="14" t="s">
        <v>115</v>
      </c>
      <c r="D16" s="15" t="s">
        <v>56</v>
      </c>
      <c r="E16" s="16" t="s">
        <v>56</v>
      </c>
      <c r="F16" s="17">
        <v>1.5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156</v>
      </c>
      <c r="C17" s="14" t="s">
        <v>157</v>
      </c>
      <c r="D17" s="15" t="s">
        <v>56</v>
      </c>
      <c r="E17" s="16" t="s">
        <v>56</v>
      </c>
      <c r="F17" s="17">
        <v>4.5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167</v>
      </c>
      <c r="C18" s="14" t="s">
        <v>168</v>
      </c>
      <c r="D18" s="15" t="s">
        <v>169</v>
      </c>
      <c r="E18" s="16" t="s">
        <v>169</v>
      </c>
      <c r="F18" s="17">
        <v>1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176</v>
      </c>
      <c r="C19" s="14" t="s">
        <v>177</v>
      </c>
      <c r="D19" s="15" t="s">
        <v>178</v>
      </c>
      <c r="E19" s="16" t="s">
        <v>178</v>
      </c>
      <c r="F19" s="17">
        <v>2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323</v>
      </c>
      <c r="C20" s="14" t="s">
        <v>324</v>
      </c>
      <c r="D20" s="15" t="s">
        <v>325</v>
      </c>
      <c r="E20" s="16" t="s">
        <v>325</v>
      </c>
      <c r="F20" s="17">
        <v>1</v>
      </c>
      <c r="G20" s="18"/>
      <c r="H20" s="18"/>
      <c r="I20" s="19">
        <f t="shared" si="0"/>
        <v>0</v>
      </c>
    </row>
    <row r="21" spans="1:9" ht="16.8" customHeight="1" x14ac:dyDescent="0.25">
      <c r="A21" s="5" t="s">
        <v>341</v>
      </c>
      <c r="B21" s="5"/>
      <c r="C21" s="5"/>
      <c r="D21" s="5" t="s">
        <v>343</v>
      </c>
      <c r="E21" s="5"/>
      <c r="F21" s="21">
        <f>SUM(F5:F20)</f>
        <v>42.3</v>
      </c>
      <c r="G21" s="22"/>
      <c r="H21" s="21">
        <f>SUM(H5:H20)</f>
        <v>0</v>
      </c>
      <c r="I21" s="23">
        <f t="shared" si="0"/>
        <v>0</v>
      </c>
    </row>
  </sheetData>
  <mergeCells count="24">
    <mergeCell ref="A21:C21"/>
    <mergeCell ref="D21:E21"/>
    <mergeCell ref="D20:E20"/>
    <mergeCell ref="D19:E19"/>
    <mergeCell ref="D18:E18"/>
    <mergeCell ref="D17:E17"/>
    <mergeCell ref="D15:E15"/>
    <mergeCell ref="D16:E16"/>
    <mergeCell ref="D13:E13"/>
    <mergeCell ref="D14:E14"/>
    <mergeCell ref="D12:E12"/>
    <mergeCell ref="D8:E8"/>
    <mergeCell ref="D9:E9"/>
    <mergeCell ref="D10:E10"/>
    <mergeCell ref="D11:E11"/>
    <mergeCell ref="D7:E7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47A3-2F8F-486B-99B8-851A5B9C34DD}">
  <sheetPr codeName="Sheet3"/>
  <dimension ref="A1:I13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97</v>
      </c>
      <c r="C5" s="14" t="s">
        <v>98</v>
      </c>
      <c r="D5" s="15" t="s">
        <v>99</v>
      </c>
      <c r="E5" s="16" t="s">
        <v>99</v>
      </c>
      <c r="F5" s="17">
        <v>6.7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100</v>
      </c>
      <c r="C6" s="14" t="s">
        <v>101</v>
      </c>
      <c r="D6" s="15" t="s">
        <v>99</v>
      </c>
      <c r="E6" s="16" t="s">
        <v>99</v>
      </c>
      <c r="F6" s="17">
        <v>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102</v>
      </c>
      <c r="C7" s="14" t="s">
        <v>103</v>
      </c>
      <c r="D7" s="15" t="s">
        <v>104</v>
      </c>
      <c r="E7" s="16" t="s">
        <v>104</v>
      </c>
      <c r="F7" s="17">
        <v>1.2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105</v>
      </c>
      <c r="C8" s="14" t="s">
        <v>106</v>
      </c>
      <c r="D8" s="15" t="s">
        <v>104</v>
      </c>
      <c r="E8" s="16" t="s">
        <v>104</v>
      </c>
      <c r="F8" s="17">
        <v>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107</v>
      </c>
      <c r="C9" s="14" t="s">
        <v>108</v>
      </c>
      <c r="D9" s="15" t="s">
        <v>104</v>
      </c>
      <c r="E9" s="16" t="s">
        <v>104</v>
      </c>
      <c r="F9" s="17">
        <v>2.8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109</v>
      </c>
      <c r="C10" s="14" t="s">
        <v>110</v>
      </c>
      <c r="D10" s="15" t="s">
        <v>104</v>
      </c>
      <c r="E10" s="16" t="s">
        <v>104</v>
      </c>
      <c r="F10" s="17">
        <v>0.8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116</v>
      </c>
      <c r="C11" s="14" t="s">
        <v>117</v>
      </c>
      <c r="D11" s="15" t="s">
        <v>104</v>
      </c>
      <c r="E11" s="16" t="s">
        <v>104</v>
      </c>
      <c r="F11" s="17">
        <v>1.2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118</v>
      </c>
      <c r="C12" s="14" t="s">
        <v>119</v>
      </c>
      <c r="D12" s="15" t="s">
        <v>104</v>
      </c>
      <c r="E12" s="16" t="s">
        <v>104</v>
      </c>
      <c r="F12" s="17">
        <v>1.2</v>
      </c>
      <c r="G12" s="18"/>
      <c r="H12" s="18"/>
      <c r="I12" s="19">
        <f t="shared" si="0"/>
        <v>0</v>
      </c>
    </row>
    <row r="13" spans="1:9" ht="16.8" customHeight="1" x14ac:dyDescent="0.25">
      <c r="A13" s="5" t="s">
        <v>341</v>
      </c>
      <c r="B13" s="5"/>
      <c r="C13" s="5"/>
      <c r="D13" s="5" t="s">
        <v>344</v>
      </c>
      <c r="E13" s="5"/>
      <c r="F13" s="21">
        <f>SUM(F5:F12)</f>
        <v>18.899999999999999</v>
      </c>
      <c r="G13" s="22"/>
      <c r="H13" s="21">
        <f>SUM(H5:H12)</f>
        <v>0</v>
      </c>
      <c r="I13" s="23">
        <f t="shared" si="0"/>
        <v>0</v>
      </c>
    </row>
  </sheetData>
  <mergeCells count="16">
    <mergeCell ref="A13:C13"/>
    <mergeCell ref="D13:E13"/>
    <mergeCell ref="D9:E9"/>
    <mergeCell ref="D10:E10"/>
    <mergeCell ref="D11:E11"/>
    <mergeCell ref="D12:E12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E4F2-DA3C-498B-BCEC-176B56AA8FCF}">
  <sheetPr codeName="Sheet4"/>
  <dimension ref="A1:I115"/>
  <sheetViews>
    <sheetView tabSelected="1" topLeftCell="A77" zoomScaleNormal="100" workbookViewId="0">
      <selection activeCell="D116" sqref="D1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115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5" t="s">
        <v>22</v>
      </c>
      <c r="E7" s="16" t="s">
        <v>22</v>
      </c>
      <c r="F7" s="17">
        <v>22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23</v>
      </c>
      <c r="C8" s="14" t="s">
        <v>24</v>
      </c>
      <c r="D8" s="15" t="s">
        <v>25</v>
      </c>
      <c r="E8" s="16" t="s">
        <v>25</v>
      </c>
      <c r="F8" s="17">
        <v>22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28</v>
      </c>
      <c r="E9" s="16" t="s">
        <v>28</v>
      </c>
      <c r="F9" s="17">
        <v>32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5" t="s">
        <v>31</v>
      </c>
      <c r="E10" s="16" t="s">
        <v>31</v>
      </c>
      <c r="F10" s="17">
        <v>12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32</v>
      </c>
      <c r="C11" s="14" t="s">
        <v>33</v>
      </c>
      <c r="D11" s="15" t="s">
        <v>34</v>
      </c>
      <c r="E11" s="16" t="s">
        <v>34</v>
      </c>
      <c r="F11" s="17">
        <v>17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35</v>
      </c>
      <c r="C12" s="14" t="s">
        <v>36</v>
      </c>
      <c r="D12" s="15" t="s">
        <v>37</v>
      </c>
      <c r="E12" s="16" t="s">
        <v>37</v>
      </c>
      <c r="F12" s="17">
        <v>9.6999999999999993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41</v>
      </c>
      <c r="C13" s="14" t="s">
        <v>42</v>
      </c>
      <c r="D13" s="15" t="s">
        <v>43</v>
      </c>
      <c r="E13" s="16" t="s">
        <v>43</v>
      </c>
      <c r="F13" s="17">
        <v>14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47</v>
      </c>
      <c r="C14" s="14" t="s">
        <v>48</v>
      </c>
      <c r="D14" s="15" t="s">
        <v>34</v>
      </c>
      <c r="E14" s="16" t="s">
        <v>34</v>
      </c>
      <c r="F14" s="17">
        <v>3.5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49</v>
      </c>
      <c r="C15" s="14" t="s">
        <v>50</v>
      </c>
      <c r="D15" s="15" t="s">
        <v>51</v>
      </c>
      <c r="E15" s="16" t="s">
        <v>51</v>
      </c>
      <c r="F15" s="17">
        <v>3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52</v>
      </c>
      <c r="C16" s="14" t="s">
        <v>53</v>
      </c>
      <c r="D16" s="15" t="s">
        <v>51</v>
      </c>
      <c r="E16" s="16" t="s">
        <v>51</v>
      </c>
      <c r="F16" s="17">
        <v>3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60</v>
      </c>
      <c r="C17" s="14" t="s">
        <v>61</v>
      </c>
      <c r="D17" s="15" t="s">
        <v>62</v>
      </c>
      <c r="E17" s="16" t="s">
        <v>62</v>
      </c>
      <c r="F17" s="17">
        <v>4</v>
      </c>
      <c r="G17" s="17"/>
      <c r="H17" s="17"/>
      <c r="I17" s="19">
        <f t="shared" si="0"/>
        <v>0</v>
      </c>
    </row>
    <row r="18" spans="1:9" ht="15.6" customHeight="1" x14ac:dyDescent="0.25">
      <c r="A18" s="13">
        <v>14</v>
      </c>
      <c r="B18" s="14" t="s">
        <v>72</v>
      </c>
      <c r="C18" s="14" t="s">
        <v>73</v>
      </c>
      <c r="D18" s="15" t="s">
        <v>68</v>
      </c>
      <c r="E18" s="16"/>
      <c r="F18" s="17">
        <v>3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74</v>
      </c>
      <c r="C19" s="14" t="s">
        <v>75</v>
      </c>
      <c r="D19" s="15" t="s">
        <v>68</v>
      </c>
      <c r="E19" s="16"/>
      <c r="F19" s="17">
        <v>2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81</v>
      </c>
      <c r="C20" s="14" t="s">
        <v>82</v>
      </c>
      <c r="D20" s="15" t="s">
        <v>68</v>
      </c>
      <c r="E20" s="16" t="s">
        <v>68</v>
      </c>
      <c r="F20" s="17">
        <v>3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83</v>
      </c>
      <c r="C21" s="14" t="s">
        <v>84</v>
      </c>
      <c r="D21" s="15" t="s">
        <v>85</v>
      </c>
      <c r="E21" s="16" t="s">
        <v>85</v>
      </c>
      <c r="F21" s="17">
        <v>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86</v>
      </c>
      <c r="C22" s="14" t="s">
        <v>87</v>
      </c>
      <c r="D22" s="15" t="s">
        <v>88</v>
      </c>
      <c r="E22" s="16" t="s">
        <v>88</v>
      </c>
      <c r="F22" s="17">
        <v>1.1000000000000001</v>
      </c>
      <c r="G22" s="18"/>
      <c r="H22" s="18"/>
      <c r="I22" s="19">
        <f t="shared" si="0"/>
        <v>0</v>
      </c>
    </row>
    <row r="23" spans="1:9" ht="15.6" customHeight="1" x14ac:dyDescent="0.25">
      <c r="A23" s="13">
        <v>19</v>
      </c>
      <c r="B23" s="14" t="s">
        <v>91</v>
      </c>
      <c r="C23" s="14" t="s">
        <v>92</v>
      </c>
      <c r="D23" s="15" t="s">
        <v>59</v>
      </c>
      <c r="E23" s="16" t="s">
        <v>59</v>
      </c>
      <c r="F23" s="17">
        <v>1.2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95</v>
      </c>
      <c r="C24" s="14" t="s">
        <v>96</v>
      </c>
      <c r="D24" s="15" t="s">
        <v>68</v>
      </c>
      <c r="E24" s="16" t="s">
        <v>68</v>
      </c>
      <c r="F24" s="17">
        <v>2.5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120</v>
      </c>
      <c r="C25" s="14" t="s">
        <v>121</v>
      </c>
      <c r="D25" s="15" t="s">
        <v>122</v>
      </c>
      <c r="E25" s="16" t="s">
        <v>122</v>
      </c>
      <c r="F25" s="17">
        <v>6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123</v>
      </c>
      <c r="C26" s="14" t="s">
        <v>124</v>
      </c>
      <c r="D26" s="15" t="s">
        <v>125</v>
      </c>
      <c r="E26" s="16" t="s">
        <v>125</v>
      </c>
      <c r="F26" s="17">
        <v>1.5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126</v>
      </c>
      <c r="C27" s="14" t="s">
        <v>127</v>
      </c>
      <c r="D27" s="15" t="s">
        <v>128</v>
      </c>
      <c r="E27" s="16" t="s">
        <v>128</v>
      </c>
      <c r="F27" s="17">
        <v>4.5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129</v>
      </c>
      <c r="C28" s="14" t="s">
        <v>130</v>
      </c>
      <c r="D28" s="15" t="s">
        <v>68</v>
      </c>
      <c r="E28" s="16" t="s">
        <v>68</v>
      </c>
      <c r="F28" s="17">
        <v>0.7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131</v>
      </c>
      <c r="C29" s="14" t="s">
        <v>132</v>
      </c>
      <c r="D29" s="15" t="s">
        <v>68</v>
      </c>
      <c r="E29" s="16" t="s">
        <v>68</v>
      </c>
      <c r="F29" s="17">
        <v>1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133</v>
      </c>
      <c r="C30" s="14" t="s">
        <v>134</v>
      </c>
      <c r="D30" s="15" t="s">
        <v>68</v>
      </c>
      <c r="E30" s="16" t="s">
        <v>68</v>
      </c>
      <c r="F30" s="17">
        <v>2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135</v>
      </c>
      <c r="C31" s="14" t="s">
        <v>136</v>
      </c>
      <c r="D31" s="15" t="s">
        <v>68</v>
      </c>
      <c r="E31" s="16" t="s">
        <v>68</v>
      </c>
      <c r="F31" s="17">
        <v>3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137</v>
      </c>
      <c r="C32" s="14" t="s">
        <v>138</v>
      </c>
      <c r="D32" s="15" t="s">
        <v>68</v>
      </c>
      <c r="E32" s="16" t="s">
        <v>68</v>
      </c>
      <c r="F32" s="17">
        <v>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139</v>
      </c>
      <c r="C33" s="14" t="s">
        <v>140</v>
      </c>
      <c r="D33" s="15" t="s">
        <v>68</v>
      </c>
      <c r="E33" s="16" t="s">
        <v>68</v>
      </c>
      <c r="F33" s="17">
        <v>4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141</v>
      </c>
      <c r="C34" s="14" t="s">
        <v>142</v>
      </c>
      <c r="D34" s="15" t="s">
        <v>68</v>
      </c>
      <c r="E34" s="16" t="s">
        <v>68</v>
      </c>
      <c r="F34" s="17">
        <v>0.5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143</v>
      </c>
      <c r="C35" s="14" t="s">
        <v>144</v>
      </c>
      <c r="D35" s="15" t="s">
        <v>145</v>
      </c>
      <c r="E35" s="16" t="s">
        <v>145</v>
      </c>
      <c r="F35" s="17">
        <v>3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146</v>
      </c>
      <c r="C36" s="14" t="s">
        <v>147</v>
      </c>
      <c r="D36" s="15" t="s">
        <v>68</v>
      </c>
      <c r="E36" s="16" t="s">
        <v>68</v>
      </c>
      <c r="F36" s="17">
        <v>30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148</v>
      </c>
      <c r="C37" s="14" t="s">
        <v>149</v>
      </c>
      <c r="D37" s="15" t="s">
        <v>68</v>
      </c>
      <c r="E37" s="16" t="s">
        <v>68</v>
      </c>
      <c r="F37" s="17">
        <v>1.5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150</v>
      </c>
      <c r="C38" s="14" t="s">
        <v>151</v>
      </c>
      <c r="D38" s="15" t="s">
        <v>68</v>
      </c>
      <c r="E38" s="16" t="s">
        <v>68</v>
      </c>
      <c r="F38" s="17">
        <v>0.8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152</v>
      </c>
      <c r="C39" s="14" t="s">
        <v>153</v>
      </c>
      <c r="D39" s="15" t="s">
        <v>68</v>
      </c>
      <c r="E39" s="16" t="s">
        <v>68</v>
      </c>
      <c r="F39" s="17">
        <v>1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154</v>
      </c>
      <c r="C40" s="14" t="s">
        <v>155</v>
      </c>
      <c r="D40" s="15" t="s">
        <v>68</v>
      </c>
      <c r="E40" s="16" t="s">
        <v>68</v>
      </c>
      <c r="F40" s="17">
        <v>0.5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158</v>
      </c>
      <c r="C41" s="14" t="s">
        <v>159</v>
      </c>
      <c r="D41" s="15" t="s">
        <v>68</v>
      </c>
      <c r="E41" s="16" t="s">
        <v>68</v>
      </c>
      <c r="F41" s="17">
        <v>2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160</v>
      </c>
      <c r="C42" s="14" t="s">
        <v>161</v>
      </c>
      <c r="D42" s="15" t="s">
        <v>68</v>
      </c>
      <c r="E42" s="16" t="s">
        <v>68</v>
      </c>
      <c r="F42" s="17">
        <v>1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162</v>
      </c>
      <c r="C43" s="14" t="s">
        <v>163</v>
      </c>
      <c r="D43" s="15" t="s">
        <v>68</v>
      </c>
      <c r="E43" s="16" t="s">
        <v>68</v>
      </c>
      <c r="F43" s="17">
        <v>1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164</v>
      </c>
      <c r="C44" s="14" t="s">
        <v>165</v>
      </c>
      <c r="D44" s="15" t="s">
        <v>68</v>
      </c>
      <c r="E44" s="16" t="s">
        <v>68</v>
      </c>
      <c r="F44" s="17">
        <v>1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166</v>
      </c>
      <c r="C45" s="14" t="s">
        <v>84</v>
      </c>
      <c r="D45" s="15" t="s">
        <v>65</v>
      </c>
      <c r="E45" s="16" t="s">
        <v>65</v>
      </c>
      <c r="F45" s="17">
        <v>4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170</v>
      </c>
      <c r="C46" s="14" t="s">
        <v>171</v>
      </c>
      <c r="D46" s="15" t="s">
        <v>68</v>
      </c>
      <c r="E46" s="16" t="s">
        <v>68</v>
      </c>
      <c r="F46" s="17">
        <v>3.5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172</v>
      </c>
      <c r="C47" s="14" t="s">
        <v>173</v>
      </c>
      <c r="D47" s="15" t="s">
        <v>65</v>
      </c>
      <c r="E47" s="16" t="s">
        <v>65</v>
      </c>
      <c r="F47" s="17">
        <v>7</v>
      </c>
      <c r="G47" s="18"/>
      <c r="H47" s="18"/>
      <c r="I47" s="19">
        <f t="shared" si="0"/>
        <v>0</v>
      </c>
    </row>
    <row r="48" spans="1:9" ht="15.6" customHeight="1" x14ac:dyDescent="0.25">
      <c r="A48" s="13">
        <v>44</v>
      </c>
      <c r="B48" s="14" t="s">
        <v>174</v>
      </c>
      <c r="C48" s="14" t="s">
        <v>175</v>
      </c>
      <c r="D48" s="15" t="s">
        <v>68</v>
      </c>
      <c r="E48" s="16" t="s">
        <v>68</v>
      </c>
      <c r="F48" s="17">
        <v>2</v>
      </c>
      <c r="G48" s="18"/>
      <c r="H48" s="18"/>
      <c r="I48" s="19">
        <f t="shared" si="0"/>
        <v>0</v>
      </c>
    </row>
    <row r="49" spans="1:9" ht="15.6" customHeight="1" x14ac:dyDescent="0.25">
      <c r="A49" s="13">
        <v>45</v>
      </c>
      <c r="B49" s="14" t="s">
        <v>179</v>
      </c>
      <c r="C49" s="14" t="s">
        <v>180</v>
      </c>
      <c r="D49" s="15" t="s">
        <v>68</v>
      </c>
      <c r="E49" s="16" t="s">
        <v>68</v>
      </c>
      <c r="F49" s="17">
        <v>2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181</v>
      </c>
      <c r="C50" s="14" t="s">
        <v>182</v>
      </c>
      <c r="D50" s="15" t="s">
        <v>65</v>
      </c>
      <c r="E50" s="16" t="s">
        <v>65</v>
      </c>
      <c r="F50" s="17">
        <v>4</v>
      </c>
      <c r="G50" s="18"/>
      <c r="H50" s="18"/>
      <c r="I50" s="19">
        <f t="shared" si="0"/>
        <v>0</v>
      </c>
    </row>
    <row r="51" spans="1:9" ht="15.6" customHeight="1" x14ac:dyDescent="0.25">
      <c r="A51" s="13">
        <v>47</v>
      </c>
      <c r="B51" s="14" t="s">
        <v>183</v>
      </c>
      <c r="C51" s="14" t="s">
        <v>184</v>
      </c>
      <c r="D51" s="15" t="s">
        <v>68</v>
      </c>
      <c r="E51" s="16" t="s">
        <v>68</v>
      </c>
      <c r="F51" s="17">
        <v>0.4</v>
      </c>
      <c r="G51" s="18"/>
      <c r="H51" s="18"/>
      <c r="I51" s="19">
        <f t="shared" si="0"/>
        <v>0</v>
      </c>
    </row>
    <row r="52" spans="1:9" ht="15.6" customHeight="1" x14ac:dyDescent="0.25">
      <c r="A52" s="13">
        <v>48</v>
      </c>
      <c r="B52" s="14" t="s">
        <v>185</v>
      </c>
      <c r="C52" s="14" t="s">
        <v>186</v>
      </c>
      <c r="D52" s="15" t="s">
        <v>187</v>
      </c>
      <c r="E52" s="16" t="s">
        <v>187</v>
      </c>
      <c r="F52" s="17">
        <v>1.9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188</v>
      </c>
      <c r="C53" s="14" t="s">
        <v>189</v>
      </c>
      <c r="D53" s="15" t="s">
        <v>68</v>
      </c>
      <c r="E53" s="16" t="s">
        <v>68</v>
      </c>
      <c r="F53" s="17">
        <v>3</v>
      </c>
      <c r="G53" s="18"/>
      <c r="H53" s="18"/>
      <c r="I53" s="19">
        <f t="shared" si="0"/>
        <v>0</v>
      </c>
    </row>
    <row r="54" spans="1:9" ht="15.6" customHeight="1" x14ac:dyDescent="0.25">
      <c r="A54" s="13">
        <v>50</v>
      </c>
      <c r="B54" s="14" t="s">
        <v>190</v>
      </c>
      <c r="C54" s="14" t="s">
        <v>191</v>
      </c>
      <c r="D54" s="15" t="s">
        <v>187</v>
      </c>
      <c r="E54" s="16" t="s">
        <v>187</v>
      </c>
      <c r="F54" s="17">
        <v>4</v>
      </c>
      <c r="G54" s="18"/>
      <c r="H54" s="18"/>
      <c r="I54" s="19">
        <f t="shared" si="0"/>
        <v>0</v>
      </c>
    </row>
    <row r="55" spans="1:9" ht="15.6" customHeight="1" x14ac:dyDescent="0.25">
      <c r="A55" s="13">
        <v>51</v>
      </c>
      <c r="B55" s="14" t="s">
        <v>192</v>
      </c>
      <c r="C55" s="14" t="s">
        <v>193</v>
      </c>
      <c r="D55" s="15" t="s">
        <v>187</v>
      </c>
      <c r="E55" s="16" t="s">
        <v>187</v>
      </c>
      <c r="F55" s="17">
        <v>2</v>
      </c>
      <c r="G55" s="18"/>
      <c r="H55" s="18"/>
      <c r="I55" s="19">
        <f t="shared" si="0"/>
        <v>0</v>
      </c>
    </row>
    <row r="56" spans="1:9" ht="15.6" customHeight="1" x14ac:dyDescent="0.25">
      <c r="A56" s="13">
        <v>52</v>
      </c>
      <c r="B56" s="14" t="s">
        <v>194</v>
      </c>
      <c r="C56" s="14" t="s">
        <v>195</v>
      </c>
      <c r="D56" s="15" t="s">
        <v>187</v>
      </c>
      <c r="E56" s="16" t="s">
        <v>187</v>
      </c>
      <c r="F56" s="17">
        <v>1</v>
      </c>
      <c r="G56" s="18"/>
      <c r="H56" s="18"/>
      <c r="I56" s="19">
        <f t="shared" si="0"/>
        <v>0</v>
      </c>
    </row>
    <row r="57" spans="1:9" ht="15.6" customHeight="1" x14ac:dyDescent="0.25">
      <c r="A57" s="13">
        <v>53</v>
      </c>
      <c r="B57" s="14" t="s">
        <v>196</v>
      </c>
      <c r="C57" s="14" t="s">
        <v>197</v>
      </c>
      <c r="D57" s="15" t="s">
        <v>68</v>
      </c>
      <c r="E57" s="16" t="s">
        <v>68</v>
      </c>
      <c r="F57" s="17">
        <v>0.6</v>
      </c>
      <c r="G57" s="18"/>
      <c r="H57" s="18"/>
      <c r="I57" s="19">
        <f t="shared" si="0"/>
        <v>0</v>
      </c>
    </row>
    <row r="58" spans="1:9" ht="15.6" customHeight="1" x14ac:dyDescent="0.25">
      <c r="A58" s="13">
        <v>54</v>
      </c>
      <c r="B58" s="14" t="s">
        <v>198</v>
      </c>
      <c r="C58" s="14" t="s">
        <v>199</v>
      </c>
      <c r="D58" s="15" t="s">
        <v>68</v>
      </c>
      <c r="E58" s="16" t="s">
        <v>68</v>
      </c>
      <c r="F58" s="17">
        <v>0.4</v>
      </c>
      <c r="G58" s="18"/>
      <c r="H58" s="18"/>
      <c r="I58" s="19">
        <f t="shared" si="0"/>
        <v>0</v>
      </c>
    </row>
    <row r="59" spans="1:9" ht="15.6" customHeight="1" x14ac:dyDescent="0.25">
      <c r="A59" s="13">
        <v>55</v>
      </c>
      <c r="B59" s="14" t="s">
        <v>200</v>
      </c>
      <c r="C59" s="14" t="s">
        <v>201</v>
      </c>
      <c r="D59" s="15" t="s">
        <v>68</v>
      </c>
      <c r="E59" s="16" t="s">
        <v>68</v>
      </c>
      <c r="F59" s="17">
        <v>0.6</v>
      </c>
      <c r="G59" s="18"/>
      <c r="H59" s="18"/>
      <c r="I59" s="19">
        <f t="shared" si="0"/>
        <v>0</v>
      </c>
    </row>
    <row r="60" spans="1:9" ht="15.6" customHeight="1" x14ac:dyDescent="0.25">
      <c r="A60" s="13">
        <v>56</v>
      </c>
      <c r="B60" s="14" t="s">
        <v>202</v>
      </c>
      <c r="C60" s="14" t="s">
        <v>203</v>
      </c>
      <c r="D60" s="15" t="s">
        <v>68</v>
      </c>
      <c r="E60" s="16" t="s">
        <v>68</v>
      </c>
      <c r="F60" s="17">
        <v>0.4</v>
      </c>
      <c r="G60" s="18"/>
      <c r="H60" s="18"/>
      <c r="I60" s="19">
        <f t="shared" si="0"/>
        <v>0</v>
      </c>
    </row>
    <row r="61" spans="1:9" ht="15.6" customHeight="1" x14ac:dyDescent="0.25">
      <c r="A61" s="13">
        <v>57</v>
      </c>
      <c r="B61" s="14" t="s">
        <v>204</v>
      </c>
      <c r="C61" s="14" t="s">
        <v>205</v>
      </c>
      <c r="D61" s="15" t="s">
        <v>68</v>
      </c>
      <c r="E61" s="16" t="s">
        <v>68</v>
      </c>
      <c r="F61" s="17">
        <v>0.1</v>
      </c>
      <c r="G61" s="18"/>
      <c r="H61" s="18"/>
      <c r="I61" s="19">
        <f t="shared" si="0"/>
        <v>0</v>
      </c>
    </row>
    <row r="62" spans="1:9" ht="15.6" customHeight="1" x14ac:dyDescent="0.25">
      <c r="A62" s="13">
        <v>58</v>
      </c>
      <c r="B62" s="14" t="s">
        <v>206</v>
      </c>
      <c r="C62" s="14" t="s">
        <v>207</v>
      </c>
      <c r="D62" s="15" t="s">
        <v>65</v>
      </c>
      <c r="E62" s="16" t="s">
        <v>65</v>
      </c>
      <c r="F62" s="17">
        <v>4</v>
      </c>
      <c r="G62" s="18"/>
      <c r="H62" s="18"/>
      <c r="I62" s="19">
        <f t="shared" si="0"/>
        <v>0</v>
      </c>
    </row>
    <row r="63" spans="1:9" ht="15.6" customHeight="1" x14ac:dyDescent="0.25">
      <c r="A63" s="13">
        <v>59</v>
      </c>
      <c r="B63" s="14" t="s">
        <v>208</v>
      </c>
      <c r="C63" s="14" t="s">
        <v>209</v>
      </c>
      <c r="D63" s="15" t="s">
        <v>65</v>
      </c>
      <c r="E63" s="16" t="s">
        <v>65</v>
      </c>
      <c r="F63" s="17">
        <v>4</v>
      </c>
      <c r="G63" s="18"/>
      <c r="H63" s="18"/>
      <c r="I63" s="19">
        <f t="shared" si="0"/>
        <v>0</v>
      </c>
    </row>
    <row r="64" spans="1:9" ht="15.6" customHeight="1" x14ac:dyDescent="0.25">
      <c r="A64" s="13">
        <v>60</v>
      </c>
      <c r="B64" s="14" t="s">
        <v>210</v>
      </c>
      <c r="C64" s="14" t="s">
        <v>211</v>
      </c>
      <c r="D64" s="15" t="s">
        <v>212</v>
      </c>
      <c r="E64" s="16" t="s">
        <v>212</v>
      </c>
      <c r="F64" s="17">
        <v>1.2</v>
      </c>
      <c r="G64" s="18"/>
      <c r="H64" s="18"/>
      <c r="I64" s="19">
        <f t="shared" si="0"/>
        <v>0</v>
      </c>
    </row>
    <row r="65" spans="1:9" ht="15.6" customHeight="1" x14ac:dyDescent="0.25">
      <c r="A65" s="13">
        <v>61</v>
      </c>
      <c r="B65" s="14" t="s">
        <v>213</v>
      </c>
      <c r="C65" s="14" t="s">
        <v>214</v>
      </c>
      <c r="D65" s="15" t="s">
        <v>212</v>
      </c>
      <c r="E65" s="16" t="s">
        <v>212</v>
      </c>
      <c r="F65" s="17">
        <v>1.5</v>
      </c>
      <c r="G65" s="18"/>
      <c r="H65" s="18"/>
      <c r="I65" s="19">
        <f t="shared" si="0"/>
        <v>0</v>
      </c>
    </row>
    <row r="66" spans="1:9" ht="15.6" customHeight="1" x14ac:dyDescent="0.25">
      <c r="A66" s="13">
        <v>62</v>
      </c>
      <c r="B66" s="14" t="s">
        <v>215</v>
      </c>
      <c r="C66" s="14" t="s">
        <v>216</v>
      </c>
      <c r="D66" s="15" t="s">
        <v>217</v>
      </c>
      <c r="E66" s="16" t="s">
        <v>217</v>
      </c>
      <c r="F66" s="17">
        <v>4</v>
      </c>
      <c r="G66" s="18"/>
      <c r="H66" s="18"/>
      <c r="I66" s="19">
        <f t="shared" si="0"/>
        <v>0</v>
      </c>
    </row>
    <row r="67" spans="1:9" ht="15.6" customHeight="1" x14ac:dyDescent="0.25">
      <c r="A67" s="13">
        <v>63</v>
      </c>
      <c r="B67" s="14" t="s">
        <v>218</v>
      </c>
      <c r="C67" s="14" t="s">
        <v>219</v>
      </c>
      <c r="D67" s="15" t="s">
        <v>217</v>
      </c>
      <c r="E67" s="16" t="s">
        <v>217</v>
      </c>
      <c r="F67" s="17">
        <v>2</v>
      </c>
      <c r="G67" s="18"/>
      <c r="H67" s="18"/>
      <c r="I67" s="19">
        <f t="shared" si="0"/>
        <v>0</v>
      </c>
    </row>
    <row r="68" spans="1:9" ht="15.6" customHeight="1" x14ac:dyDescent="0.25">
      <c r="A68" s="13">
        <v>64</v>
      </c>
      <c r="B68" s="14" t="s">
        <v>220</v>
      </c>
      <c r="C68" s="14" t="s">
        <v>221</v>
      </c>
      <c r="D68" s="15" t="s">
        <v>217</v>
      </c>
      <c r="E68" s="16" t="s">
        <v>217</v>
      </c>
      <c r="F68" s="17">
        <v>2.5</v>
      </c>
      <c r="G68" s="18"/>
      <c r="H68" s="18"/>
      <c r="I68" s="19">
        <f t="shared" si="0"/>
        <v>0</v>
      </c>
    </row>
    <row r="69" spans="1:9" ht="15.6" customHeight="1" x14ac:dyDescent="0.25">
      <c r="A69" s="13">
        <v>65</v>
      </c>
      <c r="B69" s="14" t="s">
        <v>222</v>
      </c>
      <c r="C69" s="14" t="s">
        <v>223</v>
      </c>
      <c r="D69" s="15" t="s">
        <v>217</v>
      </c>
      <c r="E69" s="16" t="s">
        <v>217</v>
      </c>
      <c r="F69" s="17">
        <v>1</v>
      </c>
      <c r="G69" s="18"/>
      <c r="H69" s="18"/>
      <c r="I69" s="19">
        <f t="shared" si="0"/>
        <v>0</v>
      </c>
    </row>
    <row r="70" spans="1:9" ht="15.6" customHeight="1" x14ac:dyDescent="0.25">
      <c r="A70" s="13">
        <v>66</v>
      </c>
      <c r="B70" s="14" t="s">
        <v>224</v>
      </c>
      <c r="C70" s="14" t="s">
        <v>225</v>
      </c>
      <c r="D70" s="15" t="s">
        <v>217</v>
      </c>
      <c r="E70" s="16" t="s">
        <v>217</v>
      </c>
      <c r="F70" s="17">
        <v>4</v>
      </c>
      <c r="G70" s="18"/>
      <c r="H70" s="18"/>
      <c r="I70" s="19">
        <f t="shared" si="0"/>
        <v>0</v>
      </c>
    </row>
    <row r="71" spans="1:9" ht="15.6" customHeight="1" x14ac:dyDescent="0.25">
      <c r="A71" s="13">
        <v>67</v>
      </c>
      <c r="B71" s="14" t="s">
        <v>226</v>
      </c>
      <c r="C71" s="14" t="s">
        <v>227</v>
      </c>
      <c r="D71" s="15" t="s">
        <v>217</v>
      </c>
      <c r="E71" s="16" t="s">
        <v>217</v>
      </c>
      <c r="F71" s="17">
        <v>2.2999999999999998</v>
      </c>
      <c r="G71" s="18"/>
      <c r="H71" s="18"/>
      <c r="I71" s="19">
        <f t="shared" si="0"/>
        <v>0</v>
      </c>
    </row>
    <row r="72" spans="1:9" ht="15.6" customHeight="1" x14ac:dyDescent="0.25">
      <c r="A72" s="13">
        <v>68</v>
      </c>
      <c r="B72" s="14" t="s">
        <v>228</v>
      </c>
      <c r="C72" s="14" t="s">
        <v>229</v>
      </c>
      <c r="D72" s="15" t="s">
        <v>230</v>
      </c>
      <c r="E72" s="16" t="s">
        <v>230</v>
      </c>
      <c r="F72" s="17">
        <v>1</v>
      </c>
      <c r="G72" s="18"/>
      <c r="H72" s="18"/>
      <c r="I72" s="19">
        <f t="shared" si="0"/>
        <v>0</v>
      </c>
    </row>
    <row r="73" spans="1:9" ht="15.6" customHeight="1" x14ac:dyDescent="0.25">
      <c r="A73" s="13">
        <v>69</v>
      </c>
      <c r="B73" s="14" t="s">
        <v>231</v>
      </c>
      <c r="C73" s="14" t="s">
        <v>232</v>
      </c>
      <c r="D73" s="15" t="s">
        <v>233</v>
      </c>
      <c r="E73" s="16" t="s">
        <v>233</v>
      </c>
      <c r="F73" s="17">
        <v>0.6</v>
      </c>
      <c r="G73" s="18"/>
      <c r="H73" s="18"/>
      <c r="I73" s="19">
        <f t="shared" si="0"/>
        <v>0</v>
      </c>
    </row>
    <row r="74" spans="1:9" ht="15.6" customHeight="1" x14ac:dyDescent="0.25">
      <c r="A74" s="13">
        <v>70</v>
      </c>
      <c r="B74" s="14" t="s">
        <v>234</v>
      </c>
      <c r="C74" s="14" t="s">
        <v>235</v>
      </c>
      <c r="D74" s="15" t="s">
        <v>68</v>
      </c>
      <c r="E74" s="16" t="s">
        <v>68</v>
      </c>
      <c r="F74" s="17">
        <v>3</v>
      </c>
      <c r="G74" s="18"/>
      <c r="H74" s="18"/>
      <c r="I74" s="19">
        <f t="shared" si="0"/>
        <v>0</v>
      </c>
    </row>
    <row r="75" spans="1:9" ht="15.6" customHeight="1" x14ac:dyDescent="0.25">
      <c r="A75" s="13">
        <v>71</v>
      </c>
      <c r="B75" s="14" t="s">
        <v>236</v>
      </c>
      <c r="C75" s="14" t="s">
        <v>237</v>
      </c>
      <c r="D75" s="15" t="s">
        <v>238</v>
      </c>
      <c r="E75" s="16" t="s">
        <v>238</v>
      </c>
      <c r="F75" s="17">
        <v>0.9</v>
      </c>
      <c r="G75" s="18"/>
      <c r="H75" s="18"/>
      <c r="I75" s="19">
        <f t="shared" si="0"/>
        <v>0</v>
      </c>
    </row>
    <row r="76" spans="1:9" ht="15.6" customHeight="1" x14ac:dyDescent="0.25">
      <c r="A76" s="13">
        <v>72</v>
      </c>
      <c r="B76" s="14" t="s">
        <v>239</v>
      </c>
      <c r="C76" s="14" t="s">
        <v>240</v>
      </c>
      <c r="D76" s="15" t="s">
        <v>68</v>
      </c>
      <c r="E76" s="16" t="s">
        <v>68</v>
      </c>
      <c r="F76" s="17">
        <v>0.6</v>
      </c>
      <c r="G76" s="18"/>
      <c r="H76" s="18"/>
      <c r="I76" s="19">
        <f t="shared" si="0"/>
        <v>0</v>
      </c>
    </row>
    <row r="77" spans="1:9" ht="15.6" customHeight="1" x14ac:dyDescent="0.25">
      <c r="A77" s="13">
        <v>73</v>
      </c>
      <c r="B77" s="14" t="s">
        <v>241</v>
      </c>
      <c r="C77" s="14" t="s">
        <v>242</v>
      </c>
      <c r="D77" s="15" t="s">
        <v>68</v>
      </c>
      <c r="E77" s="16" t="s">
        <v>68</v>
      </c>
      <c r="F77" s="17">
        <v>0.6</v>
      </c>
      <c r="G77" s="18"/>
      <c r="H77" s="18"/>
      <c r="I77" s="19">
        <f t="shared" si="0"/>
        <v>0</v>
      </c>
    </row>
    <row r="78" spans="1:9" ht="15.6" customHeight="1" x14ac:dyDescent="0.25">
      <c r="A78" s="13">
        <v>74</v>
      </c>
      <c r="B78" s="14" t="s">
        <v>243</v>
      </c>
      <c r="C78" s="14" t="s">
        <v>244</v>
      </c>
      <c r="D78" s="15" t="s">
        <v>68</v>
      </c>
      <c r="E78" s="16" t="s">
        <v>68</v>
      </c>
      <c r="F78" s="17">
        <v>1.2</v>
      </c>
      <c r="G78" s="18"/>
      <c r="H78" s="18"/>
      <c r="I78" s="19">
        <f t="shared" si="0"/>
        <v>0</v>
      </c>
    </row>
    <row r="79" spans="1:9" ht="15.6" customHeight="1" x14ac:dyDescent="0.25">
      <c r="A79" s="13">
        <v>75</v>
      </c>
      <c r="B79" s="14" t="s">
        <v>245</v>
      </c>
      <c r="C79" s="14" t="s">
        <v>246</v>
      </c>
      <c r="D79" s="15" t="s">
        <v>247</v>
      </c>
      <c r="E79" s="16" t="s">
        <v>247</v>
      </c>
      <c r="F79" s="17">
        <v>5.5</v>
      </c>
      <c r="G79" s="18"/>
      <c r="H79" s="18"/>
      <c r="I79" s="19">
        <f t="shared" si="0"/>
        <v>0</v>
      </c>
    </row>
    <row r="80" spans="1:9" ht="15.6" customHeight="1" x14ac:dyDescent="0.25">
      <c r="A80" s="13">
        <v>76</v>
      </c>
      <c r="B80" s="14" t="s">
        <v>248</v>
      </c>
      <c r="C80" s="14" t="s">
        <v>249</v>
      </c>
      <c r="D80" s="15" t="s">
        <v>250</v>
      </c>
      <c r="E80" s="16" t="s">
        <v>250</v>
      </c>
      <c r="F80" s="17">
        <v>0.4</v>
      </c>
      <c r="G80" s="18"/>
      <c r="H80" s="18"/>
      <c r="I80" s="19">
        <f t="shared" si="0"/>
        <v>0</v>
      </c>
    </row>
    <row r="81" spans="1:9" ht="15.6" customHeight="1" x14ac:dyDescent="0.25">
      <c r="A81" s="13">
        <v>77</v>
      </c>
      <c r="B81" s="14" t="s">
        <v>251</v>
      </c>
      <c r="C81" s="14" t="s">
        <v>252</v>
      </c>
      <c r="D81" s="15" t="s">
        <v>253</v>
      </c>
      <c r="E81" s="16" t="s">
        <v>253</v>
      </c>
      <c r="F81" s="17">
        <v>1</v>
      </c>
      <c r="G81" s="18"/>
      <c r="H81" s="18"/>
      <c r="I81" s="19">
        <f t="shared" si="0"/>
        <v>0</v>
      </c>
    </row>
    <row r="82" spans="1:9" ht="15.6" customHeight="1" x14ac:dyDescent="0.25">
      <c r="A82" s="13">
        <v>78</v>
      </c>
      <c r="B82" s="14" t="s">
        <v>254</v>
      </c>
      <c r="C82" s="14" t="s">
        <v>255</v>
      </c>
      <c r="D82" s="15" t="s">
        <v>256</v>
      </c>
      <c r="E82" s="16" t="s">
        <v>256</v>
      </c>
      <c r="F82" s="17">
        <v>0.5</v>
      </c>
      <c r="G82" s="18"/>
      <c r="H82" s="18"/>
      <c r="I82" s="19">
        <f t="shared" si="0"/>
        <v>0</v>
      </c>
    </row>
    <row r="83" spans="1:9" ht="15.6" customHeight="1" x14ac:dyDescent="0.25">
      <c r="A83" s="13">
        <v>79</v>
      </c>
      <c r="B83" s="14" t="s">
        <v>257</v>
      </c>
      <c r="C83" s="14" t="s">
        <v>258</v>
      </c>
      <c r="D83" s="15" t="s">
        <v>256</v>
      </c>
      <c r="E83" s="16" t="s">
        <v>256</v>
      </c>
      <c r="F83" s="17">
        <v>0.7</v>
      </c>
      <c r="G83" s="18"/>
      <c r="H83" s="18"/>
      <c r="I83" s="19">
        <f t="shared" si="0"/>
        <v>0</v>
      </c>
    </row>
    <row r="84" spans="1:9" ht="15.6" customHeight="1" x14ac:dyDescent="0.25">
      <c r="A84" s="13">
        <v>80</v>
      </c>
      <c r="B84" s="14" t="s">
        <v>259</v>
      </c>
      <c r="C84" s="14" t="s">
        <v>260</v>
      </c>
      <c r="D84" s="15" t="s">
        <v>261</v>
      </c>
      <c r="E84" s="16" t="s">
        <v>261</v>
      </c>
      <c r="F84" s="17">
        <v>0.9</v>
      </c>
      <c r="G84" s="18"/>
      <c r="H84" s="18"/>
      <c r="I84" s="19">
        <f t="shared" si="0"/>
        <v>0</v>
      </c>
    </row>
    <row r="85" spans="1:9" ht="15.6" customHeight="1" x14ac:dyDescent="0.25">
      <c r="A85" s="13">
        <v>81</v>
      </c>
      <c r="B85" s="14" t="s">
        <v>262</v>
      </c>
      <c r="C85" s="14" t="s">
        <v>263</v>
      </c>
      <c r="D85" s="15" t="s">
        <v>264</v>
      </c>
      <c r="E85" s="16" t="s">
        <v>264</v>
      </c>
      <c r="F85" s="17">
        <v>3</v>
      </c>
      <c r="G85" s="18"/>
      <c r="H85" s="18"/>
      <c r="I85" s="19">
        <f t="shared" si="0"/>
        <v>0</v>
      </c>
    </row>
    <row r="86" spans="1:9" ht="15.6" customHeight="1" x14ac:dyDescent="0.25">
      <c r="A86" s="13">
        <v>82</v>
      </c>
      <c r="B86" s="14" t="s">
        <v>265</v>
      </c>
      <c r="C86" s="14" t="s">
        <v>266</v>
      </c>
      <c r="D86" s="15" t="s">
        <v>267</v>
      </c>
      <c r="E86" s="16" t="s">
        <v>267</v>
      </c>
      <c r="F86" s="17">
        <v>2</v>
      </c>
      <c r="G86" s="18"/>
      <c r="H86" s="18"/>
      <c r="I86" s="19">
        <f t="shared" si="0"/>
        <v>0</v>
      </c>
    </row>
    <row r="87" spans="1:9" ht="15.6" customHeight="1" x14ac:dyDescent="0.25">
      <c r="A87" s="13">
        <v>83</v>
      </c>
      <c r="B87" s="14" t="s">
        <v>268</v>
      </c>
      <c r="C87" s="14" t="s">
        <v>269</v>
      </c>
      <c r="D87" s="15" t="s">
        <v>270</v>
      </c>
      <c r="E87" s="16" t="s">
        <v>270</v>
      </c>
      <c r="F87" s="17">
        <v>1</v>
      </c>
      <c r="G87" s="18"/>
      <c r="H87" s="18"/>
      <c r="I87" s="19">
        <f t="shared" si="0"/>
        <v>0</v>
      </c>
    </row>
    <row r="88" spans="1:9" ht="15.6" customHeight="1" x14ac:dyDescent="0.25">
      <c r="A88" s="13">
        <v>84</v>
      </c>
      <c r="B88" s="14" t="s">
        <v>271</v>
      </c>
      <c r="C88" s="14" t="s">
        <v>272</v>
      </c>
      <c r="D88" s="15" t="s">
        <v>273</v>
      </c>
      <c r="E88" s="16" t="s">
        <v>273</v>
      </c>
      <c r="F88" s="17">
        <v>0.8</v>
      </c>
      <c r="G88" s="18"/>
      <c r="H88" s="18"/>
      <c r="I88" s="19">
        <f t="shared" si="0"/>
        <v>0</v>
      </c>
    </row>
    <row r="89" spans="1:9" ht="15.6" customHeight="1" x14ac:dyDescent="0.25">
      <c r="A89" s="13">
        <v>85</v>
      </c>
      <c r="B89" s="14" t="s">
        <v>274</v>
      </c>
      <c r="C89" s="14" t="s">
        <v>275</v>
      </c>
      <c r="D89" s="15" t="s">
        <v>145</v>
      </c>
      <c r="E89" s="16" t="s">
        <v>145</v>
      </c>
      <c r="F89" s="17">
        <v>2.7</v>
      </c>
      <c r="G89" s="18"/>
      <c r="H89" s="18"/>
      <c r="I89" s="19">
        <f t="shared" si="0"/>
        <v>0</v>
      </c>
    </row>
    <row r="90" spans="1:9" ht="15.6" customHeight="1" x14ac:dyDescent="0.25">
      <c r="A90" s="13">
        <v>86</v>
      </c>
      <c r="B90" s="14" t="s">
        <v>276</v>
      </c>
      <c r="C90" s="14" t="s">
        <v>277</v>
      </c>
      <c r="D90" s="15" t="s">
        <v>51</v>
      </c>
      <c r="E90" s="16" t="s">
        <v>51</v>
      </c>
      <c r="F90" s="17">
        <v>1.5</v>
      </c>
      <c r="G90" s="18"/>
      <c r="H90" s="18"/>
      <c r="I90" s="19">
        <f t="shared" si="0"/>
        <v>0</v>
      </c>
    </row>
    <row r="91" spans="1:9" ht="15.6" customHeight="1" x14ac:dyDescent="0.25">
      <c r="A91" s="13">
        <v>87</v>
      </c>
      <c r="B91" s="14" t="s">
        <v>278</v>
      </c>
      <c r="C91" s="14" t="s">
        <v>279</v>
      </c>
      <c r="D91" s="15" t="s">
        <v>51</v>
      </c>
      <c r="E91" s="16" t="s">
        <v>51</v>
      </c>
      <c r="F91" s="17">
        <v>1</v>
      </c>
      <c r="G91" s="18"/>
      <c r="H91" s="18"/>
      <c r="I91" s="19">
        <f t="shared" si="0"/>
        <v>0</v>
      </c>
    </row>
    <row r="92" spans="1:9" ht="15.6" customHeight="1" x14ac:dyDescent="0.25">
      <c r="A92" s="13">
        <v>88</v>
      </c>
      <c r="B92" s="14" t="s">
        <v>280</v>
      </c>
      <c r="C92" s="14" t="s">
        <v>281</v>
      </c>
      <c r="D92" s="15" t="s">
        <v>282</v>
      </c>
      <c r="E92" s="16" t="s">
        <v>282</v>
      </c>
      <c r="F92" s="17">
        <v>1.2</v>
      </c>
      <c r="G92" s="18"/>
      <c r="H92" s="18"/>
      <c r="I92" s="19">
        <f t="shared" si="0"/>
        <v>0</v>
      </c>
    </row>
    <row r="93" spans="1:9" ht="15.6" customHeight="1" x14ac:dyDescent="0.25">
      <c r="A93" s="13">
        <v>89</v>
      </c>
      <c r="B93" s="14" t="s">
        <v>283</v>
      </c>
      <c r="C93" s="14" t="s">
        <v>284</v>
      </c>
      <c r="D93" s="15" t="s">
        <v>51</v>
      </c>
      <c r="E93" s="16" t="s">
        <v>51</v>
      </c>
      <c r="F93" s="17">
        <v>3.5</v>
      </c>
      <c r="G93" s="18"/>
      <c r="H93" s="18"/>
      <c r="I93" s="19">
        <f t="shared" si="0"/>
        <v>0</v>
      </c>
    </row>
    <row r="94" spans="1:9" ht="15.6" customHeight="1" x14ac:dyDescent="0.25">
      <c r="A94" s="13">
        <v>90</v>
      </c>
      <c r="B94" s="14" t="s">
        <v>285</v>
      </c>
      <c r="C94" s="14" t="s">
        <v>286</v>
      </c>
      <c r="D94" s="15" t="s">
        <v>51</v>
      </c>
      <c r="E94" s="16" t="s">
        <v>51</v>
      </c>
      <c r="F94" s="17">
        <v>0.7</v>
      </c>
      <c r="G94" s="18"/>
      <c r="H94" s="18"/>
      <c r="I94" s="19">
        <f t="shared" si="0"/>
        <v>0</v>
      </c>
    </row>
    <row r="95" spans="1:9" ht="15.6" customHeight="1" x14ac:dyDescent="0.25">
      <c r="A95" s="13">
        <v>91</v>
      </c>
      <c r="B95" s="14" t="s">
        <v>287</v>
      </c>
      <c r="C95" s="14" t="s">
        <v>288</v>
      </c>
      <c r="D95" s="15" t="s">
        <v>37</v>
      </c>
      <c r="E95" s="16" t="s">
        <v>37</v>
      </c>
      <c r="F95" s="17">
        <v>3</v>
      </c>
      <c r="G95" s="18"/>
      <c r="H95" s="18"/>
      <c r="I95" s="19">
        <f t="shared" si="0"/>
        <v>0</v>
      </c>
    </row>
    <row r="96" spans="1:9" ht="15.6" customHeight="1" x14ac:dyDescent="0.25">
      <c r="A96" s="13">
        <v>92</v>
      </c>
      <c r="B96" s="14" t="s">
        <v>289</v>
      </c>
      <c r="C96" s="14" t="s">
        <v>290</v>
      </c>
      <c r="D96" s="15" t="s">
        <v>291</v>
      </c>
      <c r="E96" s="16" t="s">
        <v>291</v>
      </c>
      <c r="F96" s="17">
        <v>1.2</v>
      </c>
      <c r="G96" s="18"/>
      <c r="H96" s="18"/>
      <c r="I96" s="19">
        <f t="shared" si="0"/>
        <v>0</v>
      </c>
    </row>
    <row r="97" spans="1:9" ht="15.6" customHeight="1" x14ac:dyDescent="0.25">
      <c r="A97" s="13">
        <v>93</v>
      </c>
      <c r="B97" s="14" t="s">
        <v>292</v>
      </c>
      <c r="C97" s="14" t="s">
        <v>293</v>
      </c>
      <c r="D97" s="15" t="s">
        <v>294</v>
      </c>
      <c r="E97" s="16" t="s">
        <v>294</v>
      </c>
      <c r="F97" s="17">
        <v>2</v>
      </c>
      <c r="G97" s="18"/>
      <c r="H97" s="18"/>
      <c r="I97" s="19">
        <f t="shared" si="0"/>
        <v>0</v>
      </c>
    </row>
    <row r="98" spans="1:9" ht="15.6" customHeight="1" x14ac:dyDescent="0.25">
      <c r="A98" s="13">
        <v>94</v>
      </c>
      <c r="B98" s="14" t="s">
        <v>295</v>
      </c>
      <c r="C98" s="14" t="s">
        <v>296</v>
      </c>
      <c r="D98" s="15" t="s">
        <v>291</v>
      </c>
      <c r="E98" s="16" t="s">
        <v>291</v>
      </c>
      <c r="F98" s="17">
        <v>1.2</v>
      </c>
      <c r="G98" s="18"/>
      <c r="H98" s="18"/>
      <c r="I98" s="19">
        <f t="shared" si="0"/>
        <v>0</v>
      </c>
    </row>
    <row r="99" spans="1:9" ht="15.6" customHeight="1" x14ac:dyDescent="0.25">
      <c r="A99" s="13">
        <v>95</v>
      </c>
      <c r="B99" s="14" t="s">
        <v>297</v>
      </c>
      <c r="C99" s="14" t="s">
        <v>298</v>
      </c>
      <c r="D99" s="15" t="s">
        <v>294</v>
      </c>
      <c r="E99" s="16" t="s">
        <v>294</v>
      </c>
      <c r="F99" s="17">
        <v>0.5</v>
      </c>
      <c r="G99" s="18"/>
      <c r="H99" s="18"/>
      <c r="I99" s="19">
        <f t="shared" si="0"/>
        <v>0</v>
      </c>
    </row>
    <row r="100" spans="1:9" ht="15.6" customHeight="1" x14ac:dyDescent="0.25">
      <c r="A100" s="13">
        <v>96</v>
      </c>
      <c r="B100" s="14" t="s">
        <v>299</v>
      </c>
      <c r="C100" s="14" t="s">
        <v>300</v>
      </c>
      <c r="D100" s="15" t="s">
        <v>301</v>
      </c>
      <c r="E100" s="16" t="s">
        <v>301</v>
      </c>
      <c r="F100" s="17">
        <v>0.4</v>
      </c>
      <c r="G100" s="18"/>
      <c r="H100" s="18"/>
      <c r="I100" s="19">
        <f t="shared" si="0"/>
        <v>0</v>
      </c>
    </row>
    <row r="101" spans="1:9" ht="15.6" customHeight="1" x14ac:dyDescent="0.25">
      <c r="A101" s="13">
        <v>97</v>
      </c>
      <c r="B101" s="14" t="s">
        <v>302</v>
      </c>
      <c r="C101" s="14" t="s">
        <v>303</v>
      </c>
      <c r="D101" s="15" t="s">
        <v>304</v>
      </c>
      <c r="E101" s="16" t="s">
        <v>304</v>
      </c>
      <c r="F101" s="17">
        <v>0.3</v>
      </c>
      <c r="G101" s="18"/>
      <c r="H101" s="18"/>
      <c r="I101" s="19">
        <f t="shared" si="0"/>
        <v>0</v>
      </c>
    </row>
    <row r="102" spans="1:9" ht="15.6" customHeight="1" x14ac:dyDescent="0.25">
      <c r="A102" s="13">
        <v>98</v>
      </c>
      <c r="B102" s="14" t="s">
        <v>305</v>
      </c>
      <c r="C102" s="14" t="s">
        <v>306</v>
      </c>
      <c r="D102" s="15" t="s">
        <v>307</v>
      </c>
      <c r="E102" s="16" t="s">
        <v>307</v>
      </c>
      <c r="F102" s="17">
        <v>0.8</v>
      </c>
      <c r="G102" s="18"/>
      <c r="H102" s="18"/>
      <c r="I102" s="19">
        <f t="shared" si="0"/>
        <v>0</v>
      </c>
    </row>
    <row r="103" spans="1:9" ht="15.6" customHeight="1" x14ac:dyDescent="0.25">
      <c r="A103" s="13">
        <v>99</v>
      </c>
      <c r="B103" s="14" t="s">
        <v>308</v>
      </c>
      <c r="C103" s="14" t="s">
        <v>309</v>
      </c>
      <c r="D103" s="15" t="s">
        <v>310</v>
      </c>
      <c r="E103" s="16" t="s">
        <v>310</v>
      </c>
      <c r="F103" s="17">
        <v>0.9</v>
      </c>
      <c r="G103" s="18"/>
      <c r="H103" s="18"/>
      <c r="I103" s="19">
        <f t="shared" si="0"/>
        <v>0</v>
      </c>
    </row>
    <row r="104" spans="1:9" ht="15.6" customHeight="1" x14ac:dyDescent="0.25">
      <c r="A104" s="13">
        <v>100</v>
      </c>
      <c r="B104" s="14" t="s">
        <v>311</v>
      </c>
      <c r="C104" s="14" t="s">
        <v>312</v>
      </c>
      <c r="D104" s="15" t="s">
        <v>313</v>
      </c>
      <c r="E104" s="16" t="s">
        <v>313</v>
      </c>
      <c r="F104" s="17">
        <v>6</v>
      </c>
      <c r="G104" s="18"/>
      <c r="H104" s="18"/>
      <c r="I104" s="19">
        <f t="shared" si="0"/>
        <v>0</v>
      </c>
    </row>
    <row r="105" spans="1:9" ht="15.6" customHeight="1" x14ac:dyDescent="0.25">
      <c r="A105" s="13">
        <v>101</v>
      </c>
      <c r="B105" s="14" t="s">
        <v>314</v>
      </c>
      <c r="C105" s="14" t="s">
        <v>315</v>
      </c>
      <c r="D105" s="15" t="s">
        <v>316</v>
      </c>
      <c r="E105" s="16" t="s">
        <v>316</v>
      </c>
      <c r="F105" s="17">
        <v>2</v>
      </c>
      <c r="G105" s="18"/>
      <c r="H105" s="18"/>
      <c r="I105" s="19">
        <f t="shared" si="0"/>
        <v>0</v>
      </c>
    </row>
    <row r="106" spans="1:9" ht="15.6" customHeight="1" x14ac:dyDescent="0.25">
      <c r="A106" s="13">
        <v>102</v>
      </c>
      <c r="B106" s="14" t="s">
        <v>317</v>
      </c>
      <c r="C106" s="14" t="s">
        <v>318</v>
      </c>
      <c r="D106" s="15" t="s">
        <v>316</v>
      </c>
      <c r="E106" s="16" t="s">
        <v>316</v>
      </c>
      <c r="F106" s="17">
        <v>2.5</v>
      </c>
      <c r="G106" s="18"/>
      <c r="H106" s="18"/>
      <c r="I106" s="19">
        <f t="shared" si="0"/>
        <v>0</v>
      </c>
    </row>
    <row r="107" spans="1:9" ht="15.6" customHeight="1" x14ac:dyDescent="0.25">
      <c r="A107" s="13">
        <v>103</v>
      </c>
      <c r="B107" s="14" t="s">
        <v>319</v>
      </c>
      <c r="C107" s="14" t="s">
        <v>320</v>
      </c>
      <c r="D107" s="15" t="s">
        <v>316</v>
      </c>
      <c r="E107" s="16" t="s">
        <v>316</v>
      </c>
      <c r="F107" s="17">
        <v>1.5</v>
      </c>
      <c r="G107" s="18"/>
      <c r="H107" s="18"/>
      <c r="I107" s="19">
        <f t="shared" si="0"/>
        <v>0</v>
      </c>
    </row>
    <row r="108" spans="1:9" ht="15.6" customHeight="1" x14ac:dyDescent="0.25">
      <c r="A108" s="13">
        <v>104</v>
      </c>
      <c r="B108" s="14" t="s">
        <v>321</v>
      </c>
      <c r="C108" s="14" t="s">
        <v>322</v>
      </c>
      <c r="D108" s="15" t="s">
        <v>316</v>
      </c>
      <c r="E108" s="16" t="s">
        <v>316</v>
      </c>
      <c r="F108" s="17">
        <v>7</v>
      </c>
      <c r="G108" s="18"/>
      <c r="H108" s="18"/>
      <c r="I108" s="19">
        <f t="shared" si="0"/>
        <v>0</v>
      </c>
    </row>
    <row r="109" spans="1:9" ht="15.6" customHeight="1" x14ac:dyDescent="0.25">
      <c r="A109" s="13">
        <v>105</v>
      </c>
      <c r="B109" s="14" t="s">
        <v>326</v>
      </c>
      <c r="C109" s="14" t="s">
        <v>327</v>
      </c>
      <c r="D109" s="15" t="s">
        <v>325</v>
      </c>
      <c r="E109" s="16" t="s">
        <v>325</v>
      </c>
      <c r="F109" s="17">
        <v>3</v>
      </c>
      <c r="G109" s="18"/>
      <c r="H109" s="18"/>
      <c r="I109" s="19">
        <f t="shared" si="0"/>
        <v>0</v>
      </c>
    </row>
    <row r="110" spans="1:9" ht="15.6" customHeight="1" x14ac:dyDescent="0.25">
      <c r="A110" s="13">
        <v>106</v>
      </c>
      <c r="B110" s="14" t="s">
        <v>328</v>
      </c>
      <c r="C110" s="14" t="s">
        <v>329</v>
      </c>
      <c r="D110" s="15" t="s">
        <v>330</v>
      </c>
      <c r="E110" s="16" t="s">
        <v>330</v>
      </c>
      <c r="F110" s="17">
        <v>0.8</v>
      </c>
      <c r="G110" s="18"/>
      <c r="H110" s="18"/>
      <c r="I110" s="19">
        <f t="shared" si="0"/>
        <v>0</v>
      </c>
    </row>
    <row r="111" spans="1:9" ht="15.6" customHeight="1" x14ac:dyDescent="0.25">
      <c r="A111" s="13">
        <v>107</v>
      </c>
      <c r="B111" s="14" t="s">
        <v>331</v>
      </c>
      <c r="C111" s="14" t="s">
        <v>332</v>
      </c>
      <c r="D111" s="15" t="s">
        <v>313</v>
      </c>
      <c r="E111" s="16" t="s">
        <v>313</v>
      </c>
      <c r="F111" s="17">
        <v>4.5</v>
      </c>
      <c r="G111" s="18"/>
      <c r="H111" s="18"/>
      <c r="I111" s="19">
        <f t="shared" si="0"/>
        <v>0</v>
      </c>
    </row>
    <row r="112" spans="1:9" ht="15.6" customHeight="1" x14ac:dyDescent="0.25">
      <c r="A112" s="13">
        <v>108</v>
      </c>
      <c r="B112" s="14" t="s">
        <v>333</v>
      </c>
      <c r="C112" s="14" t="s">
        <v>334</v>
      </c>
      <c r="D112" s="15" t="s">
        <v>335</v>
      </c>
      <c r="E112" s="16" t="s">
        <v>335</v>
      </c>
      <c r="F112" s="17">
        <v>8</v>
      </c>
      <c r="G112" s="18"/>
      <c r="H112" s="18"/>
      <c r="I112" s="19">
        <f t="shared" si="0"/>
        <v>0</v>
      </c>
    </row>
    <row r="113" spans="1:9" ht="15.6" customHeight="1" x14ac:dyDescent="0.25">
      <c r="A113" s="13">
        <v>109</v>
      </c>
      <c r="B113" s="14" t="s">
        <v>336</v>
      </c>
      <c r="C113" s="14" t="s">
        <v>337</v>
      </c>
      <c r="D113" s="15" t="s">
        <v>338</v>
      </c>
      <c r="E113" s="16" t="s">
        <v>338</v>
      </c>
      <c r="F113" s="17">
        <v>0.7</v>
      </c>
      <c r="G113" s="18"/>
      <c r="H113" s="18"/>
      <c r="I113" s="19">
        <f t="shared" si="0"/>
        <v>0</v>
      </c>
    </row>
    <row r="114" spans="1:9" ht="15.6" customHeight="1" x14ac:dyDescent="0.25">
      <c r="A114" s="13">
        <v>110</v>
      </c>
      <c r="B114" s="14" t="s">
        <v>339</v>
      </c>
      <c r="C114" s="14" t="s">
        <v>340</v>
      </c>
      <c r="D114" s="15" t="s">
        <v>145</v>
      </c>
      <c r="E114" s="16" t="s">
        <v>145</v>
      </c>
      <c r="F114" s="17">
        <v>3</v>
      </c>
      <c r="G114" s="18"/>
      <c r="H114" s="18"/>
      <c r="I114" s="19">
        <f t="shared" si="0"/>
        <v>0</v>
      </c>
    </row>
    <row r="115" spans="1:9" ht="16.8" customHeight="1" x14ac:dyDescent="0.25">
      <c r="A115" s="5" t="s">
        <v>341</v>
      </c>
      <c r="B115" s="5"/>
      <c r="C115" s="5"/>
      <c r="D115" s="5" t="s">
        <v>345</v>
      </c>
      <c r="E115" s="5"/>
      <c r="F115" s="21">
        <f>SUM(F5:F114)</f>
        <v>407.99999999999989</v>
      </c>
      <c r="G115" s="22"/>
      <c r="H115" s="21">
        <f>SUM(H5:H114)</f>
        <v>0</v>
      </c>
      <c r="I115" s="23">
        <f t="shared" si="0"/>
        <v>0</v>
      </c>
    </row>
  </sheetData>
  <mergeCells count="118">
    <mergeCell ref="D111:E111"/>
    <mergeCell ref="D112:E112"/>
    <mergeCell ref="D113:E113"/>
    <mergeCell ref="D114:E114"/>
    <mergeCell ref="A115:C115"/>
    <mergeCell ref="D115:E115"/>
    <mergeCell ref="D106:E106"/>
    <mergeCell ref="D107:E107"/>
    <mergeCell ref="D108:E108"/>
    <mergeCell ref="D109:E109"/>
    <mergeCell ref="D110:E110"/>
    <mergeCell ref="D100:E100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7:E47"/>
    <mergeCell ref="D48:E48"/>
    <mergeCell ref="D49:E49"/>
    <mergeCell ref="D50:E50"/>
    <mergeCell ref="D51:E51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24:E24"/>
    <mergeCell ref="D20:E20"/>
    <mergeCell ref="D21:E21"/>
    <mergeCell ref="D22:E22"/>
    <mergeCell ref="D23:E23"/>
    <mergeCell ref="D18:E18"/>
    <mergeCell ref="D19:E19"/>
    <mergeCell ref="D14:E14"/>
    <mergeCell ref="D15:E15"/>
    <mergeCell ref="D16:E16"/>
    <mergeCell ref="D17:E17"/>
    <mergeCell ref="D10:E10"/>
    <mergeCell ref="D11:E11"/>
    <mergeCell ref="D12:E12"/>
    <mergeCell ref="D13:E13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Inv__Ujitjes_Diber</vt:lpstr>
      <vt:lpstr>Rezervuar</vt:lpstr>
      <vt:lpstr>Stacion Pompimi</vt:lpstr>
      <vt:lpstr>Lume &amp; Prrua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2026-10-06T13:37:42Z</dcterms:created>
  <dcterms:modified xsi:type="dcterms:W3CDTF">2026-10-06T13:45:52Z</dcterms:modified>
</cp:coreProperties>
</file>