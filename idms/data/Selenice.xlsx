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EFDC75BD-4988-46D2-AA79-F0AA6C81D279}" xr6:coauthVersionLast="47" xr6:coauthVersionMax="47" xr10:uidLastSave="{00000000-0000-0000-0000-000000000000}"/>
  <bookViews>
    <workbookView xWindow="-28920" yWindow="-1470" windowWidth="29040" windowHeight="15720" activeTab="3" xr2:uid="{68399921-8A29-45D3-A742-657F846A671C}"/>
  </bookViews>
  <sheets>
    <sheet name="Inv__Ujitjes_Selenice" sheetId="1" r:id="rId1"/>
    <sheet name="Rezervuar" sheetId="2" r:id="rId2"/>
    <sheet name="Stacion Pompimi" sheetId="3" r:id="rId3"/>
    <sheet name="Lume &amp; Kanal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4" l="1"/>
  <c r="I8" i="4" s="1"/>
  <c r="F8" i="4"/>
  <c r="I7" i="4"/>
  <c r="I6" i="4"/>
  <c r="I5" i="4"/>
  <c r="H26" i="3"/>
  <c r="F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11" i="2"/>
  <c r="F11" i="2"/>
  <c r="I10" i="2"/>
  <c r="I9" i="2"/>
  <c r="I8" i="2"/>
  <c r="I7" i="2"/>
  <c r="I6" i="2"/>
  <c r="I5" i="2"/>
  <c r="H35" i="1"/>
  <c r="I35" i="1" s="1"/>
  <c r="F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26" i="3" l="1"/>
  <c r="I11" i="2"/>
</calcChain>
</file>

<file path=xl/sharedStrings.xml><?xml version="1.0" encoding="utf-8"?>
<sst xmlns="http://schemas.openxmlformats.org/spreadsheetml/2006/main" count="288" uniqueCount="87">
  <si>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</si>
  <si>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</si>
  <si>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</si>
  <si>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</si>
  <si>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</si>
  <si>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</si>
  <si>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</si>
  <si>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</si>
  <si>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</si>
  <si>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</si>
  <si>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</si>
  <si>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VLU - 4</t>
  </si>
  <si>
    <t>Pete - Vllahine</t>
  </si>
  <si>
    <t>Rezervuar</t>
  </si>
  <si>
    <t>VLU - 7</t>
  </si>
  <si>
    <t>Hasomat reservoir</t>
  </si>
  <si>
    <t>Rezervuar ( Hasomat )</t>
  </si>
  <si>
    <t>VLU - 5</t>
  </si>
  <si>
    <t>Harvala</t>
  </si>
  <si>
    <t>VLU - 19</t>
  </si>
  <si>
    <t>Mesaplik kanal</t>
  </si>
  <si>
    <t>Lume ( Shushice )</t>
  </si>
  <si>
    <t>VLU - 21</t>
  </si>
  <si>
    <t>Brat kanal</t>
  </si>
  <si>
    <t>Lume ( Smokth )</t>
  </si>
  <si>
    <t>VLU - 13</t>
  </si>
  <si>
    <t>Peshkat reservoir</t>
  </si>
  <si>
    <t>Rezervuar KOCUL ( Peshkat )</t>
  </si>
  <si>
    <t>VLU - 14</t>
  </si>
  <si>
    <t>Peta reservoir 2</t>
  </si>
  <si>
    <t>Rezervuar ( Peta 2 )</t>
  </si>
  <si>
    <t>VLU - 15</t>
  </si>
  <si>
    <t>Mallekeq reservoir</t>
  </si>
  <si>
    <t>Rezervuar ( Mallekeq )</t>
  </si>
  <si>
    <t>VLU - 22</t>
  </si>
  <si>
    <t>Gumenic stacion pompimi</t>
  </si>
  <si>
    <t>VLU - 23</t>
  </si>
  <si>
    <t>Dushk station</t>
  </si>
  <si>
    <t>VLU - 24</t>
  </si>
  <si>
    <t>Lepenice stacion pompimi</t>
  </si>
  <si>
    <t>VLU - 25</t>
  </si>
  <si>
    <t>Mesaplik stacion pompimi</t>
  </si>
  <si>
    <t>VLU - 37</t>
  </si>
  <si>
    <t>Gurre Zote stacion pompimi</t>
  </si>
  <si>
    <t>Lume ( Vermikut )</t>
  </si>
  <si>
    <t>VLU - 38</t>
  </si>
  <si>
    <t>Gjorm stacion pompimi</t>
  </si>
  <si>
    <t>VLU - 39</t>
  </si>
  <si>
    <t>Ure Gjorm stacion pompimi</t>
  </si>
  <si>
    <t>VLU - 40</t>
  </si>
  <si>
    <t>Murres stacion pompimi</t>
  </si>
  <si>
    <t>VLU - 41</t>
  </si>
  <si>
    <t>Gjorm Spring stacion pompimi</t>
  </si>
  <si>
    <t>VLU - 43</t>
  </si>
  <si>
    <t>Kriçke stacion pompimi GJORM</t>
  </si>
  <si>
    <t>VLU - 44</t>
  </si>
  <si>
    <t>Rubjeke stacion pompimi</t>
  </si>
  <si>
    <t>VLU - 45</t>
  </si>
  <si>
    <t>Sirokeme stacion pompimi</t>
  </si>
  <si>
    <t>VLU - 46</t>
  </si>
  <si>
    <t>Vodice stacion pompimi 1</t>
  </si>
  <si>
    <t>VLU - 47</t>
  </si>
  <si>
    <t>Vodice stacion pompimi 2</t>
  </si>
  <si>
    <t>VLU - 50</t>
  </si>
  <si>
    <t>Trubull stacion pompimi</t>
  </si>
  <si>
    <t>Lume ( Shushice)</t>
  </si>
  <si>
    <t>VLU - 51</t>
  </si>
  <si>
    <t>Bogdan stacion pompimi</t>
  </si>
  <si>
    <t>VLU - 54</t>
  </si>
  <si>
    <t>Shkoze stacion pompimi</t>
  </si>
  <si>
    <t>Lume ( Vjose )</t>
  </si>
  <si>
    <t>VLU - 55</t>
  </si>
  <si>
    <t>Dushkarak stacion pompimi</t>
  </si>
  <si>
    <t>VLU - 56</t>
  </si>
  <si>
    <t>Karbunar stacion pompimi</t>
  </si>
  <si>
    <t>VLU - 58</t>
  </si>
  <si>
    <t>Golimbas stacion pompimi</t>
  </si>
  <si>
    <t>PStp.. ( Shkoze )</t>
  </si>
  <si>
    <t>VLU - 59</t>
  </si>
  <si>
    <t>Breg Dash stacion pompimi</t>
  </si>
  <si>
    <t>VLU -V1</t>
  </si>
  <si>
    <t>KU Bashkia Selenice</t>
  </si>
  <si>
    <t>Total</t>
  </si>
  <si>
    <t>30 Skema</t>
  </si>
  <si>
    <t>6 Skema</t>
  </si>
  <si>
    <t>21 Skema</t>
  </si>
  <si>
    <t>3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</si>
</sst>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3" fillId="0" borderId="1" xfId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E3D0753-DB1D-48EF-94AB-32C9088A8A9B}"/>
    <cellStyle name="Percent 4" xfId="2" xr:uid="{17455149-B510-4CB7-A411-0FC9FBD0EF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C225-AF87-4EF2-BB06-2B6B87700AF5}">
  <sheetPr codeName="Sheet1"/>
  <dimension ref="A1:I35"/>
  <sheetViews>
    <sheetView topLeftCell="A7" zoomScaleNormal="100" workbookViewId="0">
      <selection activeCell="C39" sqref="C3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78</v>
      </c>
      <c r="G5" s="17"/>
      <c r="H5" s="17"/>
      <c r="I5" s="18">
        <f t="shared" ref="I5:I33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13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13</v>
      </c>
      <c r="E7" s="16" t="s">
        <v>13</v>
      </c>
      <c r="F7" s="17">
        <v>75</v>
      </c>
      <c r="G7" s="19"/>
      <c r="H7" s="19"/>
      <c r="I7" s="18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21</v>
      </c>
      <c r="E8" s="16" t="s">
        <v>21</v>
      </c>
      <c r="F8" s="17">
        <v>15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24</v>
      </c>
      <c r="E9" s="16" t="s">
        <v>24</v>
      </c>
      <c r="F9" s="17">
        <v>14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25</v>
      </c>
      <c r="C10" s="14" t="s">
        <v>26</v>
      </c>
      <c r="D10" s="15" t="s">
        <v>27</v>
      </c>
      <c r="E10" s="16" t="s">
        <v>27</v>
      </c>
      <c r="F10" s="17">
        <v>8</v>
      </c>
      <c r="G10" s="19"/>
      <c r="H10" s="19"/>
      <c r="I10" s="18">
        <f t="shared" si="0"/>
        <v>0</v>
      </c>
    </row>
    <row r="11" spans="1:9" ht="15.6" customHeight="1" x14ac:dyDescent="0.25">
      <c r="A11" s="13">
        <v>7</v>
      </c>
      <c r="B11" s="14" t="s">
        <v>28</v>
      </c>
      <c r="C11" s="14" t="s">
        <v>29</v>
      </c>
      <c r="D11" s="15" t="s">
        <v>30</v>
      </c>
      <c r="E11" s="16" t="s">
        <v>30</v>
      </c>
      <c r="F11" s="17">
        <v>0.5</v>
      </c>
      <c r="G11" s="17"/>
      <c r="H11" s="17"/>
      <c r="I11" s="18">
        <f t="shared" si="0"/>
        <v>0</v>
      </c>
    </row>
    <row r="12" spans="1:9" ht="15.6" customHeight="1" x14ac:dyDescent="0.25">
      <c r="A12" s="13">
        <v>8</v>
      </c>
      <c r="B12" s="14" t="s">
        <v>31</v>
      </c>
      <c r="C12" s="14" t="s">
        <v>32</v>
      </c>
      <c r="D12" s="15" t="s">
        <v>33</v>
      </c>
      <c r="E12" s="16" t="s">
        <v>33</v>
      </c>
      <c r="F12" s="17">
        <v>0.3</v>
      </c>
      <c r="G12" s="17"/>
      <c r="H12" s="17"/>
      <c r="I12" s="18">
        <f t="shared" si="0"/>
        <v>0</v>
      </c>
    </row>
    <row r="13" spans="1:9" ht="15.6" customHeight="1" x14ac:dyDescent="0.25">
      <c r="A13" s="13">
        <v>9</v>
      </c>
      <c r="B13" s="14" t="s">
        <v>34</v>
      </c>
      <c r="C13" s="14" t="s">
        <v>35</v>
      </c>
      <c r="D13" s="15" t="s">
        <v>21</v>
      </c>
      <c r="E13" s="16" t="s">
        <v>21</v>
      </c>
      <c r="F13" s="17">
        <v>5</v>
      </c>
      <c r="G13" s="19"/>
      <c r="H13" s="19"/>
      <c r="I13" s="18">
        <f t="shared" si="0"/>
        <v>0</v>
      </c>
    </row>
    <row r="14" spans="1:9" ht="15.6" customHeight="1" x14ac:dyDescent="0.25">
      <c r="A14" s="13">
        <v>10</v>
      </c>
      <c r="B14" s="14" t="s">
        <v>36</v>
      </c>
      <c r="C14" s="14" t="s">
        <v>37</v>
      </c>
      <c r="D14" s="15" t="s">
        <v>21</v>
      </c>
      <c r="E14" s="16" t="s">
        <v>21</v>
      </c>
      <c r="F14" s="17">
        <v>2</v>
      </c>
      <c r="G14" s="17"/>
      <c r="H14" s="17"/>
      <c r="I14" s="18">
        <f t="shared" si="0"/>
        <v>0</v>
      </c>
    </row>
    <row r="15" spans="1:9" ht="15.6" customHeight="1" x14ac:dyDescent="0.25">
      <c r="A15" s="13">
        <v>11</v>
      </c>
      <c r="B15" s="14" t="s">
        <v>38</v>
      </c>
      <c r="C15" s="14" t="s">
        <v>39</v>
      </c>
      <c r="D15" s="15" t="s">
        <v>21</v>
      </c>
      <c r="E15" s="16" t="s">
        <v>21</v>
      </c>
      <c r="F15" s="17">
        <v>4</v>
      </c>
      <c r="G15" s="17"/>
      <c r="H15" s="17"/>
      <c r="I15" s="18">
        <f t="shared" si="0"/>
        <v>0</v>
      </c>
    </row>
    <row r="16" spans="1:9" ht="15.6" customHeight="1" x14ac:dyDescent="0.25">
      <c r="A16" s="13">
        <v>12</v>
      </c>
      <c r="B16" s="14" t="s">
        <v>40</v>
      </c>
      <c r="C16" s="14" t="s">
        <v>41</v>
      </c>
      <c r="D16" s="15" t="s">
        <v>21</v>
      </c>
      <c r="E16" s="16" t="s">
        <v>21</v>
      </c>
      <c r="F16" s="17">
        <v>3</v>
      </c>
      <c r="G16" s="19"/>
      <c r="H16" s="19"/>
      <c r="I16" s="18">
        <f t="shared" si="0"/>
        <v>0</v>
      </c>
    </row>
    <row r="17" spans="1:9" ht="15.6" customHeight="1" x14ac:dyDescent="0.25">
      <c r="A17" s="13">
        <v>13</v>
      </c>
      <c r="B17" s="14" t="s">
        <v>42</v>
      </c>
      <c r="C17" s="14" t="s">
        <v>43</v>
      </c>
      <c r="D17" s="15" t="s">
        <v>44</v>
      </c>
      <c r="E17" s="16" t="s">
        <v>44</v>
      </c>
      <c r="F17" s="17">
        <v>2.5</v>
      </c>
      <c r="G17" s="17"/>
      <c r="H17" s="17"/>
      <c r="I17" s="18">
        <f t="shared" si="0"/>
        <v>0</v>
      </c>
    </row>
    <row r="18" spans="1:9" ht="15.6" customHeight="1" x14ac:dyDescent="0.25">
      <c r="A18" s="13">
        <v>14</v>
      </c>
      <c r="B18" s="14" t="s">
        <v>45</v>
      </c>
      <c r="C18" s="14" t="s">
        <v>46</v>
      </c>
      <c r="D18" s="15" t="s">
        <v>21</v>
      </c>
      <c r="E18" s="16" t="s">
        <v>21</v>
      </c>
      <c r="F18" s="17">
        <v>3.2</v>
      </c>
      <c r="G18" s="17"/>
      <c r="H18" s="17"/>
      <c r="I18" s="18">
        <f t="shared" si="0"/>
        <v>0</v>
      </c>
    </row>
    <row r="19" spans="1:9" ht="15.6" customHeight="1" x14ac:dyDescent="0.25">
      <c r="A19" s="13">
        <v>15</v>
      </c>
      <c r="B19" s="14" t="s">
        <v>47</v>
      </c>
      <c r="C19" s="14" t="s">
        <v>48</v>
      </c>
      <c r="D19" s="15" t="s">
        <v>21</v>
      </c>
      <c r="E19" s="16" t="s">
        <v>21</v>
      </c>
      <c r="F19" s="17">
        <v>3</v>
      </c>
      <c r="G19" s="19"/>
      <c r="H19" s="19"/>
      <c r="I19" s="18">
        <f t="shared" si="0"/>
        <v>0</v>
      </c>
    </row>
    <row r="20" spans="1:9" ht="15.6" customHeight="1" x14ac:dyDescent="0.25">
      <c r="A20" s="13">
        <v>16</v>
      </c>
      <c r="B20" s="14" t="s">
        <v>49</v>
      </c>
      <c r="C20" s="14" t="s">
        <v>50</v>
      </c>
      <c r="D20" s="15" t="s">
        <v>21</v>
      </c>
      <c r="E20" s="16" t="s">
        <v>21</v>
      </c>
      <c r="F20" s="17">
        <v>2.5</v>
      </c>
      <c r="G20" s="17"/>
      <c r="H20" s="17"/>
      <c r="I20" s="18">
        <f t="shared" si="0"/>
        <v>0</v>
      </c>
    </row>
    <row r="21" spans="1:9" ht="15.6" customHeight="1" x14ac:dyDescent="0.25">
      <c r="A21" s="13">
        <v>17</v>
      </c>
      <c r="B21" s="14" t="s">
        <v>51</v>
      </c>
      <c r="C21" s="14" t="s">
        <v>52</v>
      </c>
      <c r="D21" s="15" t="s">
        <v>21</v>
      </c>
      <c r="E21" s="16" t="s">
        <v>21</v>
      </c>
      <c r="F21" s="17">
        <v>3.3</v>
      </c>
      <c r="G21" s="17"/>
      <c r="H21" s="17"/>
      <c r="I21" s="18">
        <f t="shared" si="0"/>
        <v>0</v>
      </c>
    </row>
    <row r="22" spans="1:9" ht="15.6" customHeight="1" x14ac:dyDescent="0.25">
      <c r="A22" s="13">
        <v>18</v>
      </c>
      <c r="B22" s="14" t="s">
        <v>53</v>
      </c>
      <c r="C22" s="14" t="s">
        <v>54</v>
      </c>
      <c r="D22" s="15" t="s">
        <v>21</v>
      </c>
      <c r="E22" s="16" t="s">
        <v>21</v>
      </c>
      <c r="F22" s="17">
        <v>7</v>
      </c>
      <c r="G22" s="19"/>
      <c r="H22" s="19"/>
      <c r="I22" s="18">
        <f t="shared" si="0"/>
        <v>0</v>
      </c>
    </row>
    <row r="23" spans="1:9" ht="15.6" customHeight="1" x14ac:dyDescent="0.25">
      <c r="A23" s="13">
        <v>19</v>
      </c>
      <c r="B23" s="14" t="s">
        <v>55</v>
      </c>
      <c r="C23" s="14" t="s">
        <v>56</v>
      </c>
      <c r="D23" s="15" t="s">
        <v>21</v>
      </c>
      <c r="E23" s="16" t="s">
        <v>21</v>
      </c>
      <c r="F23" s="17">
        <v>3.5</v>
      </c>
      <c r="G23" s="17"/>
      <c r="H23" s="17"/>
      <c r="I23" s="18">
        <f t="shared" si="0"/>
        <v>0</v>
      </c>
    </row>
    <row r="24" spans="1:9" ht="15.6" customHeight="1" x14ac:dyDescent="0.25">
      <c r="A24" s="13">
        <v>20</v>
      </c>
      <c r="B24" s="14" t="s">
        <v>57</v>
      </c>
      <c r="C24" s="14" t="s">
        <v>58</v>
      </c>
      <c r="D24" s="15" t="s">
        <v>21</v>
      </c>
      <c r="E24" s="16" t="s">
        <v>21</v>
      </c>
      <c r="F24" s="17">
        <v>5</v>
      </c>
      <c r="G24" s="17"/>
      <c r="H24" s="17"/>
      <c r="I24" s="18">
        <f t="shared" si="0"/>
        <v>0</v>
      </c>
    </row>
    <row r="25" spans="1:9" ht="15.6" customHeight="1" x14ac:dyDescent="0.25">
      <c r="A25" s="13">
        <v>21</v>
      </c>
      <c r="B25" s="14" t="s">
        <v>59</v>
      </c>
      <c r="C25" s="14" t="s">
        <v>60</v>
      </c>
      <c r="D25" s="15" t="s">
        <v>21</v>
      </c>
      <c r="E25" s="16" t="s">
        <v>21</v>
      </c>
      <c r="F25" s="17">
        <v>3</v>
      </c>
      <c r="G25" s="19"/>
      <c r="H25" s="19"/>
      <c r="I25" s="18">
        <f t="shared" si="0"/>
        <v>0</v>
      </c>
    </row>
    <row r="26" spans="1:9" ht="15.6" customHeight="1" x14ac:dyDescent="0.25">
      <c r="A26" s="13">
        <v>22</v>
      </c>
      <c r="B26" s="14" t="s">
        <v>61</v>
      </c>
      <c r="C26" s="14" t="s">
        <v>62</v>
      </c>
      <c r="D26" s="15" t="s">
        <v>21</v>
      </c>
      <c r="E26" s="16" t="s">
        <v>21</v>
      </c>
      <c r="F26" s="17">
        <v>3</v>
      </c>
      <c r="G26" s="17"/>
      <c r="H26" s="17"/>
      <c r="I26" s="18">
        <f t="shared" si="0"/>
        <v>0</v>
      </c>
    </row>
    <row r="27" spans="1:9" ht="15.6" customHeight="1" x14ac:dyDescent="0.25">
      <c r="A27" s="13">
        <v>23</v>
      </c>
      <c r="B27" s="14" t="s">
        <v>63</v>
      </c>
      <c r="C27" s="14" t="s">
        <v>64</v>
      </c>
      <c r="D27" s="15" t="s">
        <v>65</v>
      </c>
      <c r="E27" s="16" t="s">
        <v>65</v>
      </c>
      <c r="F27" s="17">
        <v>5</v>
      </c>
      <c r="G27" s="17"/>
      <c r="H27" s="17"/>
      <c r="I27" s="18">
        <f t="shared" si="0"/>
        <v>0</v>
      </c>
    </row>
    <row r="28" spans="1:9" ht="15.6" customHeight="1" x14ac:dyDescent="0.25">
      <c r="A28" s="13">
        <v>24</v>
      </c>
      <c r="B28" s="14" t="s">
        <v>66</v>
      </c>
      <c r="C28" s="14" t="s">
        <v>67</v>
      </c>
      <c r="D28" s="15" t="s">
        <v>21</v>
      </c>
      <c r="E28" s="16" t="s">
        <v>21</v>
      </c>
      <c r="F28" s="17">
        <v>4.3</v>
      </c>
      <c r="G28" s="17"/>
      <c r="H28" s="17"/>
      <c r="I28" s="18">
        <f t="shared" si="0"/>
        <v>0</v>
      </c>
    </row>
    <row r="29" spans="1:9" ht="15.6" customHeight="1" x14ac:dyDescent="0.25">
      <c r="A29" s="13">
        <v>25</v>
      </c>
      <c r="B29" s="14" t="s">
        <v>68</v>
      </c>
      <c r="C29" s="14" t="s">
        <v>69</v>
      </c>
      <c r="D29" s="15" t="s">
        <v>70</v>
      </c>
      <c r="E29" s="16" t="s">
        <v>70</v>
      </c>
      <c r="F29" s="17">
        <v>17</v>
      </c>
      <c r="G29" s="17"/>
      <c r="H29" s="17"/>
      <c r="I29" s="18">
        <f t="shared" si="0"/>
        <v>0</v>
      </c>
    </row>
    <row r="30" spans="1:9" ht="15.6" customHeight="1" x14ac:dyDescent="0.25">
      <c r="A30" s="13">
        <v>26</v>
      </c>
      <c r="B30" s="14" t="s">
        <v>71</v>
      </c>
      <c r="C30" s="14" t="s">
        <v>72</v>
      </c>
      <c r="D30" s="15" t="s">
        <v>70</v>
      </c>
      <c r="E30" s="16" t="s">
        <v>70</v>
      </c>
      <c r="F30" s="17">
        <v>4</v>
      </c>
      <c r="G30" s="17"/>
      <c r="H30" s="17"/>
      <c r="I30" s="18">
        <f t="shared" si="0"/>
        <v>0</v>
      </c>
    </row>
    <row r="31" spans="1:9" ht="15.6" customHeight="1" x14ac:dyDescent="0.25">
      <c r="A31" s="13">
        <v>27</v>
      </c>
      <c r="B31" s="14" t="s">
        <v>73</v>
      </c>
      <c r="C31" s="14" t="s">
        <v>74</v>
      </c>
      <c r="D31" s="15" t="s">
        <v>70</v>
      </c>
      <c r="E31" s="16" t="s">
        <v>70</v>
      </c>
      <c r="F31" s="17">
        <v>7.5</v>
      </c>
      <c r="G31" s="17"/>
      <c r="H31" s="17"/>
      <c r="I31" s="18">
        <f t="shared" si="0"/>
        <v>0</v>
      </c>
    </row>
    <row r="32" spans="1:9" ht="15.6" customHeight="1" x14ac:dyDescent="0.25">
      <c r="A32" s="13">
        <v>28</v>
      </c>
      <c r="B32" s="14" t="s">
        <v>75</v>
      </c>
      <c r="C32" s="14" t="s">
        <v>76</v>
      </c>
      <c r="D32" s="15" t="s">
        <v>77</v>
      </c>
      <c r="E32" s="16" t="s">
        <v>77</v>
      </c>
      <c r="F32" s="17">
        <v>2.1</v>
      </c>
      <c r="G32" s="17"/>
      <c r="H32" s="17"/>
      <c r="I32" s="18">
        <f t="shared" si="0"/>
        <v>0</v>
      </c>
    </row>
    <row r="33" spans="1:9" ht="15.6" customHeight="1" x14ac:dyDescent="0.25">
      <c r="A33" s="13">
        <v>29</v>
      </c>
      <c r="B33" s="14" t="s">
        <v>78</v>
      </c>
      <c r="C33" s="14" t="s">
        <v>79</v>
      </c>
      <c r="D33" s="15" t="s">
        <v>77</v>
      </c>
      <c r="E33" s="16" t="s">
        <v>77</v>
      </c>
      <c r="F33" s="17">
        <v>1.5</v>
      </c>
      <c r="G33" s="17"/>
      <c r="H33" s="17"/>
      <c r="I33" s="18">
        <f t="shared" si="0"/>
        <v>0</v>
      </c>
    </row>
    <row r="34" spans="1:9" ht="15.6" customHeight="1" x14ac:dyDescent="0.25">
      <c r="A34" s="13">
        <v>30</v>
      </c>
      <c r="B34" s="14" t="s">
        <v>80</v>
      </c>
      <c r="C34" s="14" t="s">
        <v>81</v>
      </c>
      <c r="D34" s="15"/>
      <c r="E34" s="16"/>
      <c r="F34" s="17">
        <v>6.8</v>
      </c>
      <c r="G34" s="17"/>
      <c r="H34" s="17"/>
      <c r="I34" s="18">
        <f>H34/F34</f>
        <v>0</v>
      </c>
    </row>
    <row r="35" spans="1:9" ht="16.8" customHeight="1" x14ac:dyDescent="0.25">
      <c r="A35" s="5" t="s">
        <v>82</v>
      </c>
      <c r="B35" s="5"/>
      <c r="C35" s="5"/>
      <c r="D35" s="5" t="s">
        <v>83</v>
      </c>
      <c r="E35" s="5"/>
      <c r="F35" s="20">
        <f>SUM(F5:F34)</f>
        <v>302.00000000000006</v>
      </c>
      <c r="G35" s="21"/>
      <c r="H35" s="20">
        <f>SUM(H5:H34)</f>
        <v>0</v>
      </c>
      <c r="I35" s="22">
        <f>H35/F35</f>
        <v>0</v>
      </c>
    </row>
  </sheetData>
  <mergeCells count="38">
    <mergeCell ref="A35:C35"/>
    <mergeCell ref="D35:E35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B936-9841-4AD7-8B8F-10F9F0F1A237}">
  <sheetPr codeName="Sheet2"/>
  <dimension ref="A1:I11"/>
  <sheetViews>
    <sheetView zoomScaleNormal="100" workbookViewId="0">
      <selection activeCell="D12" sqref="D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78</v>
      </c>
      <c r="G5" s="17"/>
      <c r="H5" s="17"/>
      <c r="I5" s="18">
        <f t="shared" ref="I5:I10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13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13</v>
      </c>
      <c r="E7" s="16" t="s">
        <v>13</v>
      </c>
      <c r="F7" s="17">
        <v>75</v>
      </c>
      <c r="G7" s="19"/>
      <c r="H7" s="19"/>
      <c r="I7" s="18">
        <f t="shared" si="0"/>
        <v>0</v>
      </c>
    </row>
    <row r="8" spans="1:9" ht="15.6" customHeight="1" x14ac:dyDescent="0.25">
      <c r="A8" s="13">
        <v>4</v>
      </c>
      <c r="B8" s="14" t="s">
        <v>25</v>
      </c>
      <c r="C8" s="14" t="s">
        <v>26</v>
      </c>
      <c r="D8" s="15" t="s">
        <v>27</v>
      </c>
      <c r="E8" s="16" t="s">
        <v>27</v>
      </c>
      <c r="F8" s="17">
        <v>8</v>
      </c>
      <c r="G8" s="19"/>
      <c r="H8" s="19"/>
      <c r="I8" s="18">
        <f t="shared" si="0"/>
        <v>0</v>
      </c>
    </row>
    <row r="9" spans="1:9" ht="15.6" customHeight="1" x14ac:dyDescent="0.25">
      <c r="A9" s="13">
        <v>5</v>
      </c>
      <c r="B9" s="14" t="s">
        <v>28</v>
      </c>
      <c r="C9" s="14" t="s">
        <v>29</v>
      </c>
      <c r="D9" s="15" t="s">
        <v>30</v>
      </c>
      <c r="E9" s="16" t="s">
        <v>30</v>
      </c>
      <c r="F9" s="17">
        <v>0.5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31</v>
      </c>
      <c r="C10" s="14" t="s">
        <v>32</v>
      </c>
      <c r="D10" s="15" t="s">
        <v>33</v>
      </c>
      <c r="E10" s="16" t="s">
        <v>33</v>
      </c>
      <c r="F10" s="17">
        <v>0.3</v>
      </c>
      <c r="G10" s="17"/>
      <c r="H10" s="17"/>
      <c r="I10" s="18">
        <f t="shared" si="0"/>
        <v>0</v>
      </c>
    </row>
    <row r="11" spans="1:9" ht="16.8" customHeight="1" x14ac:dyDescent="0.25">
      <c r="A11" s="5" t="s">
        <v>82</v>
      </c>
      <c r="B11" s="5"/>
      <c r="C11" s="5"/>
      <c r="D11" s="5" t="s">
        <v>84</v>
      </c>
      <c r="E11" s="5"/>
      <c r="F11" s="20">
        <f>SUM(F5:F10)</f>
        <v>174.8</v>
      </c>
      <c r="G11" s="21"/>
      <c r="H11" s="20">
        <f>SUM(H5:H10)</f>
        <v>0</v>
      </c>
      <c r="I11" s="22">
        <f>H11/F11</f>
        <v>0</v>
      </c>
    </row>
  </sheetData>
  <mergeCells count="14">
    <mergeCell ref="A11:C11"/>
    <mergeCell ref="D11:E11"/>
    <mergeCell ref="D9:E9"/>
    <mergeCell ref="D10:E10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4231-2617-4DF7-A1E2-F897F4205727}">
  <sheetPr codeName="Sheet3"/>
  <dimension ref="A1:I26"/>
  <sheetViews>
    <sheetView zoomScaleNormal="100" workbookViewId="0">
      <selection activeCell="D27" sqref="D2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34</v>
      </c>
      <c r="C5" s="14" t="s">
        <v>35</v>
      </c>
      <c r="D5" s="15" t="s">
        <v>21</v>
      </c>
      <c r="E5" s="16" t="s">
        <v>21</v>
      </c>
      <c r="F5" s="17">
        <v>5</v>
      </c>
      <c r="G5" s="19"/>
      <c r="H5" s="19"/>
      <c r="I5" s="18">
        <f t="shared" ref="I5:I25" si="0">H5/F5</f>
        <v>0</v>
      </c>
    </row>
    <row r="6" spans="1:9" ht="15.6" customHeight="1" x14ac:dyDescent="0.25">
      <c r="A6" s="13">
        <v>2</v>
      </c>
      <c r="B6" s="14" t="s">
        <v>36</v>
      </c>
      <c r="C6" s="14" t="s">
        <v>37</v>
      </c>
      <c r="D6" s="15" t="s">
        <v>21</v>
      </c>
      <c r="E6" s="16" t="s">
        <v>21</v>
      </c>
      <c r="F6" s="17">
        <v>2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38</v>
      </c>
      <c r="C7" s="14" t="s">
        <v>39</v>
      </c>
      <c r="D7" s="15" t="s">
        <v>21</v>
      </c>
      <c r="E7" s="16" t="s">
        <v>21</v>
      </c>
      <c r="F7" s="17">
        <v>4</v>
      </c>
      <c r="G7" s="17"/>
      <c r="H7" s="17"/>
      <c r="I7" s="18">
        <f t="shared" si="0"/>
        <v>0</v>
      </c>
    </row>
    <row r="8" spans="1:9" ht="15.6" customHeight="1" x14ac:dyDescent="0.25">
      <c r="A8" s="13">
        <v>4</v>
      </c>
      <c r="B8" s="14" t="s">
        <v>40</v>
      </c>
      <c r="C8" s="14" t="s">
        <v>41</v>
      </c>
      <c r="D8" s="15" t="s">
        <v>21</v>
      </c>
      <c r="E8" s="16" t="s">
        <v>21</v>
      </c>
      <c r="F8" s="17">
        <v>3</v>
      </c>
      <c r="G8" s="19"/>
      <c r="H8" s="19"/>
      <c r="I8" s="18">
        <f t="shared" si="0"/>
        <v>0</v>
      </c>
    </row>
    <row r="9" spans="1:9" ht="15.6" customHeight="1" x14ac:dyDescent="0.25">
      <c r="A9" s="13">
        <v>5</v>
      </c>
      <c r="B9" s="14" t="s">
        <v>42</v>
      </c>
      <c r="C9" s="14" t="s">
        <v>43</v>
      </c>
      <c r="D9" s="15" t="s">
        <v>44</v>
      </c>
      <c r="E9" s="16" t="s">
        <v>44</v>
      </c>
      <c r="F9" s="17">
        <v>2.5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45</v>
      </c>
      <c r="C10" s="14" t="s">
        <v>46</v>
      </c>
      <c r="D10" s="15" t="s">
        <v>21</v>
      </c>
      <c r="E10" s="16" t="s">
        <v>21</v>
      </c>
      <c r="F10" s="17">
        <v>3.2</v>
      </c>
      <c r="G10" s="17"/>
      <c r="H10" s="17"/>
      <c r="I10" s="18">
        <f t="shared" si="0"/>
        <v>0</v>
      </c>
    </row>
    <row r="11" spans="1:9" ht="15.6" customHeight="1" x14ac:dyDescent="0.25">
      <c r="A11" s="13">
        <v>7</v>
      </c>
      <c r="B11" s="14" t="s">
        <v>47</v>
      </c>
      <c r="C11" s="14" t="s">
        <v>48</v>
      </c>
      <c r="D11" s="15" t="s">
        <v>21</v>
      </c>
      <c r="E11" s="16" t="s">
        <v>21</v>
      </c>
      <c r="F11" s="17">
        <v>3</v>
      </c>
      <c r="G11" s="19"/>
      <c r="H11" s="19"/>
      <c r="I11" s="18">
        <f t="shared" si="0"/>
        <v>0</v>
      </c>
    </row>
    <row r="12" spans="1:9" ht="15.6" customHeight="1" x14ac:dyDescent="0.25">
      <c r="A12" s="13">
        <v>8</v>
      </c>
      <c r="B12" s="14" t="s">
        <v>49</v>
      </c>
      <c r="C12" s="14" t="s">
        <v>50</v>
      </c>
      <c r="D12" s="15" t="s">
        <v>21</v>
      </c>
      <c r="E12" s="16" t="s">
        <v>21</v>
      </c>
      <c r="F12" s="17">
        <v>2.5</v>
      </c>
      <c r="G12" s="17"/>
      <c r="H12" s="17"/>
      <c r="I12" s="18">
        <f t="shared" si="0"/>
        <v>0</v>
      </c>
    </row>
    <row r="13" spans="1:9" ht="15.6" customHeight="1" x14ac:dyDescent="0.25">
      <c r="A13" s="13">
        <v>9</v>
      </c>
      <c r="B13" s="14" t="s">
        <v>51</v>
      </c>
      <c r="C13" s="14" t="s">
        <v>52</v>
      </c>
      <c r="D13" s="15" t="s">
        <v>21</v>
      </c>
      <c r="E13" s="16" t="s">
        <v>21</v>
      </c>
      <c r="F13" s="17">
        <v>3.3</v>
      </c>
      <c r="G13" s="17"/>
      <c r="H13" s="17"/>
      <c r="I13" s="18">
        <f t="shared" si="0"/>
        <v>0</v>
      </c>
    </row>
    <row r="14" spans="1:9" ht="15.6" customHeight="1" x14ac:dyDescent="0.25">
      <c r="A14" s="13">
        <v>10</v>
      </c>
      <c r="B14" s="14" t="s">
        <v>53</v>
      </c>
      <c r="C14" s="14" t="s">
        <v>54</v>
      </c>
      <c r="D14" s="15" t="s">
        <v>21</v>
      </c>
      <c r="E14" s="16" t="s">
        <v>21</v>
      </c>
      <c r="F14" s="17">
        <v>7</v>
      </c>
      <c r="G14" s="19"/>
      <c r="H14" s="19"/>
      <c r="I14" s="18">
        <f t="shared" si="0"/>
        <v>0</v>
      </c>
    </row>
    <row r="15" spans="1:9" ht="15.6" customHeight="1" x14ac:dyDescent="0.25">
      <c r="A15" s="13">
        <v>11</v>
      </c>
      <c r="B15" s="14" t="s">
        <v>55</v>
      </c>
      <c r="C15" s="14" t="s">
        <v>56</v>
      </c>
      <c r="D15" s="15" t="s">
        <v>21</v>
      </c>
      <c r="E15" s="16" t="s">
        <v>21</v>
      </c>
      <c r="F15" s="17">
        <v>3.5</v>
      </c>
      <c r="G15" s="17"/>
      <c r="H15" s="17"/>
      <c r="I15" s="18">
        <f t="shared" si="0"/>
        <v>0</v>
      </c>
    </row>
    <row r="16" spans="1:9" ht="15.6" customHeight="1" x14ac:dyDescent="0.25">
      <c r="A16" s="13">
        <v>12</v>
      </c>
      <c r="B16" s="14" t="s">
        <v>57</v>
      </c>
      <c r="C16" s="14" t="s">
        <v>58</v>
      </c>
      <c r="D16" s="15" t="s">
        <v>21</v>
      </c>
      <c r="E16" s="16" t="s">
        <v>21</v>
      </c>
      <c r="F16" s="17">
        <v>5</v>
      </c>
      <c r="G16" s="17"/>
      <c r="H16" s="17"/>
      <c r="I16" s="18">
        <f t="shared" si="0"/>
        <v>0</v>
      </c>
    </row>
    <row r="17" spans="1:9" ht="15.6" customHeight="1" x14ac:dyDescent="0.25">
      <c r="A17" s="13">
        <v>13</v>
      </c>
      <c r="B17" s="14" t="s">
        <v>59</v>
      </c>
      <c r="C17" s="14" t="s">
        <v>60</v>
      </c>
      <c r="D17" s="15" t="s">
        <v>21</v>
      </c>
      <c r="E17" s="16" t="s">
        <v>21</v>
      </c>
      <c r="F17" s="17">
        <v>3</v>
      </c>
      <c r="G17" s="19"/>
      <c r="H17" s="19"/>
      <c r="I17" s="18">
        <f t="shared" si="0"/>
        <v>0</v>
      </c>
    </row>
    <row r="18" spans="1:9" ht="15.6" customHeight="1" x14ac:dyDescent="0.25">
      <c r="A18" s="13">
        <v>14</v>
      </c>
      <c r="B18" s="14" t="s">
        <v>61</v>
      </c>
      <c r="C18" s="14" t="s">
        <v>62</v>
      </c>
      <c r="D18" s="15" t="s">
        <v>21</v>
      </c>
      <c r="E18" s="16" t="s">
        <v>21</v>
      </c>
      <c r="F18" s="17">
        <v>3</v>
      </c>
      <c r="G18" s="17"/>
      <c r="H18" s="17"/>
      <c r="I18" s="18">
        <f t="shared" si="0"/>
        <v>0</v>
      </c>
    </row>
    <row r="19" spans="1:9" ht="15.6" customHeight="1" x14ac:dyDescent="0.25">
      <c r="A19" s="13">
        <v>15</v>
      </c>
      <c r="B19" s="14" t="s">
        <v>63</v>
      </c>
      <c r="C19" s="14" t="s">
        <v>64</v>
      </c>
      <c r="D19" s="15" t="s">
        <v>65</v>
      </c>
      <c r="E19" s="16" t="s">
        <v>65</v>
      </c>
      <c r="F19" s="17">
        <v>5</v>
      </c>
      <c r="G19" s="17"/>
      <c r="H19" s="17"/>
      <c r="I19" s="18">
        <f t="shared" si="0"/>
        <v>0</v>
      </c>
    </row>
    <row r="20" spans="1:9" ht="15.6" customHeight="1" x14ac:dyDescent="0.25">
      <c r="A20" s="13">
        <v>16</v>
      </c>
      <c r="B20" s="14" t="s">
        <v>66</v>
      </c>
      <c r="C20" s="14" t="s">
        <v>67</v>
      </c>
      <c r="D20" s="15" t="s">
        <v>21</v>
      </c>
      <c r="E20" s="16" t="s">
        <v>21</v>
      </c>
      <c r="F20" s="17">
        <v>4.3</v>
      </c>
      <c r="G20" s="17"/>
      <c r="H20" s="17"/>
      <c r="I20" s="18">
        <f t="shared" si="0"/>
        <v>0</v>
      </c>
    </row>
    <row r="21" spans="1:9" ht="15.6" customHeight="1" x14ac:dyDescent="0.25">
      <c r="A21" s="13">
        <v>17</v>
      </c>
      <c r="B21" s="14" t="s">
        <v>68</v>
      </c>
      <c r="C21" s="14" t="s">
        <v>69</v>
      </c>
      <c r="D21" s="15" t="s">
        <v>70</v>
      </c>
      <c r="E21" s="16" t="s">
        <v>70</v>
      </c>
      <c r="F21" s="17">
        <v>17</v>
      </c>
      <c r="G21" s="17"/>
      <c r="H21" s="17"/>
      <c r="I21" s="18">
        <f t="shared" si="0"/>
        <v>0</v>
      </c>
    </row>
    <row r="22" spans="1:9" ht="15.6" customHeight="1" x14ac:dyDescent="0.25">
      <c r="A22" s="13">
        <v>18</v>
      </c>
      <c r="B22" s="14" t="s">
        <v>71</v>
      </c>
      <c r="C22" s="14" t="s">
        <v>72</v>
      </c>
      <c r="D22" s="15" t="s">
        <v>70</v>
      </c>
      <c r="E22" s="16" t="s">
        <v>70</v>
      </c>
      <c r="F22" s="17">
        <v>4</v>
      </c>
      <c r="G22" s="17"/>
      <c r="H22" s="17"/>
      <c r="I22" s="18">
        <f t="shared" si="0"/>
        <v>0</v>
      </c>
    </row>
    <row r="23" spans="1:9" ht="15.6" customHeight="1" x14ac:dyDescent="0.25">
      <c r="A23" s="13">
        <v>19</v>
      </c>
      <c r="B23" s="14" t="s">
        <v>73</v>
      </c>
      <c r="C23" s="14" t="s">
        <v>74</v>
      </c>
      <c r="D23" s="15" t="s">
        <v>70</v>
      </c>
      <c r="E23" s="16" t="s">
        <v>70</v>
      </c>
      <c r="F23" s="17">
        <v>7.5</v>
      </c>
      <c r="G23" s="17"/>
      <c r="H23" s="17"/>
      <c r="I23" s="18">
        <f t="shared" si="0"/>
        <v>0</v>
      </c>
    </row>
    <row r="24" spans="1:9" ht="15.6" customHeight="1" x14ac:dyDescent="0.25">
      <c r="A24" s="13">
        <v>20</v>
      </c>
      <c r="B24" s="14" t="s">
        <v>75</v>
      </c>
      <c r="C24" s="14" t="s">
        <v>76</v>
      </c>
      <c r="D24" s="15" t="s">
        <v>77</v>
      </c>
      <c r="E24" s="16" t="s">
        <v>77</v>
      </c>
      <c r="F24" s="17">
        <v>2.1</v>
      </c>
      <c r="G24" s="17"/>
      <c r="H24" s="17"/>
      <c r="I24" s="18">
        <f t="shared" si="0"/>
        <v>0</v>
      </c>
    </row>
    <row r="25" spans="1:9" ht="15.6" customHeight="1" x14ac:dyDescent="0.25">
      <c r="A25" s="13">
        <v>21</v>
      </c>
      <c r="B25" s="14" t="s">
        <v>78</v>
      </c>
      <c r="C25" s="14" t="s">
        <v>79</v>
      </c>
      <c r="D25" s="15" t="s">
        <v>77</v>
      </c>
      <c r="E25" s="16" t="s">
        <v>77</v>
      </c>
      <c r="F25" s="17">
        <v>1.5</v>
      </c>
      <c r="G25" s="17"/>
      <c r="H25" s="17"/>
      <c r="I25" s="18">
        <f t="shared" si="0"/>
        <v>0</v>
      </c>
    </row>
    <row r="26" spans="1:9" ht="16.8" customHeight="1" x14ac:dyDescent="0.25">
      <c r="A26" s="5" t="s">
        <v>82</v>
      </c>
      <c r="B26" s="5"/>
      <c r="C26" s="5"/>
      <c r="D26" s="5" t="s">
        <v>85</v>
      </c>
      <c r="E26" s="5"/>
      <c r="F26" s="20">
        <f>SUM(F5:F25)</f>
        <v>91.399999999999991</v>
      </c>
      <c r="G26" s="21"/>
      <c r="H26" s="20">
        <f>SUM(H5:H25)</f>
        <v>0</v>
      </c>
      <c r="I26" s="22">
        <f>H26/F26</f>
        <v>0</v>
      </c>
    </row>
  </sheetData>
  <mergeCells count="29">
    <mergeCell ref="A26:C26"/>
    <mergeCell ref="D26:E26"/>
    <mergeCell ref="D21:E21"/>
    <mergeCell ref="D22:E22"/>
    <mergeCell ref="D23:E23"/>
    <mergeCell ref="D24:E24"/>
    <mergeCell ref="D25:E25"/>
    <mergeCell ref="D15:E15"/>
    <mergeCell ref="D16:E16"/>
    <mergeCell ref="D17:E17"/>
    <mergeCell ref="D18:E18"/>
    <mergeCell ref="D19:E19"/>
    <mergeCell ref="D20:E20"/>
    <mergeCell ref="D9:E9"/>
    <mergeCell ref="D10:E10"/>
    <mergeCell ref="D11:E11"/>
    <mergeCell ref="D12:E12"/>
    <mergeCell ref="D13:E13"/>
    <mergeCell ref="D14:E14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6B91-4A0F-4571-9F1F-F7C679215646}">
  <sheetPr codeName="Sheet4"/>
  <dimension ref="A1:I8"/>
  <sheetViews>
    <sheetView tabSelected="1" zoomScaleNormal="100" workbookViewId="0">
      <selection activeCell="D9" sqref="D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19</v>
      </c>
      <c r="C5" s="14" t="s">
        <v>20</v>
      </c>
      <c r="D5" s="15" t="s">
        <v>21</v>
      </c>
      <c r="E5" s="16" t="s">
        <v>21</v>
      </c>
      <c r="F5" s="17">
        <v>15</v>
      </c>
      <c r="G5" s="17"/>
      <c r="H5" s="17"/>
      <c r="I5" s="18">
        <f t="shared" ref="I5:I6" si="0">H5/F5</f>
        <v>0</v>
      </c>
    </row>
    <row r="6" spans="1:9" ht="15.6" customHeight="1" x14ac:dyDescent="0.25">
      <c r="A6" s="13">
        <v>2</v>
      </c>
      <c r="B6" s="14" t="s">
        <v>22</v>
      </c>
      <c r="C6" s="14" t="s">
        <v>23</v>
      </c>
      <c r="D6" s="15" t="s">
        <v>24</v>
      </c>
      <c r="E6" s="16" t="s">
        <v>24</v>
      </c>
      <c r="F6" s="17">
        <v>14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80</v>
      </c>
      <c r="C7" s="14" t="s">
        <v>81</v>
      </c>
      <c r="D7" s="15"/>
      <c r="E7" s="16"/>
      <c r="F7" s="17">
        <v>6.8</v>
      </c>
      <c r="G7" s="17"/>
      <c r="H7" s="17"/>
      <c r="I7" s="18">
        <f>H7/F7</f>
        <v>0</v>
      </c>
    </row>
    <row r="8" spans="1:9" ht="16.8" customHeight="1" x14ac:dyDescent="0.25">
      <c r="A8" s="5" t="s">
        <v>82</v>
      </c>
      <c r="B8" s="5"/>
      <c r="C8" s="5"/>
      <c r="D8" s="5" t="s">
        <v>86</v>
      </c>
      <c r="E8" s="5"/>
      <c r="F8" s="20">
        <f>SUM(F5:F7)</f>
        <v>35.799999999999997</v>
      </c>
      <c r="G8" s="21"/>
      <c r="H8" s="20">
        <f>SUM(H5:H7)</f>
        <v>0</v>
      </c>
      <c r="I8" s="22">
        <f>H8/F8</f>
        <v>0</v>
      </c>
    </row>
  </sheetData>
  <mergeCells count="11">
    <mergeCell ref="A8:C8"/>
    <mergeCell ref="D8:E8"/>
    <mergeCell ref="D7:E7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Inv__Ujitjes_Selenice</vt:lpstr>
      <vt:lpstr>Rezervuar</vt:lpstr>
      <vt:lpstr>Stacion Pompimi</vt:lpstr>
      <vt:lpstr>Lume &amp; Kanale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2026-10-07T12:15:36Z</dcterms:created>
  <dcterms:modified xsi:type="dcterms:W3CDTF">2026-10-07T12:17:49Z</dcterms:modified>
</cp:coreProperties>
</file>