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Inventari i ujitjes per cdo bashki\"/>
    </mc:Choice>
  </mc:AlternateContent>
  <xr:revisionPtr revIDLastSave="0" documentId="13_ncr:1_{78ECE5C0-F776-48D5-8ABE-5CED23D8C460}" xr6:coauthVersionLast="47" xr6:coauthVersionMax="47" xr10:uidLastSave="{00000000-0000-0000-0000-000000000000}"/>
  <bookViews>
    <workbookView xWindow="-28920" yWindow="-1470" windowWidth="29040" windowHeight="15720" activeTab="3" xr2:uid="{8C5E321F-B74F-4AD6-93CC-EB98A25D71A9}"/>
  </bookViews>
  <sheets>
    <sheet name="Inv__Ujitjes_Berat" sheetId="1" r:id="rId1"/>
    <sheet name="Rezervuaret" sheetId="3" r:id="rId2"/>
    <sheet name="Lumenj" sheetId="4" r:id="rId3"/>
    <sheet name="Stacione Pompimi" sheetId="6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6" l="1"/>
  <c r="F9" i="6"/>
  <c r="I8" i="6"/>
  <c r="I7" i="6"/>
  <c r="I6" i="6"/>
  <c r="I5" i="6"/>
  <c r="H8" i="5"/>
  <c r="I8" i="5" s="1"/>
  <c r="F8" i="5"/>
  <c r="I7" i="5"/>
  <c r="I6" i="5"/>
  <c r="H11" i="4"/>
  <c r="F11" i="4"/>
  <c r="I10" i="4"/>
  <c r="I9" i="4"/>
  <c r="I8" i="4"/>
  <c r="I7" i="4"/>
  <c r="I6" i="4"/>
  <c r="I5" i="4"/>
  <c r="H22" i="3"/>
  <c r="F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36" i="1"/>
  <c r="I36" i="1" s="1"/>
  <c r="F36" i="1"/>
  <c r="I35" i="1"/>
  <c r="I34" i="1"/>
  <c r="H28" i="1"/>
  <c r="I28" i="1" s="1"/>
  <c r="F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9" i="6" l="1"/>
  <c r="I11" i="4"/>
  <c r="I22" i="3"/>
</calcChain>
</file>

<file path=xl/sharedStrings.xml><?xml version="1.0" encoding="utf-8"?>
<sst xmlns="http://schemas.openxmlformats.org/spreadsheetml/2006/main" count="242" uniqueCount="89">
  <si>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</si>
  <si>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</si>
  <si>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</si>
  <si>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</si>
  <si>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</si>
  <si>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</si>
  <si>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</si>
  <si>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</si>
  <si>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</si>
  <si>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</si>
  <si>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</si>
  <si>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BRU - 13</t>
  </si>
  <si>
    <t xml:space="preserve">Bilçe </t>
  </si>
  <si>
    <t>Rezervuar Bilçe</t>
  </si>
  <si>
    <t>Po</t>
  </si>
  <si>
    <t>BRU - 31</t>
  </si>
  <si>
    <t>Qaf - Hoxhaj - Uznove kanal</t>
  </si>
  <si>
    <t>Lume Osum</t>
  </si>
  <si>
    <t>BRU - 10</t>
  </si>
  <si>
    <t xml:space="preserve">Sadovice </t>
  </si>
  <si>
    <t>Rezervuar Sadovice</t>
  </si>
  <si>
    <t>BRU - 12</t>
  </si>
  <si>
    <t xml:space="preserve">Duhanas </t>
  </si>
  <si>
    <t>Rezervuar Duhanas</t>
  </si>
  <si>
    <t>BRU - 27</t>
  </si>
  <si>
    <t xml:space="preserve">Ullinjas </t>
  </si>
  <si>
    <t>Rezervuar Ullinjas</t>
  </si>
  <si>
    <t>BRU - 30</t>
  </si>
  <si>
    <t>Starove - Remanice kanal</t>
  </si>
  <si>
    <t>BRU - 9</t>
  </si>
  <si>
    <t xml:space="preserve">Mbreshtan </t>
  </si>
  <si>
    <t>Rezervuar Mbreshtan</t>
  </si>
  <si>
    <t>BRU - 7</t>
  </si>
  <si>
    <t xml:space="preserve">Mbjeshove </t>
  </si>
  <si>
    <t>Rezervuar Mbjeshove</t>
  </si>
  <si>
    <t>BRU - 23</t>
  </si>
  <si>
    <t xml:space="preserve">Roshnik </t>
  </si>
  <si>
    <t>Rezervuar Roshnik</t>
  </si>
  <si>
    <t>BRU-Lap</t>
  </si>
  <si>
    <t>Lapardha 1 &amp; 2</t>
  </si>
  <si>
    <t>Rezervuar Belesove</t>
  </si>
  <si>
    <t>BRU - 8</t>
  </si>
  <si>
    <t xml:space="preserve">Mbolan </t>
  </si>
  <si>
    <t>Rezervuar Mbolan</t>
  </si>
  <si>
    <t>BRU - 26</t>
  </si>
  <si>
    <t xml:space="preserve">Uznove </t>
  </si>
  <si>
    <t>Rezervuar Uznove</t>
  </si>
  <si>
    <t>BRU -Bal</t>
  </si>
  <si>
    <t>Balta kuqe</t>
  </si>
  <si>
    <t>Rezervuar Lapardhica</t>
  </si>
  <si>
    <t>BRU -Ull</t>
  </si>
  <si>
    <t>Ullinjas &amp; Dyshnik</t>
  </si>
  <si>
    <t>Rezervuar Gushtove</t>
  </si>
  <si>
    <t>BRU -Dush</t>
  </si>
  <si>
    <t>Dyshnik</t>
  </si>
  <si>
    <t>Rezervuar Parangoi</t>
  </si>
  <si>
    <t>BRU - 25</t>
  </si>
  <si>
    <t xml:space="preserve">Starove </t>
  </si>
  <si>
    <t>Rezervuar Starove</t>
  </si>
  <si>
    <t>BRU - 40</t>
  </si>
  <si>
    <t>Bilça stacion pompimi 1</t>
  </si>
  <si>
    <t>BRU - 43</t>
  </si>
  <si>
    <t>Velabisht stacion pompimi</t>
  </si>
  <si>
    <t>BRU - 44</t>
  </si>
  <si>
    <t>Veterik stacion pompimi</t>
  </si>
  <si>
    <t>BRU - 45</t>
  </si>
  <si>
    <t>Osmanzeze stacion pompimi</t>
  </si>
  <si>
    <t>Rezervuar Lumare</t>
  </si>
  <si>
    <t>BRU-V1</t>
  </si>
  <si>
    <t>Zagore  Spring</t>
  </si>
  <si>
    <t>Rezervuar Zagora</t>
  </si>
  <si>
    <t>BRU-V2</t>
  </si>
  <si>
    <t>Cermelias Field</t>
  </si>
  <si>
    <t>BRU-V5</t>
  </si>
  <si>
    <t>Sineç Branch</t>
  </si>
  <si>
    <t>Rezervuar Sinec</t>
  </si>
  <si>
    <t>Total</t>
  </si>
  <si>
    <t>23 Skema</t>
  </si>
  <si>
    <t>Skema të pjesërisht të transferuara</t>
  </si>
  <si>
    <t>Vetëm Kanale të Dyta në Km</t>
  </si>
  <si>
    <t>BRU - 3</t>
  </si>
  <si>
    <t>Berat-Kucove-Dimal</t>
  </si>
  <si>
    <t>BRU - 2</t>
  </si>
  <si>
    <t xml:space="preserve">Berat-Kucove </t>
  </si>
  <si>
    <t xml:space="preserve">Rezervuar Belesove </t>
  </si>
  <si>
    <t>2 Skema</t>
  </si>
  <si>
    <t>17 Skema</t>
  </si>
  <si>
    <t>6 Skema</t>
  </si>
  <si>
    <t>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</si>
</sst>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1" fontId="3" fillId="0" borderId="1" xfId="2" applyNumberFormat="1" applyFont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6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</cellXfs>
  <cellStyles count="3">
    <cellStyle name="Normal" xfId="0" builtinId="0"/>
    <cellStyle name="Normal 2" xfId="2" xr:uid="{6470C54B-7247-402C-BE8D-97F118EF58C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3CD5-238F-4610-8477-C23E276D956B}">
  <dimension ref="A1:I36"/>
  <sheetViews>
    <sheetView topLeftCell="A4" zoomScaleNormal="100" workbookViewId="0">
      <selection activeCell="J16" sqref="J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24" t="s">
        <v>1</v>
      </c>
      <c r="B3" s="30" t="s">
        <v>2</v>
      </c>
      <c r="C3" s="30"/>
      <c r="D3" s="26" t="s">
        <v>3</v>
      </c>
      <c r="E3" s="27"/>
      <c r="F3" s="30" t="s">
        <v>4</v>
      </c>
      <c r="G3" s="30" t="s">
        <v>5</v>
      </c>
      <c r="H3" s="24" t="s">
        <v>6</v>
      </c>
      <c r="I3" s="24"/>
    </row>
    <row r="4" spans="1:9" s="6" customFormat="1" ht="17.399999999999999" customHeight="1" x14ac:dyDescent="0.3">
      <c r="A4" s="24"/>
      <c r="B4" s="5" t="s">
        <v>7</v>
      </c>
      <c r="C4" s="5" t="s">
        <v>8</v>
      </c>
      <c r="D4" s="28"/>
      <c r="E4" s="29"/>
      <c r="F4" s="30"/>
      <c r="G4" s="30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31" t="s">
        <v>13</v>
      </c>
      <c r="E5" s="32"/>
      <c r="F5" s="9">
        <v>31</v>
      </c>
      <c r="G5" s="10" t="s">
        <v>14</v>
      </c>
      <c r="H5" s="10">
        <v>15</v>
      </c>
      <c r="I5" s="11">
        <f>H5/F5</f>
        <v>0.4838709677419355</v>
      </c>
    </row>
    <row r="6" spans="1:9" ht="15.6" customHeight="1" x14ac:dyDescent="0.25">
      <c r="A6" s="7">
        <v>2</v>
      </c>
      <c r="B6" s="8" t="s">
        <v>15</v>
      </c>
      <c r="C6" s="8" t="s">
        <v>16</v>
      </c>
      <c r="D6" s="31" t="s">
        <v>17</v>
      </c>
      <c r="E6" s="32"/>
      <c r="F6" s="9">
        <v>7</v>
      </c>
      <c r="G6" s="10"/>
      <c r="H6" s="10"/>
      <c r="I6" s="11">
        <f t="shared" ref="I6:I28" si="0">H6/F6</f>
        <v>0</v>
      </c>
    </row>
    <row r="7" spans="1:9" ht="15.6" customHeight="1" x14ac:dyDescent="0.25">
      <c r="A7" s="7">
        <v>3</v>
      </c>
      <c r="B7" s="8" t="s">
        <v>18</v>
      </c>
      <c r="C7" s="8" t="s">
        <v>19</v>
      </c>
      <c r="D7" s="31" t="s">
        <v>20</v>
      </c>
      <c r="E7" s="32"/>
      <c r="F7" s="9">
        <v>20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21</v>
      </c>
      <c r="C8" s="8" t="s">
        <v>22</v>
      </c>
      <c r="D8" s="31" t="s">
        <v>23</v>
      </c>
      <c r="E8" s="32"/>
      <c r="F8" s="9">
        <v>8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24</v>
      </c>
      <c r="C9" s="8" t="s">
        <v>25</v>
      </c>
      <c r="D9" s="31" t="s">
        <v>26</v>
      </c>
      <c r="E9" s="32"/>
      <c r="F9" s="9">
        <v>17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27</v>
      </c>
      <c r="C10" s="8" t="s">
        <v>28</v>
      </c>
      <c r="D10" s="31" t="s">
        <v>17</v>
      </c>
      <c r="E10" s="32"/>
      <c r="F10" s="9">
        <v>9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29</v>
      </c>
      <c r="C11" s="8" t="s">
        <v>30</v>
      </c>
      <c r="D11" s="31" t="s">
        <v>31</v>
      </c>
      <c r="E11" s="32"/>
      <c r="F11" s="9">
        <v>4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32</v>
      </c>
      <c r="C12" s="8" t="s">
        <v>33</v>
      </c>
      <c r="D12" s="31" t="s">
        <v>34</v>
      </c>
      <c r="E12" s="32"/>
      <c r="F12" s="9">
        <v>2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35</v>
      </c>
      <c r="C13" s="8" t="s">
        <v>36</v>
      </c>
      <c r="D13" s="31" t="s">
        <v>37</v>
      </c>
      <c r="E13" s="32"/>
      <c r="F13" s="9">
        <v>0.5</v>
      </c>
      <c r="G13" s="9"/>
      <c r="H13" s="9"/>
      <c r="I13" s="11">
        <f t="shared" si="0"/>
        <v>0</v>
      </c>
    </row>
    <row r="14" spans="1:9" ht="15.6" customHeight="1" x14ac:dyDescent="0.25">
      <c r="A14" s="7">
        <v>10</v>
      </c>
      <c r="B14" s="8" t="s">
        <v>38</v>
      </c>
      <c r="C14" s="8" t="s">
        <v>39</v>
      </c>
      <c r="D14" s="31" t="s">
        <v>40</v>
      </c>
      <c r="E14" s="32"/>
      <c r="F14" s="9">
        <v>6</v>
      </c>
      <c r="G14" s="10"/>
      <c r="H14" s="10"/>
      <c r="I14" s="11">
        <f t="shared" si="0"/>
        <v>0</v>
      </c>
    </row>
    <row r="15" spans="1:9" ht="15.6" customHeight="1" x14ac:dyDescent="0.25">
      <c r="A15" s="7">
        <v>11</v>
      </c>
      <c r="B15" s="8" t="s">
        <v>41</v>
      </c>
      <c r="C15" s="8" t="s">
        <v>42</v>
      </c>
      <c r="D15" s="31" t="s">
        <v>43</v>
      </c>
      <c r="E15" s="32"/>
      <c r="F15" s="9">
        <v>7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44</v>
      </c>
      <c r="C16" s="8" t="s">
        <v>45</v>
      </c>
      <c r="D16" s="31" t="s">
        <v>46</v>
      </c>
      <c r="E16" s="32"/>
      <c r="F16" s="9">
        <v>17</v>
      </c>
      <c r="G16" s="9"/>
      <c r="H16" s="9"/>
      <c r="I16" s="11">
        <f t="shared" si="0"/>
        <v>0</v>
      </c>
    </row>
    <row r="17" spans="1:9" ht="15.6" customHeight="1" x14ac:dyDescent="0.25">
      <c r="A17" s="7">
        <v>13</v>
      </c>
      <c r="B17" s="8" t="s">
        <v>47</v>
      </c>
      <c r="C17" s="8" t="s">
        <v>48</v>
      </c>
      <c r="D17" s="31" t="s">
        <v>49</v>
      </c>
      <c r="E17" s="32"/>
      <c r="F17" s="9">
        <v>6.3</v>
      </c>
      <c r="G17" s="10"/>
      <c r="H17" s="10"/>
      <c r="I17" s="11">
        <f t="shared" si="0"/>
        <v>0</v>
      </c>
    </row>
    <row r="18" spans="1:9" ht="15.6" customHeight="1" x14ac:dyDescent="0.25">
      <c r="A18" s="7">
        <v>14</v>
      </c>
      <c r="B18" s="8" t="s">
        <v>50</v>
      </c>
      <c r="C18" s="8" t="s">
        <v>51</v>
      </c>
      <c r="D18" s="31" t="s">
        <v>52</v>
      </c>
      <c r="E18" s="32"/>
      <c r="F18" s="9">
        <v>1</v>
      </c>
      <c r="G18" s="10"/>
      <c r="H18" s="10"/>
      <c r="I18" s="11">
        <f t="shared" si="0"/>
        <v>0</v>
      </c>
    </row>
    <row r="19" spans="1:9" ht="15.6" customHeight="1" x14ac:dyDescent="0.25">
      <c r="A19" s="7">
        <v>15</v>
      </c>
      <c r="B19" s="8" t="s">
        <v>53</v>
      </c>
      <c r="C19" s="8" t="s">
        <v>54</v>
      </c>
      <c r="D19" s="31" t="s">
        <v>55</v>
      </c>
      <c r="E19" s="32"/>
      <c r="F19" s="9">
        <v>1.3</v>
      </c>
      <c r="G19" s="9"/>
      <c r="H19" s="9"/>
      <c r="I19" s="11">
        <f t="shared" si="0"/>
        <v>0</v>
      </c>
    </row>
    <row r="20" spans="1:9" ht="15.6" customHeight="1" x14ac:dyDescent="0.25">
      <c r="A20" s="7">
        <v>16</v>
      </c>
      <c r="B20" s="8" t="s">
        <v>56</v>
      </c>
      <c r="C20" s="8" t="s">
        <v>57</v>
      </c>
      <c r="D20" s="31" t="s">
        <v>58</v>
      </c>
      <c r="E20" s="32"/>
      <c r="F20" s="9">
        <v>5</v>
      </c>
      <c r="G20" s="10"/>
      <c r="H20" s="10"/>
      <c r="I20" s="11">
        <f t="shared" si="0"/>
        <v>0</v>
      </c>
    </row>
    <row r="21" spans="1:9" ht="15.6" customHeight="1" x14ac:dyDescent="0.25">
      <c r="A21" s="7">
        <v>17</v>
      </c>
      <c r="B21" s="8" t="s">
        <v>59</v>
      </c>
      <c r="C21" s="8" t="s">
        <v>60</v>
      </c>
      <c r="D21" s="31" t="s">
        <v>17</v>
      </c>
      <c r="E21" s="32"/>
      <c r="F21" s="12">
        <v>4</v>
      </c>
      <c r="G21" s="10"/>
      <c r="H21" s="10"/>
      <c r="I21" s="11">
        <f t="shared" si="0"/>
        <v>0</v>
      </c>
    </row>
    <row r="22" spans="1:9" ht="15.6" customHeight="1" x14ac:dyDescent="0.25">
      <c r="A22" s="7">
        <v>18</v>
      </c>
      <c r="B22" s="8" t="s">
        <v>61</v>
      </c>
      <c r="C22" s="8" t="s">
        <v>62</v>
      </c>
      <c r="D22" s="31" t="s">
        <v>17</v>
      </c>
      <c r="E22" s="32"/>
      <c r="F22" s="9">
        <v>3</v>
      </c>
      <c r="G22" s="9"/>
      <c r="H22" s="9"/>
      <c r="I22" s="11">
        <f t="shared" si="0"/>
        <v>0</v>
      </c>
    </row>
    <row r="23" spans="1:9" ht="15.6" customHeight="1" x14ac:dyDescent="0.25">
      <c r="A23" s="7">
        <v>19</v>
      </c>
      <c r="B23" s="8" t="s">
        <v>63</v>
      </c>
      <c r="C23" s="8" t="s">
        <v>64</v>
      </c>
      <c r="D23" s="31" t="s">
        <v>17</v>
      </c>
      <c r="E23" s="32"/>
      <c r="F23" s="9">
        <v>3</v>
      </c>
      <c r="G23" s="10"/>
      <c r="H23" s="10"/>
      <c r="I23" s="11">
        <f t="shared" si="0"/>
        <v>0</v>
      </c>
    </row>
    <row r="24" spans="1:9" ht="15.6" customHeight="1" x14ac:dyDescent="0.25">
      <c r="A24" s="7">
        <v>20</v>
      </c>
      <c r="B24" s="8" t="s">
        <v>65</v>
      </c>
      <c r="C24" s="8" t="s">
        <v>66</v>
      </c>
      <c r="D24" s="31" t="s">
        <v>67</v>
      </c>
      <c r="E24" s="32"/>
      <c r="F24" s="9">
        <v>1</v>
      </c>
      <c r="G24" s="10"/>
      <c r="H24" s="10"/>
      <c r="I24" s="11">
        <f t="shared" si="0"/>
        <v>0</v>
      </c>
    </row>
    <row r="25" spans="1:9" ht="15.6" customHeight="1" x14ac:dyDescent="0.25">
      <c r="A25" s="7">
        <v>21</v>
      </c>
      <c r="B25" s="8" t="s">
        <v>68</v>
      </c>
      <c r="C25" s="8" t="s">
        <v>69</v>
      </c>
      <c r="D25" s="31" t="s">
        <v>70</v>
      </c>
      <c r="E25" s="32"/>
      <c r="F25" s="9">
        <v>1.8</v>
      </c>
      <c r="G25" s="9"/>
      <c r="H25" s="9"/>
      <c r="I25" s="11">
        <f t="shared" si="0"/>
        <v>0</v>
      </c>
    </row>
    <row r="26" spans="1:9" ht="15.6" customHeight="1" x14ac:dyDescent="0.25">
      <c r="A26" s="7">
        <v>22</v>
      </c>
      <c r="B26" s="8" t="s">
        <v>71</v>
      </c>
      <c r="C26" s="8" t="s">
        <v>72</v>
      </c>
      <c r="D26" s="31" t="s">
        <v>17</v>
      </c>
      <c r="E26" s="32"/>
      <c r="F26" s="9">
        <v>1</v>
      </c>
      <c r="G26" s="10"/>
      <c r="H26" s="10"/>
      <c r="I26" s="11">
        <f t="shared" si="0"/>
        <v>0</v>
      </c>
    </row>
    <row r="27" spans="1:9" ht="15.6" customHeight="1" x14ac:dyDescent="0.25">
      <c r="A27" s="7">
        <v>23</v>
      </c>
      <c r="B27" s="8" t="s">
        <v>73</v>
      </c>
      <c r="C27" s="8" t="s">
        <v>74</v>
      </c>
      <c r="D27" s="31" t="s">
        <v>75</v>
      </c>
      <c r="E27" s="32"/>
      <c r="F27" s="9">
        <v>1</v>
      </c>
      <c r="G27" s="10"/>
      <c r="H27" s="10"/>
      <c r="I27" s="11">
        <f t="shared" si="0"/>
        <v>0</v>
      </c>
    </row>
    <row r="28" spans="1:9" ht="16.8" customHeight="1" x14ac:dyDescent="0.25">
      <c r="A28" s="24" t="s">
        <v>76</v>
      </c>
      <c r="B28" s="24"/>
      <c r="C28" s="24"/>
      <c r="D28" s="24" t="s">
        <v>77</v>
      </c>
      <c r="E28" s="24"/>
      <c r="F28" s="13">
        <f>SUM(F5:F27)</f>
        <v>156.90000000000003</v>
      </c>
      <c r="G28" s="14"/>
      <c r="H28" s="13">
        <f t="shared" ref="H28" si="1">SUM(H5:H27)</f>
        <v>15</v>
      </c>
      <c r="I28" s="15">
        <f t="shared" si="0"/>
        <v>9.5602294455066905E-2</v>
      </c>
    </row>
    <row r="30" spans="1:9" ht="15" x14ac:dyDescent="0.25">
      <c r="A30" s="1" t="s">
        <v>78</v>
      </c>
    </row>
    <row r="32" spans="1:9" s="16" customFormat="1" ht="17.399999999999999" customHeight="1" x14ac:dyDescent="0.25">
      <c r="A32" s="24" t="s">
        <v>1</v>
      </c>
      <c r="B32" s="25" t="s">
        <v>2</v>
      </c>
      <c r="C32" s="25"/>
      <c r="D32" s="26" t="s">
        <v>3</v>
      </c>
      <c r="E32" s="27"/>
      <c r="F32" s="25" t="s">
        <v>79</v>
      </c>
      <c r="G32" s="30" t="s">
        <v>5</v>
      </c>
      <c r="H32" s="24" t="s">
        <v>6</v>
      </c>
      <c r="I32" s="24"/>
    </row>
    <row r="33" spans="1:9" s="16" customFormat="1" ht="17.399999999999999" customHeight="1" x14ac:dyDescent="0.25">
      <c r="A33" s="24"/>
      <c r="B33" s="5" t="s">
        <v>7</v>
      </c>
      <c r="C33" s="5" t="s">
        <v>8</v>
      </c>
      <c r="D33" s="28"/>
      <c r="E33" s="29"/>
      <c r="F33" s="25"/>
      <c r="G33" s="30"/>
      <c r="H33" s="5" t="s">
        <v>9</v>
      </c>
      <c r="I33" s="5" t="s">
        <v>10</v>
      </c>
    </row>
    <row r="34" spans="1:9" ht="16.2" customHeight="1" x14ac:dyDescent="0.25">
      <c r="A34" s="17">
        <v>1</v>
      </c>
      <c r="B34" s="18" t="s">
        <v>80</v>
      </c>
      <c r="C34" s="19" t="s">
        <v>81</v>
      </c>
      <c r="D34" s="22" t="s">
        <v>17</v>
      </c>
      <c r="E34" s="23"/>
      <c r="F34" s="20">
        <v>134</v>
      </c>
      <c r="G34" s="10"/>
      <c r="H34" s="10">
        <v>45</v>
      </c>
      <c r="I34" s="11">
        <f t="shared" ref="I34:I36" si="2">H34/F34</f>
        <v>0.33582089552238809</v>
      </c>
    </row>
    <row r="35" spans="1:9" ht="16.2" customHeight="1" x14ac:dyDescent="0.25">
      <c r="A35" s="17">
        <v>2</v>
      </c>
      <c r="B35" s="18" t="s">
        <v>82</v>
      </c>
      <c r="C35" s="21" t="s">
        <v>83</v>
      </c>
      <c r="D35" s="22" t="s">
        <v>84</v>
      </c>
      <c r="E35" s="23"/>
      <c r="F35" s="20">
        <v>29</v>
      </c>
      <c r="G35" s="10"/>
      <c r="H35" s="10"/>
      <c r="I35" s="11">
        <f t="shared" si="2"/>
        <v>0</v>
      </c>
    </row>
    <row r="36" spans="1:9" ht="16.8" customHeight="1" x14ac:dyDescent="0.25">
      <c r="A36" s="24" t="s">
        <v>76</v>
      </c>
      <c r="B36" s="24"/>
      <c r="C36" s="24"/>
      <c r="D36" s="24" t="s">
        <v>85</v>
      </c>
      <c r="E36" s="24"/>
      <c r="F36" s="13">
        <f>SUM(F34:F35)</f>
        <v>163</v>
      </c>
      <c r="G36" s="14"/>
      <c r="H36" s="13">
        <f>SUM(H34:H35)</f>
        <v>45</v>
      </c>
      <c r="I36" s="15">
        <f t="shared" si="2"/>
        <v>0.27607361963190186</v>
      </c>
    </row>
  </sheetData>
  <mergeCells count="41">
    <mergeCell ref="H3:I3"/>
    <mergeCell ref="A3:A4"/>
    <mergeCell ref="B3:C3"/>
    <mergeCell ref="D3:E4"/>
    <mergeCell ref="F3:F4"/>
    <mergeCell ref="G3:G4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28:C28"/>
    <mergeCell ref="D28:E28"/>
    <mergeCell ref="D17:E17"/>
    <mergeCell ref="D18:E18"/>
    <mergeCell ref="D19:E19"/>
    <mergeCell ref="D20:E20"/>
    <mergeCell ref="D21:E21"/>
    <mergeCell ref="D22:E22"/>
    <mergeCell ref="F32:F33"/>
    <mergeCell ref="G32:G33"/>
    <mergeCell ref="H32:I32"/>
    <mergeCell ref="D23:E23"/>
    <mergeCell ref="D24:E24"/>
    <mergeCell ref="D25:E25"/>
    <mergeCell ref="D26:E26"/>
    <mergeCell ref="D27:E27"/>
    <mergeCell ref="D34:E34"/>
    <mergeCell ref="D35:E35"/>
    <mergeCell ref="A36:C36"/>
    <mergeCell ref="D36:E36"/>
    <mergeCell ref="A32:A33"/>
    <mergeCell ref="B32:C32"/>
    <mergeCell ref="D32:E3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A2C1-26EB-45FA-8E33-89F516B5A9AA}">
  <dimension ref="A1:I22"/>
  <sheetViews>
    <sheetView zoomScaleNormal="100" workbookViewId="0">
      <selection activeCell="C32" sqref="C3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24" t="s">
        <v>1</v>
      </c>
      <c r="B3" s="30" t="s">
        <v>2</v>
      </c>
      <c r="C3" s="30"/>
      <c r="D3" s="26" t="s">
        <v>3</v>
      </c>
      <c r="E3" s="27"/>
      <c r="F3" s="30" t="s">
        <v>4</v>
      </c>
      <c r="G3" s="30" t="s">
        <v>5</v>
      </c>
      <c r="H3" s="24" t="s">
        <v>6</v>
      </c>
      <c r="I3" s="24"/>
    </row>
    <row r="4" spans="1:9" s="6" customFormat="1" ht="17.399999999999999" customHeight="1" x14ac:dyDescent="0.3">
      <c r="A4" s="24"/>
      <c r="B4" s="5" t="s">
        <v>7</v>
      </c>
      <c r="C4" s="5" t="s">
        <v>8</v>
      </c>
      <c r="D4" s="28"/>
      <c r="E4" s="29"/>
      <c r="F4" s="30"/>
      <c r="G4" s="30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31" t="s">
        <v>13</v>
      </c>
      <c r="E5" s="32"/>
      <c r="F5" s="9">
        <v>31</v>
      </c>
      <c r="G5" s="10" t="s">
        <v>14</v>
      </c>
      <c r="H5" s="10">
        <v>15</v>
      </c>
      <c r="I5" s="11">
        <f>H5/F5</f>
        <v>0.4838709677419355</v>
      </c>
    </row>
    <row r="6" spans="1:9" ht="15.6" customHeight="1" x14ac:dyDescent="0.25">
      <c r="A6" s="7">
        <v>2</v>
      </c>
      <c r="B6" s="8" t="s">
        <v>18</v>
      </c>
      <c r="C6" s="8" t="s">
        <v>19</v>
      </c>
      <c r="D6" s="31" t="s">
        <v>20</v>
      </c>
      <c r="E6" s="32"/>
      <c r="F6" s="9">
        <v>20</v>
      </c>
      <c r="G6" s="9"/>
      <c r="H6" s="9"/>
      <c r="I6" s="11">
        <f t="shared" ref="I6:I22" si="0">H6/F6</f>
        <v>0</v>
      </c>
    </row>
    <row r="7" spans="1:9" ht="15.6" customHeight="1" x14ac:dyDescent="0.25">
      <c r="A7" s="7">
        <v>3</v>
      </c>
      <c r="B7" s="8" t="s">
        <v>21</v>
      </c>
      <c r="C7" s="8" t="s">
        <v>22</v>
      </c>
      <c r="D7" s="31" t="s">
        <v>23</v>
      </c>
      <c r="E7" s="32"/>
      <c r="F7" s="9">
        <v>8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24</v>
      </c>
      <c r="C8" s="8" t="s">
        <v>25</v>
      </c>
      <c r="D8" s="31" t="s">
        <v>26</v>
      </c>
      <c r="E8" s="32"/>
      <c r="F8" s="9">
        <v>17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29</v>
      </c>
      <c r="C9" s="8" t="s">
        <v>30</v>
      </c>
      <c r="D9" s="31" t="s">
        <v>31</v>
      </c>
      <c r="E9" s="32"/>
      <c r="F9" s="9">
        <v>4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32</v>
      </c>
      <c r="C10" s="8" t="s">
        <v>33</v>
      </c>
      <c r="D10" s="31" t="s">
        <v>34</v>
      </c>
      <c r="E10" s="32"/>
      <c r="F10" s="9">
        <v>2</v>
      </c>
      <c r="G10" s="10"/>
      <c r="H10" s="10"/>
      <c r="I10" s="11">
        <f t="shared" si="0"/>
        <v>0</v>
      </c>
    </row>
    <row r="11" spans="1:9" ht="15.6" customHeight="1" x14ac:dyDescent="0.25">
      <c r="A11" s="7">
        <v>7</v>
      </c>
      <c r="B11" s="8" t="s">
        <v>35</v>
      </c>
      <c r="C11" s="8" t="s">
        <v>36</v>
      </c>
      <c r="D11" s="31" t="s">
        <v>37</v>
      </c>
      <c r="E11" s="32"/>
      <c r="F11" s="9">
        <v>0.5</v>
      </c>
      <c r="G11" s="9"/>
      <c r="H11" s="9"/>
      <c r="I11" s="11">
        <f t="shared" si="0"/>
        <v>0</v>
      </c>
    </row>
    <row r="12" spans="1:9" ht="15.6" customHeight="1" x14ac:dyDescent="0.25">
      <c r="A12" s="7">
        <v>8</v>
      </c>
      <c r="B12" s="8" t="s">
        <v>38</v>
      </c>
      <c r="C12" s="8" t="s">
        <v>39</v>
      </c>
      <c r="D12" s="31" t="s">
        <v>40</v>
      </c>
      <c r="E12" s="32"/>
      <c r="F12" s="9">
        <v>6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41</v>
      </c>
      <c r="C13" s="8" t="s">
        <v>42</v>
      </c>
      <c r="D13" s="31" t="s">
        <v>43</v>
      </c>
      <c r="E13" s="32"/>
      <c r="F13" s="9">
        <v>7</v>
      </c>
      <c r="G13" s="10"/>
      <c r="H13" s="10"/>
      <c r="I13" s="11">
        <f t="shared" si="0"/>
        <v>0</v>
      </c>
    </row>
    <row r="14" spans="1:9" ht="15.6" customHeight="1" x14ac:dyDescent="0.25">
      <c r="A14" s="7">
        <v>10</v>
      </c>
      <c r="B14" s="8" t="s">
        <v>44</v>
      </c>
      <c r="C14" s="8" t="s">
        <v>45</v>
      </c>
      <c r="D14" s="31" t="s">
        <v>46</v>
      </c>
      <c r="E14" s="32"/>
      <c r="F14" s="9">
        <v>17</v>
      </c>
      <c r="G14" s="9"/>
      <c r="H14" s="9"/>
      <c r="I14" s="11">
        <f t="shared" si="0"/>
        <v>0</v>
      </c>
    </row>
    <row r="15" spans="1:9" ht="15.6" customHeight="1" x14ac:dyDescent="0.25">
      <c r="A15" s="7">
        <v>11</v>
      </c>
      <c r="B15" s="8" t="s">
        <v>47</v>
      </c>
      <c r="C15" s="8" t="s">
        <v>48</v>
      </c>
      <c r="D15" s="31" t="s">
        <v>49</v>
      </c>
      <c r="E15" s="32"/>
      <c r="F15" s="9">
        <v>6.3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50</v>
      </c>
      <c r="C16" s="8" t="s">
        <v>51</v>
      </c>
      <c r="D16" s="31" t="s">
        <v>52</v>
      </c>
      <c r="E16" s="32"/>
      <c r="F16" s="9">
        <v>1</v>
      </c>
      <c r="G16" s="10"/>
      <c r="H16" s="10"/>
      <c r="I16" s="11">
        <f t="shared" si="0"/>
        <v>0</v>
      </c>
    </row>
    <row r="17" spans="1:9" ht="15.6" customHeight="1" x14ac:dyDescent="0.25">
      <c r="A17" s="7">
        <v>13</v>
      </c>
      <c r="B17" s="8" t="s">
        <v>53</v>
      </c>
      <c r="C17" s="8" t="s">
        <v>54</v>
      </c>
      <c r="D17" s="31" t="s">
        <v>55</v>
      </c>
      <c r="E17" s="32"/>
      <c r="F17" s="9">
        <v>1.3</v>
      </c>
      <c r="G17" s="9"/>
      <c r="H17" s="9"/>
      <c r="I17" s="11">
        <f t="shared" si="0"/>
        <v>0</v>
      </c>
    </row>
    <row r="18" spans="1:9" ht="15.6" customHeight="1" x14ac:dyDescent="0.25">
      <c r="A18" s="7">
        <v>14</v>
      </c>
      <c r="B18" s="8" t="s">
        <v>56</v>
      </c>
      <c r="C18" s="8" t="s">
        <v>57</v>
      </c>
      <c r="D18" s="31" t="s">
        <v>58</v>
      </c>
      <c r="E18" s="32"/>
      <c r="F18" s="9">
        <v>5</v>
      </c>
      <c r="G18" s="10"/>
      <c r="H18" s="10"/>
      <c r="I18" s="11">
        <f t="shared" si="0"/>
        <v>0</v>
      </c>
    </row>
    <row r="19" spans="1:9" ht="15.6" customHeight="1" x14ac:dyDescent="0.25">
      <c r="A19" s="7">
        <v>15</v>
      </c>
      <c r="B19" s="8" t="s">
        <v>65</v>
      </c>
      <c r="C19" s="8" t="s">
        <v>66</v>
      </c>
      <c r="D19" s="31" t="s">
        <v>67</v>
      </c>
      <c r="E19" s="32"/>
      <c r="F19" s="9">
        <v>1</v>
      </c>
      <c r="G19" s="10"/>
      <c r="H19" s="10"/>
      <c r="I19" s="11">
        <f t="shared" si="0"/>
        <v>0</v>
      </c>
    </row>
    <row r="20" spans="1:9" ht="15.6" customHeight="1" x14ac:dyDescent="0.25">
      <c r="A20" s="7">
        <v>16</v>
      </c>
      <c r="B20" s="8" t="s">
        <v>68</v>
      </c>
      <c r="C20" s="8" t="s">
        <v>69</v>
      </c>
      <c r="D20" s="31" t="s">
        <v>70</v>
      </c>
      <c r="E20" s="32"/>
      <c r="F20" s="9">
        <v>1.8</v>
      </c>
      <c r="G20" s="9"/>
      <c r="H20" s="9"/>
      <c r="I20" s="11">
        <f t="shared" si="0"/>
        <v>0</v>
      </c>
    </row>
    <row r="21" spans="1:9" ht="15.6" customHeight="1" x14ac:dyDescent="0.25">
      <c r="A21" s="7">
        <v>17</v>
      </c>
      <c r="B21" s="8" t="s">
        <v>73</v>
      </c>
      <c r="C21" s="8" t="s">
        <v>74</v>
      </c>
      <c r="D21" s="31" t="s">
        <v>75</v>
      </c>
      <c r="E21" s="32"/>
      <c r="F21" s="9">
        <v>1</v>
      </c>
      <c r="G21" s="10"/>
      <c r="H21" s="10"/>
      <c r="I21" s="11">
        <f t="shared" si="0"/>
        <v>0</v>
      </c>
    </row>
    <row r="22" spans="1:9" ht="16.8" customHeight="1" x14ac:dyDescent="0.25">
      <c r="A22" s="24" t="s">
        <v>76</v>
      </c>
      <c r="B22" s="24"/>
      <c r="C22" s="24"/>
      <c r="D22" s="24" t="s">
        <v>86</v>
      </c>
      <c r="E22" s="24"/>
      <c r="F22" s="13">
        <f>SUM(F5:F21)</f>
        <v>129.9</v>
      </c>
      <c r="G22" s="14"/>
      <c r="H22" s="13">
        <f>SUM(H5:H21)</f>
        <v>15</v>
      </c>
      <c r="I22" s="15">
        <f t="shared" si="0"/>
        <v>0.11547344110854503</v>
      </c>
    </row>
  </sheetData>
  <mergeCells count="25">
    <mergeCell ref="F3:F4"/>
    <mergeCell ref="G3:G4"/>
    <mergeCell ref="H3:I3"/>
    <mergeCell ref="D5:E5"/>
    <mergeCell ref="D6:E6"/>
    <mergeCell ref="D7:E7"/>
    <mergeCell ref="D8:E8"/>
    <mergeCell ref="A3:A4"/>
    <mergeCell ref="B3:C3"/>
    <mergeCell ref="D3:E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D14:E14"/>
    <mergeCell ref="D19:E19"/>
    <mergeCell ref="D20:E20"/>
    <mergeCell ref="D21:E21"/>
    <mergeCell ref="A22:C22"/>
    <mergeCell ref="D22:E22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C331-70E9-4C3C-AC38-B8FF5E2EF2FD}">
  <dimension ref="A1:I11"/>
  <sheetViews>
    <sheetView zoomScaleNormal="100" workbookViewId="0">
      <selection activeCell="D38" sqref="D38:D3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24" t="s">
        <v>1</v>
      </c>
      <c r="B3" s="30" t="s">
        <v>2</v>
      </c>
      <c r="C3" s="30"/>
      <c r="D3" s="26" t="s">
        <v>3</v>
      </c>
      <c r="E3" s="27"/>
      <c r="F3" s="30" t="s">
        <v>4</v>
      </c>
      <c r="G3" s="30" t="s">
        <v>5</v>
      </c>
      <c r="H3" s="24" t="s">
        <v>6</v>
      </c>
      <c r="I3" s="24"/>
    </row>
    <row r="4" spans="1:9" s="6" customFormat="1" ht="17.399999999999999" customHeight="1" x14ac:dyDescent="0.3">
      <c r="A4" s="24"/>
      <c r="B4" s="5" t="s">
        <v>7</v>
      </c>
      <c r="C4" s="5" t="s">
        <v>8</v>
      </c>
      <c r="D4" s="28"/>
      <c r="E4" s="29"/>
      <c r="F4" s="30"/>
      <c r="G4" s="30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15</v>
      </c>
      <c r="C5" s="8" t="s">
        <v>16</v>
      </c>
      <c r="D5" s="31" t="s">
        <v>17</v>
      </c>
      <c r="E5" s="32"/>
      <c r="F5" s="9">
        <v>7</v>
      </c>
      <c r="G5" s="10"/>
      <c r="H5" s="10"/>
      <c r="I5" s="11">
        <f t="shared" ref="I5:I11" si="0">H5/F5</f>
        <v>0</v>
      </c>
    </row>
    <row r="6" spans="1:9" ht="15.6" customHeight="1" x14ac:dyDescent="0.25">
      <c r="A6" s="7">
        <v>2</v>
      </c>
      <c r="B6" s="8" t="s">
        <v>27</v>
      </c>
      <c r="C6" s="8" t="s">
        <v>28</v>
      </c>
      <c r="D6" s="31" t="s">
        <v>17</v>
      </c>
      <c r="E6" s="32"/>
      <c r="F6" s="9">
        <v>9</v>
      </c>
      <c r="G6" s="9"/>
      <c r="H6" s="9"/>
      <c r="I6" s="11">
        <f t="shared" si="0"/>
        <v>0</v>
      </c>
    </row>
    <row r="7" spans="1:9" ht="15.6" customHeight="1" x14ac:dyDescent="0.25">
      <c r="A7" s="7">
        <v>3</v>
      </c>
      <c r="B7" s="8" t="s">
        <v>59</v>
      </c>
      <c r="C7" s="8" t="s">
        <v>60</v>
      </c>
      <c r="D7" s="31" t="s">
        <v>17</v>
      </c>
      <c r="E7" s="32"/>
      <c r="F7" s="12">
        <v>4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61</v>
      </c>
      <c r="C8" s="8" t="s">
        <v>62</v>
      </c>
      <c r="D8" s="31" t="s">
        <v>17</v>
      </c>
      <c r="E8" s="32"/>
      <c r="F8" s="9">
        <v>3</v>
      </c>
      <c r="G8" s="9"/>
      <c r="H8" s="9"/>
      <c r="I8" s="11">
        <f t="shared" si="0"/>
        <v>0</v>
      </c>
    </row>
    <row r="9" spans="1:9" ht="15.6" customHeight="1" x14ac:dyDescent="0.25">
      <c r="A9" s="7">
        <v>5</v>
      </c>
      <c r="B9" s="8" t="s">
        <v>63</v>
      </c>
      <c r="C9" s="8" t="s">
        <v>64</v>
      </c>
      <c r="D9" s="31" t="s">
        <v>17</v>
      </c>
      <c r="E9" s="32"/>
      <c r="F9" s="9">
        <v>3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71</v>
      </c>
      <c r="C10" s="8" t="s">
        <v>72</v>
      </c>
      <c r="D10" s="31" t="s">
        <v>17</v>
      </c>
      <c r="E10" s="32"/>
      <c r="F10" s="9">
        <v>1</v>
      </c>
      <c r="G10" s="10"/>
      <c r="H10" s="10"/>
      <c r="I10" s="11">
        <f t="shared" si="0"/>
        <v>0</v>
      </c>
    </row>
    <row r="11" spans="1:9" ht="16.8" customHeight="1" x14ac:dyDescent="0.25">
      <c r="A11" s="24" t="s">
        <v>76</v>
      </c>
      <c r="B11" s="24"/>
      <c r="C11" s="24"/>
      <c r="D11" s="24" t="s">
        <v>87</v>
      </c>
      <c r="E11" s="24"/>
      <c r="F11" s="13">
        <f>SUM(F5:F10)</f>
        <v>27</v>
      </c>
      <c r="G11" s="14"/>
      <c r="H11" s="13">
        <f>SUM(H5:H10)</f>
        <v>0</v>
      </c>
      <c r="I11" s="15">
        <f t="shared" si="0"/>
        <v>0</v>
      </c>
    </row>
  </sheetData>
  <mergeCells count="14">
    <mergeCell ref="F3:F4"/>
    <mergeCell ref="G3:G4"/>
    <mergeCell ref="H3:I3"/>
    <mergeCell ref="D5:E5"/>
    <mergeCell ref="D6:E6"/>
    <mergeCell ref="A3:A4"/>
    <mergeCell ref="B3:C3"/>
    <mergeCell ref="D3:E4"/>
    <mergeCell ref="D9:E9"/>
    <mergeCell ref="D10:E10"/>
    <mergeCell ref="A11:C11"/>
    <mergeCell ref="D11:E11"/>
    <mergeCell ref="D7:E7"/>
    <mergeCell ref="D8:E8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5029-282D-41B4-BDEB-F99E9BF93893}">
  <dimension ref="A1:I9"/>
  <sheetViews>
    <sheetView tabSelected="1"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24" t="s">
        <v>1</v>
      </c>
      <c r="B3" s="30" t="s">
        <v>2</v>
      </c>
      <c r="C3" s="30"/>
      <c r="D3" s="26" t="s">
        <v>3</v>
      </c>
      <c r="E3" s="27"/>
      <c r="F3" s="30" t="s">
        <v>4</v>
      </c>
      <c r="G3" s="30" t="s">
        <v>5</v>
      </c>
      <c r="H3" s="24" t="s">
        <v>6</v>
      </c>
      <c r="I3" s="24"/>
    </row>
    <row r="4" spans="1:9" s="6" customFormat="1" ht="17.399999999999999" customHeight="1" x14ac:dyDescent="0.3">
      <c r="A4" s="24"/>
      <c r="B4" s="5" t="s">
        <v>7</v>
      </c>
      <c r="C4" s="5" t="s">
        <v>8</v>
      </c>
      <c r="D4" s="28"/>
      <c r="E4" s="29"/>
      <c r="F4" s="30"/>
      <c r="G4" s="30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59</v>
      </c>
      <c r="C5" s="8" t="s">
        <v>60</v>
      </c>
      <c r="D5" s="31" t="s">
        <v>17</v>
      </c>
      <c r="E5" s="32"/>
      <c r="F5" s="12">
        <v>4</v>
      </c>
      <c r="G5" s="10"/>
      <c r="H5" s="10"/>
      <c r="I5" s="11">
        <f t="shared" ref="I5:I9" si="0">H5/F5</f>
        <v>0</v>
      </c>
    </row>
    <row r="6" spans="1:9" ht="15.6" customHeight="1" x14ac:dyDescent="0.25">
      <c r="A6" s="7">
        <v>2</v>
      </c>
      <c r="B6" s="8" t="s">
        <v>61</v>
      </c>
      <c r="C6" s="8" t="s">
        <v>62</v>
      </c>
      <c r="D6" s="31" t="s">
        <v>17</v>
      </c>
      <c r="E6" s="32"/>
      <c r="F6" s="9">
        <v>3</v>
      </c>
      <c r="G6" s="9"/>
      <c r="H6" s="9"/>
      <c r="I6" s="11">
        <f t="shared" si="0"/>
        <v>0</v>
      </c>
    </row>
    <row r="7" spans="1:9" ht="15.6" customHeight="1" x14ac:dyDescent="0.25">
      <c r="A7" s="7">
        <v>3</v>
      </c>
      <c r="B7" s="8" t="s">
        <v>63</v>
      </c>
      <c r="C7" s="8" t="s">
        <v>64</v>
      </c>
      <c r="D7" s="31" t="s">
        <v>17</v>
      </c>
      <c r="E7" s="32"/>
      <c r="F7" s="9">
        <v>3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65</v>
      </c>
      <c r="C8" s="8" t="s">
        <v>66</v>
      </c>
      <c r="D8" s="31" t="s">
        <v>67</v>
      </c>
      <c r="E8" s="32"/>
      <c r="F8" s="9">
        <v>1</v>
      </c>
      <c r="G8" s="10"/>
      <c r="H8" s="10"/>
      <c r="I8" s="11">
        <f t="shared" si="0"/>
        <v>0</v>
      </c>
    </row>
    <row r="9" spans="1:9" ht="16.8" customHeight="1" x14ac:dyDescent="0.25">
      <c r="A9" s="24" t="s">
        <v>76</v>
      </c>
      <c r="B9" s="24"/>
      <c r="C9" s="24"/>
      <c r="D9" s="24" t="s">
        <v>88</v>
      </c>
      <c r="E9" s="24"/>
      <c r="F9" s="13">
        <f>SUM(F5:F8)</f>
        <v>11</v>
      </c>
      <c r="G9" s="14"/>
      <c r="H9" s="13">
        <f>SUM(H5:H8)</f>
        <v>0</v>
      </c>
      <c r="I9" s="15">
        <f t="shared" si="0"/>
        <v>0</v>
      </c>
    </row>
  </sheetData>
  <mergeCells count="12">
    <mergeCell ref="D7:E7"/>
    <mergeCell ref="D8:E8"/>
    <mergeCell ref="A9:C9"/>
    <mergeCell ref="D9:E9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EF8A-15C0-47A0-9D0F-6CB80273F4EC}">
  <dimension ref="A2:I8"/>
  <sheetViews>
    <sheetView zoomScaleNormal="100" workbookViewId="0">
      <selection activeCell="I19" sqref="I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78</v>
      </c>
    </row>
    <row r="4" spans="1:9" s="16" customFormat="1" ht="17.399999999999999" customHeight="1" x14ac:dyDescent="0.25">
      <c r="A4" s="24" t="s">
        <v>1</v>
      </c>
      <c r="B4" s="25" t="s">
        <v>2</v>
      </c>
      <c r="C4" s="25"/>
      <c r="D4" s="26" t="s">
        <v>3</v>
      </c>
      <c r="E4" s="27"/>
      <c r="F4" s="25" t="s">
        <v>79</v>
      </c>
      <c r="G4" s="30" t="s">
        <v>5</v>
      </c>
      <c r="H4" s="24" t="s">
        <v>6</v>
      </c>
      <c r="I4" s="24"/>
    </row>
    <row r="5" spans="1:9" s="16" customFormat="1" ht="17.399999999999999" customHeight="1" x14ac:dyDescent="0.25">
      <c r="A5" s="24"/>
      <c r="B5" s="5" t="s">
        <v>7</v>
      </c>
      <c r="C5" s="5" t="s">
        <v>8</v>
      </c>
      <c r="D5" s="28"/>
      <c r="E5" s="29"/>
      <c r="F5" s="25"/>
      <c r="G5" s="30"/>
      <c r="H5" s="5" t="s">
        <v>9</v>
      </c>
      <c r="I5" s="5" t="s">
        <v>10</v>
      </c>
    </row>
    <row r="6" spans="1:9" ht="16.2" customHeight="1" x14ac:dyDescent="0.25">
      <c r="A6" s="17">
        <v>1</v>
      </c>
      <c r="B6" s="18" t="s">
        <v>80</v>
      </c>
      <c r="C6" s="19" t="s">
        <v>81</v>
      </c>
      <c r="D6" s="22" t="s">
        <v>17</v>
      </c>
      <c r="E6" s="23"/>
      <c r="F6" s="20">
        <v>134</v>
      </c>
      <c r="G6" s="10"/>
      <c r="H6" s="10">
        <v>45</v>
      </c>
      <c r="I6" s="11">
        <f t="shared" ref="I6:I8" si="0">H6/F6</f>
        <v>0.33582089552238809</v>
      </c>
    </row>
    <row r="7" spans="1:9" ht="16.2" customHeight="1" x14ac:dyDescent="0.25">
      <c r="A7" s="17">
        <v>2</v>
      </c>
      <c r="B7" s="18" t="s">
        <v>82</v>
      </c>
      <c r="C7" s="21" t="s">
        <v>83</v>
      </c>
      <c r="D7" s="22" t="s">
        <v>84</v>
      </c>
      <c r="E7" s="23"/>
      <c r="F7" s="20">
        <v>29</v>
      </c>
      <c r="G7" s="10"/>
      <c r="H7" s="10"/>
      <c r="I7" s="11">
        <f t="shared" si="0"/>
        <v>0</v>
      </c>
    </row>
    <row r="8" spans="1:9" ht="16.8" customHeight="1" x14ac:dyDescent="0.25">
      <c r="A8" s="24" t="s">
        <v>76</v>
      </c>
      <c r="B8" s="24"/>
      <c r="C8" s="24"/>
      <c r="D8" s="24" t="s">
        <v>85</v>
      </c>
      <c r="E8" s="24"/>
      <c r="F8" s="13">
        <f>SUM(F6:F7)</f>
        <v>163</v>
      </c>
      <c r="G8" s="14"/>
      <c r="H8" s="13">
        <f>SUM(H6:H7)</f>
        <v>45</v>
      </c>
      <c r="I8" s="15">
        <f t="shared" si="0"/>
        <v>0.27607361963190186</v>
      </c>
    </row>
  </sheetData>
  <mergeCells count="10">
    <mergeCell ref="F4:F5"/>
    <mergeCell ref="G4:G5"/>
    <mergeCell ref="H4:I4"/>
    <mergeCell ref="D6:E6"/>
    <mergeCell ref="D7:E7"/>
    <mergeCell ref="A8:C8"/>
    <mergeCell ref="D8:E8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Inv__Ujitjes_Berat</vt:lpstr>
      <vt:lpstr>Rezervuaret</vt:lpstr>
      <vt:lpstr>Lumenj</vt:lpstr>
      <vt:lpstr>Stacione Pompimi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2026-10-05T09:40:56Z</dcterms:created>
  <dcterms:modified xsi:type="dcterms:W3CDTF">2026-10-05T13:01:04Z</dcterms:modified>
</cp:coreProperties>
</file>