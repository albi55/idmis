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654A4CF4-7E04-4E4D-B504-51FFDC8B6420}" xr6:coauthVersionLast="47" xr6:coauthVersionMax="47" xr10:uidLastSave="{00000000-0000-0000-0000-000000000000}"/>
  <bookViews>
    <workbookView xWindow="-28920" yWindow="-1470" windowWidth="29040" windowHeight="15720" activeTab="3" xr2:uid="{34D80B31-95A6-4A8A-9AE3-891958A2C4B4}"/>
  </bookViews>
  <sheets>
    <sheet name="Inv__Ujitjes_Devoll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4" l="1"/>
  <c r="F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28" i="3"/>
  <c r="F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11" i="2"/>
  <c r="F11" i="2"/>
  <c r="I10" i="2"/>
  <c r="I9" i="2"/>
  <c r="I8" i="2"/>
  <c r="I7" i="2"/>
  <c r="I6" i="2"/>
  <c r="I5" i="2"/>
  <c r="I60" i="1"/>
  <c r="H60" i="1"/>
  <c r="F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9" i="4" l="1"/>
  <c r="I28" i="3"/>
  <c r="I11" i="2"/>
</calcChain>
</file>

<file path=xl/sharedStrings.xml><?xml version="1.0" encoding="utf-8"?>
<sst xmlns="http://schemas.openxmlformats.org/spreadsheetml/2006/main" count="416" uniqueCount="135">
  <si>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</si>
  <si>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</si>
  <si>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</si>
  <si>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</si>
  <si>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</si>
  <si>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</si>
  <si>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</si>
  <si>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</si>
  <si>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</si>
  <si>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</si>
  <si>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</si>
  <si>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DVU - 4</t>
  </si>
  <si>
    <t>Devoll Poshtem</t>
  </si>
  <si>
    <t>Koshnice, Dembrave</t>
  </si>
  <si>
    <t>DVU - 3</t>
  </si>
  <si>
    <t>Ujitja me reservuar</t>
  </si>
  <si>
    <t>Selce, Trestenik, Llabanice, Devoll</t>
  </si>
  <si>
    <t>DVU - 15</t>
  </si>
  <si>
    <t>Baban 1,2</t>
  </si>
  <si>
    <t>Reservuar</t>
  </si>
  <si>
    <t>DVU - 2</t>
  </si>
  <si>
    <t>Fusha e Poshtme Devoll</t>
  </si>
  <si>
    <t>Verlen, Grace, Poloske</t>
  </si>
  <si>
    <t>DVU - 31</t>
  </si>
  <si>
    <t>Jazi Bracanj   (l.Devoll)</t>
  </si>
  <si>
    <t>DVU - 35</t>
  </si>
  <si>
    <t>Jazi Bitincke (perroi)</t>
  </si>
  <si>
    <t>DVU - 34</t>
  </si>
  <si>
    <t>Jazi Bilisht  (l.Devoll)</t>
  </si>
  <si>
    <t>DVU - 36</t>
  </si>
  <si>
    <t>Jazi Menkulas (l.Devoll)</t>
  </si>
  <si>
    <t>DVU - 32</t>
  </si>
  <si>
    <t>Jazi Dobranj   (l.Devoll)</t>
  </si>
  <si>
    <t>DVU - 33</t>
  </si>
  <si>
    <t>Jazi  Kuc   (l.Devoll)</t>
  </si>
  <si>
    <t>DVU - 39</t>
  </si>
  <si>
    <t>Jazi Menkulas (mulliri)</t>
  </si>
  <si>
    <t>DVU - 26</t>
  </si>
  <si>
    <t>Vishocice</t>
  </si>
  <si>
    <t>Lum Devoll</t>
  </si>
  <si>
    <t>DVU - 20</t>
  </si>
  <si>
    <t>Miras - Menkulas kanal</t>
  </si>
  <si>
    <t>DVU - 28</t>
  </si>
  <si>
    <t>Jazi Miras (l.Devoll)</t>
  </si>
  <si>
    <t>DVU - 27</t>
  </si>
  <si>
    <t xml:space="preserve">Arze </t>
  </si>
  <si>
    <t>DVU - 25</t>
  </si>
  <si>
    <t xml:space="preserve">Cete </t>
  </si>
  <si>
    <t>DVU - 29</t>
  </si>
  <si>
    <t>Jazi Mancurisht  (l.Devoll)</t>
  </si>
  <si>
    <t>DVU - 30</t>
  </si>
  <si>
    <t>Jazi Poncare  (l.Devoll)</t>
  </si>
  <si>
    <t>DVU - 22</t>
  </si>
  <si>
    <t>Poncare kanal</t>
  </si>
  <si>
    <t>DVU - 23</t>
  </si>
  <si>
    <t>Menkulas by H/P/S kanal</t>
  </si>
  <si>
    <t>DVU - 21</t>
  </si>
  <si>
    <t>Bracanj kanal</t>
  </si>
  <si>
    <t>DVU - 24</t>
  </si>
  <si>
    <t>Bracanj kanal ( mulliri )</t>
  </si>
  <si>
    <t>DVU - 18</t>
  </si>
  <si>
    <t>Vidohove Reservoir</t>
  </si>
  <si>
    <t>DVU - 19</t>
  </si>
  <si>
    <t>Cipan Reservoir</t>
  </si>
  <si>
    <t>DVU - 16</t>
  </si>
  <si>
    <t>Bitincke Reservoir</t>
  </si>
  <si>
    <t>DVU - 38</t>
  </si>
  <si>
    <t>Jazi Cete (l.Devoll)</t>
  </si>
  <si>
    <t>DVU - 17</t>
  </si>
  <si>
    <t>Kompesim - Dembrave ReLume</t>
  </si>
  <si>
    <t>DVU - 1</t>
  </si>
  <si>
    <t>Ujitja me Prespen e Vogel</t>
  </si>
  <si>
    <t>Liqeni Prespa Vogel</t>
  </si>
  <si>
    <t>DVU - 5</t>
  </si>
  <si>
    <t>Kurile stacion pompimi</t>
  </si>
  <si>
    <t>DVU - 6</t>
  </si>
  <si>
    <t>Poncare stacion pompimi 1 &amp; 2</t>
  </si>
  <si>
    <t>DVU - 7</t>
  </si>
  <si>
    <t>Dobranj stacion pompimi</t>
  </si>
  <si>
    <t>DVU - 8</t>
  </si>
  <si>
    <t>Miras stacion pompimi 1 &amp; 2</t>
  </si>
  <si>
    <t>DVU - 9</t>
  </si>
  <si>
    <t>Arze stacion pompimi</t>
  </si>
  <si>
    <t>DVU - 10</t>
  </si>
  <si>
    <t>Vidohove stacion pompimi</t>
  </si>
  <si>
    <t>DVU - 11</t>
  </si>
  <si>
    <t>Ceta stacion pompimi</t>
  </si>
  <si>
    <t>DVU - 12</t>
  </si>
  <si>
    <t>Proger stacion pompimi</t>
  </si>
  <si>
    <t>DVU - 13</t>
  </si>
  <si>
    <t>Mancurisht stacion pompimi</t>
  </si>
  <si>
    <t>DVU - 14</t>
  </si>
  <si>
    <t>Menkulas stacion pompimi</t>
  </si>
  <si>
    <t>DVU - 37</t>
  </si>
  <si>
    <t>Jazi Proger (Ventroku)</t>
  </si>
  <si>
    <t>Tren st.pomp</t>
  </si>
  <si>
    <t>Ventrok</t>
  </si>
  <si>
    <t>Tren st.</t>
  </si>
  <si>
    <t>DVU - 40</t>
  </si>
  <si>
    <t>Pavliq st.pomp</t>
  </si>
  <si>
    <t>DVU - 41</t>
  </si>
  <si>
    <t>Hidrovor Gryka e Ujkut</t>
  </si>
  <si>
    <t>DVU - 42</t>
  </si>
  <si>
    <t>Zagradec st.pom.</t>
  </si>
  <si>
    <t>DVU - 43</t>
  </si>
  <si>
    <t>Vishocice st.pomp</t>
  </si>
  <si>
    <t>DVU - 44</t>
  </si>
  <si>
    <t>Kapshtice (mbushje rez.Trestenik)</t>
  </si>
  <si>
    <t>DVU - 45</t>
  </si>
  <si>
    <t>Grace st.pomp</t>
  </si>
  <si>
    <t>rez. Grace</t>
  </si>
  <si>
    <t>DVU - 46</t>
  </si>
  <si>
    <t>Ecmenik st.pomp.</t>
  </si>
  <si>
    <t>DVU - 47</t>
  </si>
  <si>
    <t>Verlen st.pomp</t>
  </si>
  <si>
    <t>perroi Verlen</t>
  </si>
  <si>
    <t>DVU - 48</t>
  </si>
  <si>
    <t>Cangonj st.pomp</t>
  </si>
  <si>
    <t>DVU - 49</t>
  </si>
  <si>
    <t>Vranisht 1+2 st.pomp</t>
  </si>
  <si>
    <t>DVU - 50</t>
  </si>
  <si>
    <t>Shyec st.pomp</t>
  </si>
  <si>
    <t>DVU - 51</t>
  </si>
  <si>
    <t>Koshnice nr.1 st.pomp</t>
  </si>
  <si>
    <t>rez. Koshnica 1</t>
  </si>
  <si>
    <t>DVU - 52</t>
  </si>
  <si>
    <t>Koshnice nr.2 st.pomp</t>
  </si>
  <si>
    <t>per rez.</t>
  </si>
  <si>
    <t>DVU -kop.</t>
  </si>
  <si>
    <t xml:space="preserve">Skema individuale kooperative </t>
  </si>
  <si>
    <t>Total</t>
  </si>
  <si>
    <t>55 Skema</t>
  </si>
  <si>
    <t>6 Skema</t>
  </si>
  <si>
    <t>23 Skema</t>
  </si>
  <si>
    <t>24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</si>
</sst>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E8261DE-166F-4C37-99A2-E4F14B2A2929}"/>
    <cellStyle name="Percent 2" xfId="2" xr:uid="{B59D9437-18CE-437A-A664-8F3282551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E726-73B9-4760-9B8C-DC198F8C576B}">
  <sheetPr codeName="Sheet28"/>
  <dimension ref="A1:I60"/>
  <sheetViews>
    <sheetView zoomScaleNormal="100" workbookViewId="0">
      <selection activeCell="D65" sqref="D6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25.5</v>
      </c>
      <c r="G5" s="18"/>
      <c r="H5" s="18"/>
      <c r="I5" s="19">
        <f t="shared" ref="I5:I5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50.9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7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22</v>
      </c>
      <c r="E8" s="16" t="s">
        <v>22</v>
      </c>
      <c r="F8" s="17">
        <v>79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23</v>
      </c>
      <c r="C9" s="14" t="s">
        <v>24</v>
      </c>
      <c r="D9" s="15"/>
      <c r="E9" s="16"/>
      <c r="F9" s="17">
        <v>2.5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/>
      <c r="E10" s="16"/>
      <c r="F10" s="17">
        <v>2.5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27</v>
      </c>
      <c r="C11" s="14" t="s">
        <v>28</v>
      </c>
      <c r="D11" s="15"/>
      <c r="E11" s="16"/>
      <c r="F11" s="17">
        <v>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/>
      <c r="E12" s="16"/>
      <c r="F12" s="17">
        <v>9.6999999999999993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31</v>
      </c>
      <c r="C13" s="14" t="s">
        <v>32</v>
      </c>
      <c r="D13" s="15"/>
      <c r="E13" s="16"/>
      <c r="F13" s="17">
        <v>3.7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33</v>
      </c>
      <c r="C14" s="14" t="s">
        <v>34</v>
      </c>
      <c r="D14" s="15"/>
      <c r="E14" s="16"/>
      <c r="F14" s="17">
        <v>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36</v>
      </c>
      <c r="D15" s="15"/>
      <c r="E15" s="16"/>
      <c r="F15" s="17">
        <v>5.2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39</v>
      </c>
      <c r="E16" s="16" t="s">
        <v>39</v>
      </c>
      <c r="F16" s="17">
        <v>11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40</v>
      </c>
      <c r="C17" s="14" t="s">
        <v>41</v>
      </c>
      <c r="D17" s="15" t="s">
        <v>39</v>
      </c>
      <c r="E17" s="16" t="s">
        <v>39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42</v>
      </c>
      <c r="C18" s="14" t="s">
        <v>43</v>
      </c>
      <c r="D18" s="15"/>
      <c r="E18" s="16"/>
      <c r="F18" s="17">
        <v>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44</v>
      </c>
      <c r="C19" s="14" t="s">
        <v>45</v>
      </c>
      <c r="D19" s="15" t="s">
        <v>39</v>
      </c>
      <c r="E19" s="16" t="s">
        <v>39</v>
      </c>
      <c r="F19" s="17">
        <v>0</v>
      </c>
      <c r="G19" s="17"/>
      <c r="H19" s="17"/>
      <c r="I19" s="19" t="e">
        <f t="shared" si="0"/>
        <v>#DIV/0!</v>
      </c>
    </row>
    <row r="20" spans="1:9" ht="15.6" customHeight="1" x14ac:dyDescent="0.25">
      <c r="A20" s="13">
        <v>16</v>
      </c>
      <c r="B20" s="14" t="s">
        <v>46</v>
      </c>
      <c r="C20" s="14" t="s">
        <v>47</v>
      </c>
      <c r="D20" s="15" t="s">
        <v>39</v>
      </c>
      <c r="E20" s="16" t="s">
        <v>39</v>
      </c>
      <c r="F20" s="17">
        <v>2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48</v>
      </c>
      <c r="C21" s="14" t="s">
        <v>49</v>
      </c>
      <c r="D21" s="15"/>
      <c r="E21" s="16"/>
      <c r="F21" s="20">
        <v>3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50</v>
      </c>
      <c r="C22" s="14" t="s">
        <v>51</v>
      </c>
      <c r="D22" s="15"/>
      <c r="E22" s="16"/>
      <c r="F22" s="17">
        <v>5.7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52</v>
      </c>
      <c r="C23" s="14" t="s">
        <v>53</v>
      </c>
      <c r="D23" s="15" t="s">
        <v>39</v>
      </c>
      <c r="E23" s="16" t="s">
        <v>39</v>
      </c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54</v>
      </c>
      <c r="C24" s="14" t="s">
        <v>55</v>
      </c>
      <c r="D24" s="15" t="s">
        <v>39</v>
      </c>
      <c r="E24" s="16" t="s">
        <v>39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56</v>
      </c>
      <c r="C25" s="14" t="s">
        <v>57</v>
      </c>
      <c r="D25" s="15" t="s">
        <v>39</v>
      </c>
      <c r="E25" s="16" t="s">
        <v>39</v>
      </c>
      <c r="F25" s="17">
        <v>0</v>
      </c>
      <c r="G25" s="17"/>
      <c r="H25" s="17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58</v>
      </c>
      <c r="C26" s="14" t="s">
        <v>59</v>
      </c>
      <c r="D26" s="15" t="s">
        <v>39</v>
      </c>
      <c r="E26" s="16" t="s">
        <v>39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60</v>
      </c>
      <c r="C27" s="14" t="s">
        <v>61</v>
      </c>
      <c r="D27" s="15" t="s">
        <v>19</v>
      </c>
      <c r="E27" s="16" t="s">
        <v>19</v>
      </c>
      <c r="F27" s="17">
        <v>6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62</v>
      </c>
      <c r="C28" s="14" t="s">
        <v>63</v>
      </c>
      <c r="D28" s="15" t="s">
        <v>19</v>
      </c>
      <c r="E28" s="16" t="s">
        <v>19</v>
      </c>
      <c r="F28" s="17">
        <v>4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64</v>
      </c>
      <c r="C29" s="14" t="s">
        <v>65</v>
      </c>
      <c r="D29" s="15" t="s">
        <v>39</v>
      </c>
      <c r="E29" s="16" t="s">
        <v>39</v>
      </c>
      <c r="F29" s="17">
        <v>1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66</v>
      </c>
      <c r="C30" s="14" t="s">
        <v>67</v>
      </c>
      <c r="D30" s="15"/>
      <c r="E30" s="16"/>
      <c r="F30" s="17">
        <v>2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68</v>
      </c>
      <c r="C31" s="14" t="s">
        <v>69</v>
      </c>
      <c r="D31" s="15" t="s">
        <v>19</v>
      </c>
      <c r="E31" s="16" t="s">
        <v>19</v>
      </c>
      <c r="F31" s="17">
        <v>1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70</v>
      </c>
      <c r="C32" s="14" t="s">
        <v>71</v>
      </c>
      <c r="D32" s="15" t="s">
        <v>72</v>
      </c>
      <c r="E32" s="16" t="s">
        <v>72</v>
      </c>
      <c r="F32" s="17">
        <v>140.5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73</v>
      </c>
      <c r="C33" s="14" t="s">
        <v>74</v>
      </c>
      <c r="D33" s="15" t="s">
        <v>39</v>
      </c>
      <c r="E33" s="16" t="s">
        <v>39</v>
      </c>
      <c r="F33" s="17">
        <v>1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75</v>
      </c>
      <c r="C34" s="14" t="s">
        <v>76</v>
      </c>
      <c r="D34" s="15" t="s">
        <v>39</v>
      </c>
      <c r="E34" s="16" t="s">
        <v>39</v>
      </c>
      <c r="F34" s="17">
        <v>4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77</v>
      </c>
      <c r="C35" s="14" t="s">
        <v>78</v>
      </c>
      <c r="D35" s="15" t="s">
        <v>39</v>
      </c>
      <c r="E35" s="16" t="s">
        <v>39</v>
      </c>
      <c r="F35" s="17">
        <v>3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79</v>
      </c>
      <c r="C36" s="14" t="s">
        <v>80</v>
      </c>
      <c r="D36" s="15" t="s">
        <v>39</v>
      </c>
      <c r="E36" s="16" t="s">
        <v>39</v>
      </c>
      <c r="F36" s="17">
        <v>2.5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81</v>
      </c>
      <c r="C37" s="14" t="s">
        <v>82</v>
      </c>
      <c r="D37" s="15" t="s">
        <v>39</v>
      </c>
      <c r="E37" s="16" t="s">
        <v>39</v>
      </c>
      <c r="F37" s="17">
        <v>0.5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83</v>
      </c>
      <c r="C38" s="14" t="s">
        <v>84</v>
      </c>
      <c r="D38" s="15" t="s">
        <v>39</v>
      </c>
      <c r="E38" s="16" t="s">
        <v>39</v>
      </c>
      <c r="F38" s="17">
        <v>1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85</v>
      </c>
      <c r="C39" s="14" t="s">
        <v>86</v>
      </c>
      <c r="D39" s="15" t="s">
        <v>39</v>
      </c>
      <c r="E39" s="16" t="s">
        <v>39</v>
      </c>
      <c r="F39" s="17">
        <v>1.5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87</v>
      </c>
      <c r="C40" s="14" t="s">
        <v>88</v>
      </c>
      <c r="D40" s="15" t="s">
        <v>39</v>
      </c>
      <c r="E40" s="16" t="s">
        <v>39</v>
      </c>
      <c r="F40" s="17">
        <v>0.5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89</v>
      </c>
      <c r="C41" s="14" t="s">
        <v>90</v>
      </c>
      <c r="D41" s="15" t="s">
        <v>39</v>
      </c>
      <c r="E41" s="16" t="s">
        <v>39</v>
      </c>
      <c r="F41" s="17">
        <v>1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91</v>
      </c>
      <c r="C42" s="14" t="s">
        <v>92</v>
      </c>
      <c r="D42" s="15" t="s">
        <v>39</v>
      </c>
      <c r="E42" s="16" t="s">
        <v>39</v>
      </c>
      <c r="F42" s="17">
        <v>2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93</v>
      </c>
      <c r="C43" s="14" t="s">
        <v>94</v>
      </c>
      <c r="D43" s="15"/>
      <c r="E43" s="16"/>
      <c r="F43" s="17">
        <v>4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66</v>
      </c>
      <c r="C44" s="14" t="s">
        <v>95</v>
      </c>
      <c r="D44" s="15" t="s">
        <v>96</v>
      </c>
      <c r="E44" s="16" t="s">
        <v>96</v>
      </c>
      <c r="F44" s="17">
        <v>0</v>
      </c>
      <c r="G44" s="18"/>
      <c r="H44" s="18"/>
      <c r="I44" s="19" t="e">
        <f t="shared" si="0"/>
        <v>#DIV/0!</v>
      </c>
    </row>
    <row r="45" spans="1:9" ht="15.6" customHeight="1" x14ac:dyDescent="0.25">
      <c r="A45" s="13">
        <v>41</v>
      </c>
      <c r="B45" s="14" t="s">
        <v>35</v>
      </c>
      <c r="C45" s="14" t="s">
        <v>97</v>
      </c>
      <c r="D45" s="15"/>
      <c r="E45" s="16"/>
      <c r="F45" s="17">
        <v>0</v>
      </c>
      <c r="G45" s="18"/>
      <c r="H45" s="18"/>
      <c r="I45" s="19" t="e">
        <f t="shared" si="0"/>
        <v>#DIV/0!</v>
      </c>
    </row>
    <row r="46" spans="1:9" ht="15.6" customHeight="1" x14ac:dyDescent="0.25">
      <c r="A46" s="13">
        <v>42</v>
      </c>
      <c r="B46" s="14" t="s">
        <v>98</v>
      </c>
      <c r="C46" s="14" t="s">
        <v>99</v>
      </c>
      <c r="D46" s="15"/>
      <c r="E46" s="16"/>
      <c r="F46" s="17">
        <v>0</v>
      </c>
      <c r="G46" s="18"/>
      <c r="H46" s="18"/>
      <c r="I46" s="19" t="e">
        <f t="shared" si="0"/>
        <v>#DIV/0!</v>
      </c>
    </row>
    <row r="47" spans="1:9" ht="15.6" customHeight="1" x14ac:dyDescent="0.25">
      <c r="A47" s="13">
        <v>43</v>
      </c>
      <c r="B47" s="14" t="s">
        <v>100</v>
      </c>
      <c r="C47" s="14" t="s">
        <v>101</v>
      </c>
      <c r="D47" s="15"/>
      <c r="E47" s="16"/>
      <c r="F47" s="17">
        <v>0</v>
      </c>
      <c r="G47" s="18"/>
      <c r="H47" s="18"/>
      <c r="I47" s="19" t="e">
        <f t="shared" si="0"/>
        <v>#DIV/0!</v>
      </c>
    </row>
    <row r="48" spans="1:9" ht="15.6" customHeight="1" x14ac:dyDescent="0.25">
      <c r="A48" s="13">
        <v>44</v>
      </c>
      <c r="B48" s="14" t="s">
        <v>102</v>
      </c>
      <c r="C48" s="14" t="s">
        <v>103</v>
      </c>
      <c r="D48" s="15" t="s">
        <v>72</v>
      </c>
      <c r="E48" s="16" t="s">
        <v>72</v>
      </c>
      <c r="F48" s="17">
        <v>3.6</v>
      </c>
      <c r="G48" s="18"/>
      <c r="H48" s="18"/>
      <c r="I48" s="19">
        <f t="shared" si="0"/>
        <v>0</v>
      </c>
    </row>
    <row r="49" spans="1:9" ht="15.6" customHeight="1" x14ac:dyDescent="0.25">
      <c r="A49" s="13">
        <v>45</v>
      </c>
      <c r="B49" s="14" t="s">
        <v>104</v>
      </c>
      <c r="C49" s="14" t="s">
        <v>105</v>
      </c>
      <c r="D49" s="15"/>
      <c r="E49" s="16"/>
      <c r="F49" s="17">
        <v>4.5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106</v>
      </c>
      <c r="C50" s="14" t="s">
        <v>107</v>
      </c>
      <c r="D50" s="15"/>
      <c r="E50" s="16"/>
      <c r="F50" s="17">
        <v>0</v>
      </c>
      <c r="G50" s="18"/>
      <c r="H50" s="18"/>
      <c r="I50" s="19" t="e">
        <f t="shared" si="0"/>
        <v>#DIV/0!</v>
      </c>
    </row>
    <row r="51" spans="1:9" ht="15.6" customHeight="1" x14ac:dyDescent="0.25">
      <c r="A51" s="13">
        <v>47</v>
      </c>
      <c r="B51" s="14" t="s">
        <v>108</v>
      </c>
      <c r="C51" s="14" t="s">
        <v>109</v>
      </c>
      <c r="D51" s="15" t="s">
        <v>110</v>
      </c>
      <c r="E51" s="16" t="s">
        <v>110</v>
      </c>
      <c r="F51" s="17">
        <v>0</v>
      </c>
      <c r="G51" s="18"/>
      <c r="H51" s="18"/>
      <c r="I51" s="19" t="e">
        <f t="shared" si="0"/>
        <v>#DIV/0!</v>
      </c>
    </row>
    <row r="52" spans="1:9" ht="15.6" customHeight="1" x14ac:dyDescent="0.25">
      <c r="A52" s="13">
        <v>48</v>
      </c>
      <c r="B52" s="14" t="s">
        <v>111</v>
      </c>
      <c r="C52" s="14" t="s">
        <v>112</v>
      </c>
      <c r="D52" s="15" t="s">
        <v>96</v>
      </c>
      <c r="E52" s="16" t="s">
        <v>96</v>
      </c>
      <c r="F52" s="17">
        <v>20.5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113</v>
      </c>
      <c r="C53" s="14" t="s">
        <v>114</v>
      </c>
      <c r="D53" s="15" t="s">
        <v>115</v>
      </c>
      <c r="E53" s="16" t="s">
        <v>115</v>
      </c>
      <c r="F53" s="17">
        <v>0</v>
      </c>
      <c r="G53" s="18"/>
      <c r="H53" s="18"/>
      <c r="I53" s="19" t="e">
        <f t="shared" si="0"/>
        <v>#DIV/0!</v>
      </c>
    </row>
    <row r="54" spans="1:9" ht="15.6" customHeight="1" x14ac:dyDescent="0.25">
      <c r="A54" s="13">
        <v>50</v>
      </c>
      <c r="B54" s="14" t="s">
        <v>116</v>
      </c>
      <c r="C54" s="14" t="s">
        <v>117</v>
      </c>
      <c r="D54" s="15"/>
      <c r="E54" s="16"/>
      <c r="F54" s="17">
        <v>0</v>
      </c>
      <c r="G54" s="18"/>
      <c r="H54" s="18"/>
      <c r="I54" s="19" t="e">
        <f t="shared" si="0"/>
        <v>#DIV/0!</v>
      </c>
    </row>
    <row r="55" spans="1:9" ht="15.6" customHeight="1" x14ac:dyDescent="0.25">
      <c r="A55" s="13">
        <v>51</v>
      </c>
      <c r="B55" s="14" t="s">
        <v>118</v>
      </c>
      <c r="C55" s="14" t="s">
        <v>119</v>
      </c>
      <c r="D55" s="15" t="s">
        <v>96</v>
      </c>
      <c r="E55" s="16" t="s">
        <v>96</v>
      </c>
      <c r="F55" s="17">
        <v>0</v>
      </c>
      <c r="G55" s="18"/>
      <c r="H55" s="18"/>
      <c r="I55" s="19" t="e">
        <f t="shared" si="0"/>
        <v>#DIV/0!</v>
      </c>
    </row>
    <row r="56" spans="1:9" ht="15.6" customHeight="1" x14ac:dyDescent="0.25">
      <c r="A56" s="13">
        <v>52</v>
      </c>
      <c r="B56" s="14" t="s">
        <v>120</v>
      </c>
      <c r="C56" s="14" t="s">
        <v>121</v>
      </c>
      <c r="D56" s="15" t="s">
        <v>72</v>
      </c>
      <c r="E56" s="16" t="s">
        <v>72</v>
      </c>
      <c r="F56" s="17">
        <v>0</v>
      </c>
      <c r="G56" s="18"/>
      <c r="H56" s="18"/>
      <c r="I56" s="19" t="e">
        <f t="shared" si="0"/>
        <v>#DIV/0!</v>
      </c>
    </row>
    <row r="57" spans="1:9" ht="15.6" customHeight="1" x14ac:dyDescent="0.25">
      <c r="A57" s="13">
        <v>53</v>
      </c>
      <c r="B57" s="14" t="s">
        <v>122</v>
      </c>
      <c r="C57" s="14" t="s">
        <v>123</v>
      </c>
      <c r="D57" s="15" t="s">
        <v>124</v>
      </c>
      <c r="E57" s="16" t="s">
        <v>124</v>
      </c>
      <c r="F57" s="17">
        <v>0</v>
      </c>
      <c r="G57" s="18"/>
      <c r="H57" s="18"/>
      <c r="I57" s="19" t="e">
        <f t="shared" si="0"/>
        <v>#DIV/0!</v>
      </c>
    </row>
    <row r="58" spans="1:9" ht="15.6" customHeight="1" x14ac:dyDescent="0.25">
      <c r="A58" s="13">
        <v>54</v>
      </c>
      <c r="B58" s="14" t="s">
        <v>125</v>
      </c>
      <c r="C58" s="14" t="s">
        <v>126</v>
      </c>
      <c r="D58" s="15" t="s">
        <v>127</v>
      </c>
      <c r="E58" s="16" t="s">
        <v>127</v>
      </c>
      <c r="F58" s="17">
        <v>5.4</v>
      </c>
      <c r="G58" s="18"/>
      <c r="H58" s="18"/>
      <c r="I58" s="19">
        <f t="shared" si="0"/>
        <v>0</v>
      </c>
    </row>
    <row r="59" spans="1:9" ht="15.6" customHeight="1" x14ac:dyDescent="0.25">
      <c r="A59" s="13">
        <v>55</v>
      </c>
      <c r="B59" s="14" t="s">
        <v>128</v>
      </c>
      <c r="C59" s="14" t="s">
        <v>129</v>
      </c>
      <c r="D59" s="15" t="s">
        <v>39</v>
      </c>
      <c r="E59" s="16" t="s">
        <v>39</v>
      </c>
      <c r="F59" s="17">
        <v>0</v>
      </c>
      <c r="G59" s="18"/>
      <c r="H59" s="18"/>
      <c r="I59" s="19" t="e">
        <f>H59/F59</f>
        <v>#DIV/0!</v>
      </c>
    </row>
    <row r="60" spans="1:9" ht="16.8" customHeight="1" x14ac:dyDescent="0.25">
      <c r="A60" s="5" t="s">
        <v>130</v>
      </c>
      <c r="B60" s="5"/>
      <c r="C60" s="5"/>
      <c r="D60" s="21" t="s">
        <v>131</v>
      </c>
      <c r="E60" s="22"/>
      <c r="F60" s="23">
        <f>SUM(F5:F59)</f>
        <v>426.19999999999993</v>
      </c>
      <c r="G60" s="24"/>
      <c r="H60" s="23">
        <f>SUM(H5:H59)</f>
        <v>0</v>
      </c>
      <c r="I60" s="25">
        <f>H60/F60</f>
        <v>0</v>
      </c>
    </row>
  </sheetData>
  <mergeCells count="63">
    <mergeCell ref="D59:E59"/>
    <mergeCell ref="A60:C60"/>
    <mergeCell ref="D60:E60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BABD-A660-4CB4-B208-6AEF108E50B9}">
  <sheetPr codeName="Sheet29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50.9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7">
        <v>7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60</v>
      </c>
      <c r="C7" s="14" t="s">
        <v>61</v>
      </c>
      <c r="D7" s="15" t="s">
        <v>19</v>
      </c>
      <c r="E7" s="16" t="s">
        <v>19</v>
      </c>
      <c r="F7" s="17">
        <v>6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62</v>
      </c>
      <c r="C8" s="14" t="s">
        <v>63</v>
      </c>
      <c r="D8" s="15" t="s">
        <v>19</v>
      </c>
      <c r="E8" s="16" t="s">
        <v>19</v>
      </c>
      <c r="F8" s="17">
        <v>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64</v>
      </c>
      <c r="C9" s="14" t="s">
        <v>65</v>
      </c>
      <c r="D9" s="15" t="s">
        <v>39</v>
      </c>
      <c r="E9" s="16" t="s">
        <v>39</v>
      </c>
      <c r="F9" s="17">
        <v>1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68</v>
      </c>
      <c r="C10" s="14" t="s">
        <v>69</v>
      </c>
      <c r="D10" s="15" t="s">
        <v>19</v>
      </c>
      <c r="E10" s="16" t="s">
        <v>19</v>
      </c>
      <c r="F10" s="17">
        <v>1</v>
      </c>
      <c r="G10" s="18"/>
      <c r="H10" s="18"/>
      <c r="I10" s="19">
        <f t="shared" si="0"/>
        <v>0</v>
      </c>
    </row>
    <row r="11" spans="1:9" ht="16.8" customHeight="1" x14ac:dyDescent="0.25">
      <c r="A11" s="5" t="s">
        <v>130</v>
      </c>
      <c r="B11" s="5"/>
      <c r="C11" s="5"/>
      <c r="D11" s="21" t="s">
        <v>132</v>
      </c>
      <c r="E11" s="22"/>
      <c r="F11" s="23">
        <f>SUM(F5:F10)</f>
        <v>69.900000000000006</v>
      </c>
      <c r="G11" s="24"/>
      <c r="H11" s="23">
        <f>SUM(H5:H10)</f>
        <v>0</v>
      </c>
      <c r="I11" s="25">
        <f>H11/F11</f>
        <v>0</v>
      </c>
    </row>
  </sheetData>
  <mergeCells count="14">
    <mergeCell ref="A11:C11"/>
    <mergeCell ref="D11:E11"/>
    <mergeCell ref="D9:E9"/>
    <mergeCell ref="D10:E10"/>
    <mergeCell ref="D7:E7"/>
    <mergeCell ref="D8:E8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EC73-D1EC-4E88-9FCC-10BC6EBD108B}">
  <sheetPr codeName="Sheet30"/>
  <dimension ref="A1:I28"/>
  <sheetViews>
    <sheetView zoomScaleNormal="100" workbookViewId="0">
      <selection activeCell="D29" sqref="D2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73</v>
      </c>
      <c r="C5" s="14" t="s">
        <v>74</v>
      </c>
      <c r="D5" s="15" t="s">
        <v>39</v>
      </c>
      <c r="E5" s="16" t="s">
        <v>39</v>
      </c>
      <c r="F5" s="17">
        <v>1</v>
      </c>
      <c r="G5" s="18"/>
      <c r="H5" s="18"/>
      <c r="I5" s="19">
        <f t="shared" ref="I5:I27" si="0">H5/F5</f>
        <v>0</v>
      </c>
    </row>
    <row r="6" spans="1:9" ht="15.6" customHeight="1" x14ac:dyDescent="0.25">
      <c r="A6" s="13">
        <v>2</v>
      </c>
      <c r="B6" s="14" t="s">
        <v>75</v>
      </c>
      <c r="C6" s="14" t="s">
        <v>76</v>
      </c>
      <c r="D6" s="15" t="s">
        <v>39</v>
      </c>
      <c r="E6" s="16" t="s">
        <v>39</v>
      </c>
      <c r="F6" s="17">
        <v>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77</v>
      </c>
      <c r="C7" s="14" t="s">
        <v>78</v>
      </c>
      <c r="D7" s="15" t="s">
        <v>39</v>
      </c>
      <c r="E7" s="16" t="s">
        <v>39</v>
      </c>
      <c r="F7" s="17">
        <v>3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79</v>
      </c>
      <c r="C8" s="14" t="s">
        <v>80</v>
      </c>
      <c r="D8" s="15" t="s">
        <v>39</v>
      </c>
      <c r="E8" s="16" t="s">
        <v>39</v>
      </c>
      <c r="F8" s="17">
        <v>2.5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81</v>
      </c>
      <c r="C9" s="14" t="s">
        <v>82</v>
      </c>
      <c r="D9" s="15" t="s">
        <v>39</v>
      </c>
      <c r="E9" s="16" t="s">
        <v>39</v>
      </c>
      <c r="F9" s="17">
        <v>0.5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83</v>
      </c>
      <c r="C10" s="14" t="s">
        <v>84</v>
      </c>
      <c r="D10" s="15" t="s">
        <v>39</v>
      </c>
      <c r="E10" s="16" t="s">
        <v>39</v>
      </c>
      <c r="F10" s="17">
        <v>1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85</v>
      </c>
      <c r="C11" s="14" t="s">
        <v>86</v>
      </c>
      <c r="D11" s="15" t="s">
        <v>39</v>
      </c>
      <c r="E11" s="16" t="s">
        <v>39</v>
      </c>
      <c r="F11" s="17">
        <v>1.5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87</v>
      </c>
      <c r="C12" s="14" t="s">
        <v>88</v>
      </c>
      <c r="D12" s="15" t="s">
        <v>39</v>
      </c>
      <c r="E12" s="16" t="s">
        <v>39</v>
      </c>
      <c r="F12" s="17">
        <v>0.5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89</v>
      </c>
      <c r="C13" s="14" t="s">
        <v>90</v>
      </c>
      <c r="D13" s="15" t="s">
        <v>39</v>
      </c>
      <c r="E13" s="16" t="s">
        <v>39</v>
      </c>
      <c r="F13" s="17">
        <v>1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91</v>
      </c>
      <c r="C14" s="14" t="s">
        <v>92</v>
      </c>
      <c r="D14" s="15" t="s">
        <v>39</v>
      </c>
      <c r="E14" s="16" t="s">
        <v>39</v>
      </c>
      <c r="F14" s="17">
        <v>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66</v>
      </c>
      <c r="C15" s="14" t="s">
        <v>95</v>
      </c>
      <c r="D15" s="15" t="s">
        <v>96</v>
      </c>
      <c r="E15" s="16" t="s">
        <v>96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35</v>
      </c>
      <c r="C16" s="14" t="s">
        <v>97</v>
      </c>
      <c r="D16" s="15"/>
      <c r="E16" s="16"/>
      <c r="F16" s="17">
        <v>0</v>
      </c>
      <c r="G16" s="18"/>
      <c r="H16" s="18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98</v>
      </c>
      <c r="C17" s="14" t="s">
        <v>99</v>
      </c>
      <c r="D17" s="15"/>
      <c r="E17" s="16"/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102</v>
      </c>
      <c r="C18" s="14" t="s">
        <v>103</v>
      </c>
      <c r="D18" s="15" t="s">
        <v>72</v>
      </c>
      <c r="E18" s="16" t="s">
        <v>72</v>
      </c>
      <c r="F18" s="17">
        <v>3.6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104</v>
      </c>
      <c r="C19" s="14" t="s">
        <v>105</v>
      </c>
      <c r="D19" s="15"/>
      <c r="E19" s="16"/>
      <c r="F19" s="17">
        <v>4.5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108</v>
      </c>
      <c r="C20" s="14" t="s">
        <v>109</v>
      </c>
      <c r="D20" s="15" t="s">
        <v>110</v>
      </c>
      <c r="E20" s="16" t="s">
        <v>110</v>
      </c>
      <c r="F20" s="17">
        <v>0</v>
      </c>
      <c r="G20" s="18"/>
      <c r="H20" s="18"/>
      <c r="I20" s="19" t="e">
        <f t="shared" si="0"/>
        <v>#DIV/0!</v>
      </c>
    </row>
    <row r="21" spans="1:9" ht="15.6" customHeight="1" x14ac:dyDescent="0.25">
      <c r="A21" s="13">
        <v>17</v>
      </c>
      <c r="B21" s="14" t="s">
        <v>111</v>
      </c>
      <c r="C21" s="14" t="s">
        <v>112</v>
      </c>
      <c r="D21" s="15" t="s">
        <v>96</v>
      </c>
      <c r="E21" s="16" t="s">
        <v>96</v>
      </c>
      <c r="F21" s="17">
        <v>20.5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113</v>
      </c>
      <c r="C22" s="14" t="s">
        <v>114</v>
      </c>
      <c r="D22" s="15" t="s">
        <v>115</v>
      </c>
      <c r="E22" s="16" t="s">
        <v>115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116</v>
      </c>
      <c r="C23" s="14" t="s">
        <v>117</v>
      </c>
      <c r="D23" s="15"/>
      <c r="E23" s="16"/>
      <c r="F23" s="17">
        <v>0</v>
      </c>
      <c r="G23" s="18"/>
      <c r="H23" s="18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118</v>
      </c>
      <c r="C24" s="14" t="s">
        <v>119</v>
      </c>
      <c r="D24" s="15" t="s">
        <v>96</v>
      </c>
      <c r="E24" s="16" t="s">
        <v>96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120</v>
      </c>
      <c r="C25" s="14" t="s">
        <v>121</v>
      </c>
      <c r="D25" s="15" t="s">
        <v>72</v>
      </c>
      <c r="E25" s="16" t="s">
        <v>72</v>
      </c>
      <c r="F25" s="17">
        <v>0</v>
      </c>
      <c r="G25" s="18"/>
      <c r="H25" s="18"/>
      <c r="I25" s="19" t="e">
        <f t="shared" si="0"/>
        <v>#DIV/0!</v>
      </c>
    </row>
    <row r="26" spans="1:9" ht="15.6" customHeight="1" x14ac:dyDescent="0.25">
      <c r="A26" s="13">
        <v>22</v>
      </c>
      <c r="B26" s="14" t="s">
        <v>122</v>
      </c>
      <c r="C26" s="14" t="s">
        <v>123</v>
      </c>
      <c r="D26" s="15" t="s">
        <v>124</v>
      </c>
      <c r="E26" s="16" t="s">
        <v>124</v>
      </c>
      <c r="F26" s="17">
        <v>0</v>
      </c>
      <c r="G26" s="18"/>
      <c r="H26" s="18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125</v>
      </c>
      <c r="C27" s="14" t="s">
        <v>126</v>
      </c>
      <c r="D27" s="15" t="s">
        <v>127</v>
      </c>
      <c r="E27" s="16" t="s">
        <v>127</v>
      </c>
      <c r="F27" s="17">
        <v>5.4</v>
      </c>
      <c r="G27" s="18"/>
      <c r="H27" s="18"/>
      <c r="I27" s="19">
        <f t="shared" si="0"/>
        <v>0</v>
      </c>
    </row>
    <row r="28" spans="1:9" ht="16.8" customHeight="1" x14ac:dyDescent="0.25">
      <c r="A28" s="5" t="s">
        <v>130</v>
      </c>
      <c r="B28" s="5"/>
      <c r="C28" s="5"/>
      <c r="D28" s="21" t="s">
        <v>133</v>
      </c>
      <c r="E28" s="22"/>
      <c r="F28" s="23">
        <f>SUM(F5:F27)</f>
        <v>51</v>
      </c>
      <c r="G28" s="24"/>
      <c r="H28" s="23">
        <f>SUM(H5:H27)</f>
        <v>0</v>
      </c>
      <c r="I28" s="25">
        <f>H28/F28</f>
        <v>0</v>
      </c>
    </row>
  </sheetData>
  <mergeCells count="31">
    <mergeCell ref="A28:C28"/>
    <mergeCell ref="D28:E28"/>
    <mergeCell ref="D22:E2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13:E13"/>
    <mergeCell ref="D14:E14"/>
    <mergeCell ref="D15:E15"/>
    <mergeCell ref="D16:E16"/>
    <mergeCell ref="D17:E17"/>
    <mergeCell ref="D7:E7"/>
    <mergeCell ref="D8:E8"/>
    <mergeCell ref="D9:E9"/>
    <mergeCell ref="D10:E10"/>
    <mergeCell ref="D11:E11"/>
    <mergeCell ref="D12:E12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48-E16E-46D8-9487-12EFB57CE852}">
  <sheetPr codeName="Sheet31"/>
  <dimension ref="A1:I29"/>
  <sheetViews>
    <sheetView tabSelected="1" zoomScaleNormal="100" workbookViewId="0">
      <selection activeCell="D30" sqref="D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25.5</v>
      </c>
      <c r="G5" s="18"/>
      <c r="H5" s="18"/>
      <c r="I5" s="19">
        <f t="shared" ref="I5:I27" si="0"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22</v>
      </c>
      <c r="E6" s="16" t="s">
        <v>22</v>
      </c>
      <c r="F6" s="17">
        <v>79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23</v>
      </c>
      <c r="C7" s="14" t="s">
        <v>24</v>
      </c>
      <c r="D7" s="15"/>
      <c r="E7" s="16"/>
      <c r="F7" s="17">
        <v>2.5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25</v>
      </c>
      <c r="C8" s="14" t="s">
        <v>26</v>
      </c>
      <c r="D8" s="15"/>
      <c r="E8" s="16"/>
      <c r="F8" s="17">
        <v>2.5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27</v>
      </c>
      <c r="C9" s="14" t="s">
        <v>28</v>
      </c>
      <c r="D9" s="15"/>
      <c r="E9" s="16"/>
      <c r="F9" s="17">
        <v>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5"/>
      <c r="E10" s="16"/>
      <c r="F10" s="17">
        <v>9.6999999999999993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31</v>
      </c>
      <c r="C11" s="14" t="s">
        <v>32</v>
      </c>
      <c r="D11" s="15"/>
      <c r="E11" s="16"/>
      <c r="F11" s="17">
        <v>3.7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33</v>
      </c>
      <c r="C12" s="14" t="s">
        <v>34</v>
      </c>
      <c r="D12" s="15"/>
      <c r="E12" s="16"/>
      <c r="F12" s="17">
        <v>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/>
      <c r="E13" s="16"/>
      <c r="F13" s="17">
        <v>5.2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37</v>
      </c>
      <c r="C14" s="14" t="s">
        <v>38</v>
      </c>
      <c r="D14" s="15" t="s">
        <v>39</v>
      </c>
      <c r="E14" s="16" t="s">
        <v>39</v>
      </c>
      <c r="F14" s="17">
        <v>11</v>
      </c>
      <c r="G14" s="17"/>
      <c r="H14" s="17"/>
      <c r="I14" s="19">
        <f t="shared" si="0"/>
        <v>0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5" t="s">
        <v>39</v>
      </c>
      <c r="E15" s="16" t="s">
        <v>39</v>
      </c>
      <c r="F15" s="17">
        <v>0</v>
      </c>
      <c r="G15" s="18"/>
      <c r="H15" s="18"/>
      <c r="I15" s="19" t="e">
        <f t="shared" si="0"/>
        <v>#DIV/0!</v>
      </c>
    </row>
    <row r="16" spans="1:9" ht="15.6" customHeight="1" x14ac:dyDescent="0.25">
      <c r="A16" s="13">
        <v>12</v>
      </c>
      <c r="B16" s="14" t="s">
        <v>42</v>
      </c>
      <c r="C16" s="14" t="s">
        <v>43</v>
      </c>
      <c r="D16" s="15"/>
      <c r="E16" s="16"/>
      <c r="F16" s="17">
        <v>5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44</v>
      </c>
      <c r="C17" s="14" t="s">
        <v>45</v>
      </c>
      <c r="D17" s="15" t="s">
        <v>39</v>
      </c>
      <c r="E17" s="16" t="s">
        <v>39</v>
      </c>
      <c r="F17" s="17">
        <v>0</v>
      </c>
      <c r="G17" s="17"/>
      <c r="H17" s="17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46</v>
      </c>
      <c r="C18" s="14" t="s">
        <v>47</v>
      </c>
      <c r="D18" s="15" t="s">
        <v>39</v>
      </c>
      <c r="E18" s="16" t="s">
        <v>39</v>
      </c>
      <c r="F18" s="17">
        <v>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48</v>
      </c>
      <c r="C19" s="14" t="s">
        <v>49</v>
      </c>
      <c r="D19" s="15"/>
      <c r="E19" s="16"/>
      <c r="F19" s="20">
        <v>3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50</v>
      </c>
      <c r="C20" s="14" t="s">
        <v>51</v>
      </c>
      <c r="D20" s="15"/>
      <c r="E20" s="16"/>
      <c r="F20" s="17">
        <v>5.7</v>
      </c>
      <c r="G20" s="17"/>
      <c r="H20" s="17"/>
      <c r="I20" s="19">
        <f t="shared" si="0"/>
        <v>0</v>
      </c>
    </row>
    <row r="21" spans="1:9" ht="15.6" customHeight="1" x14ac:dyDescent="0.25">
      <c r="A21" s="13">
        <v>17</v>
      </c>
      <c r="B21" s="14" t="s">
        <v>52</v>
      </c>
      <c r="C21" s="14" t="s">
        <v>53</v>
      </c>
      <c r="D21" s="15" t="s">
        <v>39</v>
      </c>
      <c r="E21" s="16" t="s">
        <v>39</v>
      </c>
      <c r="F21" s="17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54</v>
      </c>
      <c r="C22" s="14" t="s">
        <v>55</v>
      </c>
      <c r="D22" s="15" t="s">
        <v>39</v>
      </c>
      <c r="E22" s="16" t="s">
        <v>39</v>
      </c>
      <c r="F22" s="17">
        <v>0</v>
      </c>
      <c r="G22" s="18"/>
      <c r="H22" s="18"/>
      <c r="I22" s="19" t="e">
        <f t="shared" si="0"/>
        <v>#DIV/0!</v>
      </c>
    </row>
    <row r="23" spans="1:9" ht="15.6" customHeight="1" x14ac:dyDescent="0.25">
      <c r="A23" s="13">
        <v>19</v>
      </c>
      <c r="B23" s="14" t="s">
        <v>56</v>
      </c>
      <c r="C23" s="14" t="s">
        <v>57</v>
      </c>
      <c r="D23" s="15" t="s">
        <v>39</v>
      </c>
      <c r="E23" s="16" t="s">
        <v>39</v>
      </c>
      <c r="F23" s="17">
        <v>0</v>
      </c>
      <c r="G23" s="17"/>
      <c r="H23" s="17"/>
      <c r="I23" s="19" t="e">
        <f t="shared" si="0"/>
        <v>#DIV/0!</v>
      </c>
    </row>
    <row r="24" spans="1:9" ht="15.6" customHeight="1" x14ac:dyDescent="0.25">
      <c r="A24" s="13">
        <v>20</v>
      </c>
      <c r="B24" s="14" t="s">
        <v>58</v>
      </c>
      <c r="C24" s="14" t="s">
        <v>59</v>
      </c>
      <c r="D24" s="15" t="s">
        <v>39</v>
      </c>
      <c r="E24" s="16" t="s">
        <v>39</v>
      </c>
      <c r="F24" s="17">
        <v>0</v>
      </c>
      <c r="G24" s="18"/>
      <c r="H24" s="18"/>
      <c r="I24" s="19" t="e">
        <f t="shared" si="0"/>
        <v>#DIV/0!</v>
      </c>
    </row>
    <row r="25" spans="1:9" ht="15.6" customHeight="1" x14ac:dyDescent="0.25">
      <c r="A25" s="13">
        <v>21</v>
      </c>
      <c r="B25" s="14" t="s">
        <v>66</v>
      </c>
      <c r="C25" s="14" t="s">
        <v>67</v>
      </c>
      <c r="D25" s="15"/>
      <c r="E25" s="16"/>
      <c r="F25" s="17">
        <v>2</v>
      </c>
      <c r="G25" s="18"/>
      <c r="H25" s="18"/>
      <c r="I25" s="19">
        <f t="shared" si="0"/>
        <v>0</v>
      </c>
    </row>
    <row r="26" spans="1:9" ht="15.6" customHeight="1" x14ac:dyDescent="0.25">
      <c r="A26" s="13">
        <v>22</v>
      </c>
      <c r="B26" s="14" t="s">
        <v>70</v>
      </c>
      <c r="C26" s="14" t="s">
        <v>71</v>
      </c>
      <c r="D26" s="15" t="s">
        <v>72</v>
      </c>
      <c r="E26" s="16" t="s">
        <v>72</v>
      </c>
      <c r="F26" s="17">
        <v>140.5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100</v>
      </c>
      <c r="C27" s="14" t="s">
        <v>101</v>
      </c>
      <c r="D27" s="15"/>
      <c r="E27" s="16"/>
      <c r="F27" s="17">
        <v>0</v>
      </c>
      <c r="G27" s="18"/>
      <c r="H27" s="18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128</v>
      </c>
      <c r="C28" s="14" t="s">
        <v>129</v>
      </c>
      <c r="D28" s="15" t="s">
        <v>39</v>
      </c>
      <c r="E28" s="16" t="s">
        <v>39</v>
      </c>
      <c r="F28" s="17">
        <v>0</v>
      </c>
      <c r="G28" s="18"/>
      <c r="H28" s="18"/>
      <c r="I28" s="19" t="e">
        <f>H28/F28</f>
        <v>#DIV/0!</v>
      </c>
    </row>
    <row r="29" spans="1:9" ht="16.8" customHeight="1" x14ac:dyDescent="0.25">
      <c r="A29" s="5" t="s">
        <v>130</v>
      </c>
      <c r="B29" s="5"/>
      <c r="C29" s="5"/>
      <c r="D29" s="21" t="s">
        <v>134</v>
      </c>
      <c r="E29" s="22"/>
      <c r="F29" s="23">
        <f>SUM(F5:F28)</f>
        <v>301.29999999999995</v>
      </c>
      <c r="G29" s="24"/>
      <c r="H29" s="23">
        <f>SUM(H5:H28)</f>
        <v>0</v>
      </c>
      <c r="I29" s="25">
        <f>H29/F29</f>
        <v>0</v>
      </c>
    </row>
  </sheetData>
  <mergeCells count="32">
    <mergeCell ref="D28:E28"/>
    <mergeCell ref="A29:C29"/>
    <mergeCell ref="D29:E29"/>
    <mergeCell ref="D27:E27"/>
    <mergeCell ref="D25:E25"/>
    <mergeCell ref="D26:E26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Inv__Ujitjes_Devoll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2026-10-06T12:30:27Z</dcterms:created>
  <dcterms:modified xsi:type="dcterms:W3CDTF">2026-10-06T12:34:50Z</dcterms:modified>
</cp:coreProperties>
</file>