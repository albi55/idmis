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116AF2B1-FE90-4329-B4D8-6D8E0B739434}" xr6:coauthVersionLast="47" xr6:coauthVersionMax="47" xr10:uidLastSave="{00000000-0000-0000-0000-000000000000}"/>
  <bookViews>
    <workbookView xWindow="-28920" yWindow="-1470" windowWidth="29040" windowHeight="15720" activeTab="1" xr2:uid="{1CBE96D3-DC91-4FC6-887A-FEC6F764497F}"/>
  </bookViews>
  <sheets>
    <sheet name="Inv__Ujitjes_Kavaje" sheetId="1" r:id="rId1"/>
    <sheet name="Rezervuar" sheetId="2" r:id="rId2"/>
    <sheet name="Skema Pjeserisht te transferua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I7" i="3" s="1"/>
  <c r="F7" i="3"/>
  <c r="I6" i="3"/>
  <c r="H23" i="2"/>
  <c r="I23" i="2" s="1"/>
  <c r="F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30" i="1"/>
  <c r="I30" i="1" s="1"/>
  <c r="F30" i="1"/>
  <c r="I29" i="1"/>
  <c r="H23" i="1"/>
  <c r="I23" i="1" s="1"/>
  <c r="F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<sst xmlns="http://schemas.openxmlformats.org/spreadsheetml/2006/main" count="204" uniqueCount="57">
  <si>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</si>
  <si>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</si>
  <si>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</si>
  <si>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</si>
  <si>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</si>
  <si>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</si>
  <si>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</si>
  <si>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</si>
  <si>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</si>
  <si>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</si>
  <si>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</si>
  <si>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KJU - 26</t>
  </si>
  <si>
    <t>Golem - Aganas - Kanapare</t>
  </si>
  <si>
    <t>Reservuar</t>
  </si>
  <si>
    <t>KJU - 25</t>
  </si>
  <si>
    <t>Kanaparaj</t>
  </si>
  <si>
    <t>KJU - 12</t>
  </si>
  <si>
    <t>Cete</t>
  </si>
  <si>
    <t>KJU - 6</t>
  </si>
  <si>
    <t>Hajdaraj</t>
  </si>
  <si>
    <t>KJU - 13</t>
  </si>
  <si>
    <t>Seferaj</t>
  </si>
  <si>
    <t>KJU - 14</t>
  </si>
  <si>
    <t>Liz 1</t>
  </si>
  <si>
    <t>KJU - 24</t>
  </si>
  <si>
    <t>Kazaz</t>
  </si>
  <si>
    <t>KJU - 10</t>
  </si>
  <si>
    <t>Beden</t>
  </si>
  <si>
    <t>KJU - 15</t>
  </si>
  <si>
    <t>Liz 2</t>
  </si>
  <si>
    <t>KJU - 16</t>
  </si>
  <si>
    <t>Nasuf</t>
  </si>
  <si>
    <t>KJU - 17</t>
  </si>
  <si>
    <t>Tilaj</t>
  </si>
  <si>
    <t>KJU - 18</t>
  </si>
  <si>
    <t>Zikulare</t>
  </si>
  <si>
    <t>KJU - 19</t>
  </si>
  <si>
    <t>Habilaj 1</t>
  </si>
  <si>
    <t>KJU - 20</t>
  </si>
  <si>
    <t>Habilaj 2</t>
  </si>
  <si>
    <t>KJU - 21</t>
  </si>
  <si>
    <t>Gjinaj</t>
  </si>
  <si>
    <t>KJU - 23</t>
  </si>
  <si>
    <t>Kryemedhenj</t>
  </si>
  <si>
    <t>KUJ - 27</t>
  </si>
  <si>
    <t xml:space="preserve">Momel </t>
  </si>
  <si>
    <t>Rezervuar</t>
  </si>
  <si>
    <t>KUJ - 28</t>
  </si>
  <si>
    <t>Sineballe</t>
  </si>
  <si>
    <t>Total</t>
  </si>
  <si>
    <t>18 Skema</t>
  </si>
  <si>
    <t>Skema të pjesërisht të transferuara</t>
  </si>
  <si>
    <t>Vetëm Kanale të Dyta në Km</t>
  </si>
  <si>
    <t>KJU - 1</t>
  </si>
  <si>
    <t>Kanali Peqin - Kavaje</t>
  </si>
  <si>
    <t>Lumi Shkumbin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</si>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</sst>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1F59BBCD-D69D-47AD-A86C-DC8979111BAC}"/>
    <cellStyle name="Percent 3" xfId="2" xr:uid="{588665E6-F830-42F9-9D1F-ACBE26B1D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53DE-D1B2-4210-8330-1427990C7892}">
  <dimension ref="A1:I30"/>
  <sheetViews>
    <sheetView zoomScaleNormal="100" workbookViewId="0">
      <selection activeCell="D31" sqref="D3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22</v>
      </c>
      <c r="G5" s="18"/>
      <c r="H5" s="18"/>
      <c r="I5" s="19">
        <f t="shared" ref="I5:I2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3.7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2.2000000000000002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3.6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2.8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 t="s">
        <v>13</v>
      </c>
      <c r="E15" s="16" t="s">
        <v>13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 t="s">
        <v>13</v>
      </c>
      <c r="E16" s="16" t="s">
        <v>13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 t="s">
        <v>13</v>
      </c>
      <c r="E17" s="16" t="s">
        <v>13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 t="s">
        <v>13</v>
      </c>
      <c r="E18" s="16" t="s">
        <v>13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 t="s">
        <v>13</v>
      </c>
      <c r="E19" s="16" t="s">
        <v>13</v>
      </c>
      <c r="F19" s="17">
        <v>0</v>
      </c>
      <c r="G19" s="17"/>
      <c r="H19" s="17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 t="s">
        <v>13</v>
      </c>
      <c r="E20" s="16" t="s">
        <v>13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44</v>
      </c>
      <c r="C21" s="14" t="s">
        <v>45</v>
      </c>
      <c r="D21" s="15" t="s">
        <v>46</v>
      </c>
      <c r="E21" s="16" t="s">
        <v>46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46</v>
      </c>
      <c r="E22" s="16" t="s">
        <v>46</v>
      </c>
      <c r="F22" s="17">
        <v>0</v>
      </c>
      <c r="G22" s="17"/>
      <c r="H22" s="17"/>
      <c r="I22" s="19" t="e">
        <f t="shared" si="0"/>
        <v>#DIV/0!</v>
      </c>
    </row>
    <row r="23" spans="1:9" ht="16.8" customHeight="1" x14ac:dyDescent="0.25">
      <c r="A23" s="5" t="s">
        <v>49</v>
      </c>
      <c r="B23" s="5"/>
      <c r="C23" s="5"/>
      <c r="D23" s="5" t="s">
        <v>50</v>
      </c>
      <c r="E23" s="5"/>
      <c r="F23" s="20">
        <f>SUM(F5:F22)</f>
        <v>41.8</v>
      </c>
      <c r="G23" s="21"/>
      <c r="H23" s="20">
        <f>SUM(H5:H22)</f>
        <v>0</v>
      </c>
      <c r="I23" s="22">
        <f t="shared" si="0"/>
        <v>0</v>
      </c>
    </row>
    <row r="25" spans="1:9" ht="15" x14ac:dyDescent="0.25">
      <c r="A25" s="1" t="s">
        <v>51</v>
      </c>
    </row>
    <row r="27" spans="1:9" s="24" customFormat="1" ht="17.399999999999999" customHeight="1" x14ac:dyDescent="0.25">
      <c r="A27" s="5" t="s">
        <v>1</v>
      </c>
      <c r="B27" s="23" t="s">
        <v>2</v>
      </c>
      <c r="C27" s="23"/>
      <c r="D27" s="7" t="s">
        <v>3</v>
      </c>
      <c r="E27" s="8"/>
      <c r="F27" s="23" t="s">
        <v>52</v>
      </c>
      <c r="G27" s="6" t="s">
        <v>5</v>
      </c>
      <c r="H27" s="5" t="s">
        <v>6</v>
      </c>
      <c r="I27" s="5"/>
    </row>
    <row r="28" spans="1:9" s="24" customFormat="1" ht="17.399999999999999" customHeight="1" x14ac:dyDescent="0.25">
      <c r="A28" s="5"/>
      <c r="B28" s="10" t="s">
        <v>7</v>
      </c>
      <c r="C28" s="10" t="s">
        <v>8</v>
      </c>
      <c r="D28" s="11"/>
      <c r="E28" s="12"/>
      <c r="F28" s="23"/>
      <c r="G28" s="6"/>
      <c r="H28" s="10" t="s">
        <v>9</v>
      </c>
      <c r="I28" s="10" t="s">
        <v>10</v>
      </c>
    </row>
    <row r="29" spans="1:9" ht="16.2" customHeight="1" x14ac:dyDescent="0.25">
      <c r="A29" s="25">
        <v>1</v>
      </c>
      <c r="B29" s="26" t="s">
        <v>53</v>
      </c>
      <c r="C29" s="27" t="s">
        <v>54</v>
      </c>
      <c r="D29" s="28" t="s">
        <v>55</v>
      </c>
      <c r="E29" s="29" t="s">
        <v>55</v>
      </c>
      <c r="F29" s="30">
        <v>125</v>
      </c>
      <c r="G29" s="18"/>
      <c r="H29" s="18"/>
      <c r="I29" s="19">
        <f>H29/F29</f>
        <v>0</v>
      </c>
    </row>
    <row r="30" spans="1:9" ht="16.8" customHeight="1" x14ac:dyDescent="0.25">
      <c r="A30" s="5" t="s">
        <v>49</v>
      </c>
      <c r="B30" s="5"/>
      <c r="C30" s="5"/>
      <c r="D30" s="5" t="s">
        <v>56</v>
      </c>
      <c r="E30" s="5"/>
      <c r="F30" s="20">
        <f>SUM(F29:F29)</f>
        <v>125</v>
      </c>
      <c r="G30" s="21"/>
      <c r="H30" s="20">
        <f>SUM(H29:H29)</f>
        <v>0</v>
      </c>
      <c r="I30" s="22">
        <f>H30/F30</f>
        <v>0</v>
      </c>
    </row>
  </sheetData>
  <mergeCells count="35">
    <mergeCell ref="G27:G28"/>
    <mergeCell ref="H27:I27"/>
    <mergeCell ref="D29:E29"/>
    <mergeCell ref="A30:C30"/>
    <mergeCell ref="D30:E30"/>
    <mergeCell ref="A23:C23"/>
    <mergeCell ref="D23:E23"/>
    <mergeCell ref="A27:A28"/>
    <mergeCell ref="B27:C27"/>
    <mergeCell ref="D27:E28"/>
    <mergeCell ref="F27:F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1ED0-399E-4705-B339-D4D8D1524F0A}">
  <dimension ref="A1:I23"/>
  <sheetViews>
    <sheetView tabSelected="1" zoomScaleNormal="100" workbookViewId="0">
      <selection activeCell="C29" sqref="C2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22</v>
      </c>
      <c r="G5" s="18"/>
      <c r="H5" s="18"/>
      <c r="I5" s="19">
        <f t="shared" ref="I5:I2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3.7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2.2000000000000002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3.6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2.8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 t="s">
        <v>13</v>
      </c>
      <c r="E15" s="16" t="s">
        <v>13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 t="s">
        <v>13</v>
      </c>
      <c r="E16" s="16" t="s">
        <v>13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 t="s">
        <v>13</v>
      </c>
      <c r="E17" s="16" t="s">
        <v>13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 t="s">
        <v>13</v>
      </c>
      <c r="E18" s="16" t="s">
        <v>13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 t="s">
        <v>13</v>
      </c>
      <c r="E19" s="16" t="s">
        <v>13</v>
      </c>
      <c r="F19" s="17">
        <v>0</v>
      </c>
      <c r="G19" s="17"/>
      <c r="H19" s="17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 t="s">
        <v>13</v>
      </c>
      <c r="E20" s="16" t="s">
        <v>13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44</v>
      </c>
      <c r="C21" s="14" t="s">
        <v>45</v>
      </c>
      <c r="D21" s="15" t="s">
        <v>46</v>
      </c>
      <c r="E21" s="16" t="s">
        <v>46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46</v>
      </c>
      <c r="E22" s="16" t="s">
        <v>46</v>
      </c>
      <c r="F22" s="17">
        <v>0</v>
      </c>
      <c r="G22" s="17"/>
      <c r="H22" s="17"/>
      <c r="I22" s="19" t="e">
        <f t="shared" si="0"/>
        <v>#DIV/0!</v>
      </c>
    </row>
    <row r="23" spans="1:9" ht="16.8" customHeight="1" x14ac:dyDescent="0.25">
      <c r="A23" s="5" t="s">
        <v>49</v>
      </c>
      <c r="B23" s="5"/>
      <c r="C23" s="5"/>
      <c r="D23" s="5" t="s">
        <v>50</v>
      </c>
      <c r="E23" s="5"/>
      <c r="F23" s="20">
        <f>SUM(F5:F22)</f>
        <v>41.8</v>
      </c>
      <c r="G23" s="21"/>
      <c r="H23" s="20">
        <f>SUM(H5:H22)</f>
        <v>0</v>
      </c>
      <c r="I23" s="22">
        <f t="shared" si="0"/>
        <v>0</v>
      </c>
    </row>
  </sheetData>
  <mergeCells count="26">
    <mergeCell ref="A23:C23"/>
    <mergeCell ref="D23:E23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94CC-427B-484C-8699-CB87468D59F9}">
  <dimension ref="A2:I7"/>
  <sheetViews>
    <sheetView zoomScaleNormal="100" workbookViewId="0">
      <selection activeCell="C35" sqref="C3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51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52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53</v>
      </c>
      <c r="C6" s="27" t="s">
        <v>54</v>
      </c>
      <c r="D6" s="28" t="s">
        <v>55</v>
      </c>
      <c r="E6" s="29" t="s">
        <v>55</v>
      </c>
      <c r="F6" s="30">
        <v>125</v>
      </c>
      <c r="G6" s="18"/>
      <c r="H6" s="18"/>
      <c r="I6" s="19">
        <f>H6/F6</f>
        <v>0</v>
      </c>
    </row>
    <row r="7" spans="1:9" ht="16.8" customHeight="1" x14ac:dyDescent="0.25">
      <c r="A7" s="5" t="s">
        <v>49</v>
      </c>
      <c r="B7" s="5"/>
      <c r="C7" s="5"/>
      <c r="D7" s="5" t="s">
        <v>56</v>
      </c>
      <c r="E7" s="5"/>
      <c r="F7" s="20">
        <f>SUM(F6:F6)</f>
        <v>125</v>
      </c>
      <c r="G7" s="21"/>
      <c r="H7" s="20">
        <f>SUM(H6:H6)</f>
        <v>0</v>
      </c>
      <c r="I7" s="22">
        <f>H7/F7</f>
        <v>0</v>
      </c>
    </row>
  </sheetData>
  <mergeCells count="9">
    <mergeCell ref="G4:G5"/>
    <mergeCell ref="H4:I4"/>
    <mergeCell ref="D6:E6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Inv__Ujitjes_Kavaje</vt:lpstr>
      <vt:lpstr>Rezervuar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2026-10-07T11:51:47Z</dcterms:created>
  <dcterms:modified xsi:type="dcterms:W3CDTF">2026-10-07T11:52:57Z</dcterms:modified>
</cp:coreProperties>
</file>