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A258CCC9-F9FC-4B0E-A17F-0C9067F41BCC}" xr6:coauthVersionLast="47" xr6:coauthVersionMax="47" xr10:uidLastSave="{00000000-0000-0000-0000-000000000000}"/>
  <bookViews>
    <workbookView xWindow="-28920" yWindow="-1470" windowWidth="29040" windowHeight="15720" activeTab="3" xr2:uid="{D51964FA-B0FA-44B9-A652-543E14EA37F3}"/>
  </bookViews>
  <sheets>
    <sheet name="Inv__Ujitjes_Maliq" sheetId="1" r:id="rId1"/>
    <sheet name="Rezervuar" sheetId="2" r:id="rId2"/>
    <sheet name="Stacione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I6" i="4" s="1"/>
  <c r="F6" i="4"/>
  <c r="I5" i="4"/>
  <c r="H19" i="3"/>
  <c r="F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35" i="2"/>
  <c r="F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51" i="1"/>
  <c r="I51" i="1" s="1"/>
  <c r="F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9" i="3" l="1"/>
  <c r="I35" i="2"/>
</calcChain>
</file>

<file path=xl/sharedStrings.xml><?xml version="1.0" encoding="utf-8"?>
<sst xmlns="http://schemas.openxmlformats.org/spreadsheetml/2006/main" count="412" uniqueCount="117">
  <si>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</si>
  <si>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</si>
  <si>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</si>
  <si>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</si>
  <si>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</si>
  <si>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</si>
  <si>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</si>
  <si>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</si>
  <si>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</si>
  <si>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</si>
  <si>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</si>
  <si>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KOU - 3</t>
  </si>
  <si>
    <t>Petrushe + Leminot</t>
  </si>
  <si>
    <t>Reservuar</t>
  </si>
  <si>
    <t>KOU - 9</t>
  </si>
  <si>
    <t>Bicke Reservoir</t>
  </si>
  <si>
    <t>KOU - 10</t>
  </si>
  <si>
    <t>Caushli Reservoir</t>
  </si>
  <si>
    <t>KOU - 11</t>
  </si>
  <si>
    <t>Kloce Reservoir</t>
  </si>
  <si>
    <t>KOU - 29</t>
  </si>
  <si>
    <t>Beras Reservoir</t>
  </si>
  <si>
    <t>KOU - 26</t>
  </si>
  <si>
    <t>Kucake Reservoir 1</t>
  </si>
  <si>
    <t>KOU - 4</t>
  </si>
  <si>
    <t>Electro - Pump Stp. Maliq</t>
  </si>
  <si>
    <t>Stp.</t>
  </si>
  <si>
    <t>KOU - 7</t>
  </si>
  <si>
    <t>Kembetheker Reservoir</t>
  </si>
  <si>
    <t>KOU - 8</t>
  </si>
  <si>
    <t>Kolanec Reservoir</t>
  </si>
  <si>
    <t>KOU - 27</t>
  </si>
  <si>
    <t>Kakac Reservoir</t>
  </si>
  <si>
    <t>KOU - 28</t>
  </si>
  <si>
    <t>Vrepske Reservoir</t>
  </si>
  <si>
    <t>KOU - 30</t>
  </si>
  <si>
    <t>Protopape Reservoir 3</t>
  </si>
  <si>
    <t>KOU - 31</t>
  </si>
  <si>
    <t>Gopesh Reservoir 1</t>
  </si>
  <si>
    <t>KOU - 32</t>
  </si>
  <si>
    <t>Gopesh Reservoir 2</t>
  </si>
  <si>
    <t>KOU - 33</t>
  </si>
  <si>
    <t>Zerec  Reservoir</t>
  </si>
  <si>
    <t>KOU - 34</t>
  </si>
  <si>
    <t>Lirishte Reservoir</t>
  </si>
  <si>
    <t>KOU - 35</t>
  </si>
  <si>
    <t>Zvarisht Reservoir 1</t>
  </si>
  <si>
    <t>KOU - 36</t>
  </si>
  <si>
    <t>Gropa Desmire Reservoir</t>
  </si>
  <si>
    <t>KOU - 37</t>
  </si>
  <si>
    <t>Protopape Reservoir 4</t>
  </si>
  <si>
    <t>KOU - 48</t>
  </si>
  <si>
    <t>Gopesh Reservoir 3</t>
  </si>
  <si>
    <t>KOU - 49</t>
  </si>
  <si>
    <t>Protopape Reservoir 1</t>
  </si>
  <si>
    <t>KOU - 50</t>
  </si>
  <si>
    <t>Protopape Reservoir 2</t>
  </si>
  <si>
    <t>KOU - 51</t>
  </si>
  <si>
    <t>Varvare Reservoir 3</t>
  </si>
  <si>
    <t>KOU - 52</t>
  </si>
  <si>
    <t>Varvare Reservoir 1</t>
  </si>
  <si>
    <t>KOU - 53</t>
  </si>
  <si>
    <t>Peshtan Reservoir</t>
  </si>
  <si>
    <t>KOU - 54</t>
  </si>
  <si>
    <t>Varvare Reservoir 2</t>
  </si>
  <si>
    <t>KOU - 55</t>
  </si>
  <si>
    <t>Moglice Reservoir</t>
  </si>
  <si>
    <t>KOU - 56</t>
  </si>
  <si>
    <t>Kucake Reservoir 2</t>
  </si>
  <si>
    <t>KOU - 57</t>
  </si>
  <si>
    <t>Zvarisht Reservoir 2</t>
  </si>
  <si>
    <t>KOU - 59</t>
  </si>
  <si>
    <t xml:space="preserve">Tresove Reservoir  1 </t>
  </si>
  <si>
    <t>KOU - 60</t>
  </si>
  <si>
    <t xml:space="preserve">Popcisht Reservoir </t>
  </si>
  <si>
    <t>KOU - 71</t>
  </si>
  <si>
    <t>Orman stacion pompimi</t>
  </si>
  <si>
    <t>Lume</t>
  </si>
  <si>
    <t>KOU - 72</t>
  </si>
  <si>
    <t>Rot stacion pompimi</t>
  </si>
  <si>
    <t>KOU - 76</t>
  </si>
  <si>
    <t>Tresove Reservoir  2</t>
  </si>
  <si>
    <t>KOU - 77</t>
  </si>
  <si>
    <t>Vreshtas st.pomp</t>
  </si>
  <si>
    <t>Kolektori Sovjan</t>
  </si>
  <si>
    <t>KOU - 78</t>
  </si>
  <si>
    <t>Lumalas st.pomp</t>
  </si>
  <si>
    <t>Ventrok</t>
  </si>
  <si>
    <t>KOU - 82</t>
  </si>
  <si>
    <t>Gropa Desmire st.pomp</t>
  </si>
  <si>
    <t>perroi Mesmal</t>
  </si>
  <si>
    <t>KOU - 83</t>
  </si>
  <si>
    <t>Tresove st.pomp</t>
  </si>
  <si>
    <t>l.Devoll</t>
  </si>
  <si>
    <t>KOU - 84</t>
  </si>
  <si>
    <t>Kembethekre st.pomp</t>
  </si>
  <si>
    <t>rez. Kembetheker</t>
  </si>
  <si>
    <t>KOU - 85</t>
  </si>
  <si>
    <t>Zboq st.pom</t>
  </si>
  <si>
    <t>KOU - 86</t>
  </si>
  <si>
    <t>Drithas st.pomp</t>
  </si>
  <si>
    <t>KOU - 87</t>
  </si>
  <si>
    <t>Poceste st.pom</t>
  </si>
  <si>
    <t>KOU - 88</t>
  </si>
  <si>
    <t>Shengjergj st.pom</t>
  </si>
  <si>
    <t>D.Zemblak (dega e Zvezdes)</t>
  </si>
  <si>
    <t>KOU - 89</t>
  </si>
  <si>
    <t>Golloberde st.pomp</t>
  </si>
  <si>
    <t>KOU - 90</t>
  </si>
  <si>
    <t>Plase st.pomp</t>
  </si>
  <si>
    <t>KOU - 91</t>
  </si>
  <si>
    <t>Skema individuale me kooperativa</t>
  </si>
  <si>
    <t>Total</t>
  </si>
  <si>
    <t>46 Skema</t>
  </si>
  <si>
    <t>30 Skema</t>
  </si>
  <si>
    <t>14 Skema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</si>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</sst>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29B3C01B-623F-4724-B2AD-57FCB28C496E}"/>
    <cellStyle name="Percent 2" xfId="2" xr:uid="{187DA4A7-3A8E-4096-848B-54E9AC6B6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D0A0-2BF9-4131-83E4-A73A5DF2C52A}">
  <sheetPr codeName="Sheet31"/>
  <dimension ref="A1:I51"/>
  <sheetViews>
    <sheetView zoomScaleNormal="100" workbookViewId="0">
      <selection activeCell="D56" sqref="D5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84.3</v>
      </c>
      <c r="G5" s="18"/>
      <c r="H5" s="18"/>
      <c r="I5" s="19">
        <f t="shared" ref="I5:I49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3.5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0.5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13</v>
      </c>
      <c r="E8" s="16" t="s">
        <v>13</v>
      </c>
      <c r="F8" s="17">
        <v>3.5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 t="s">
        <v>13</v>
      </c>
      <c r="E9" s="16" t="s">
        <v>13</v>
      </c>
      <c r="F9" s="17">
        <v>0.5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 t="s">
        <v>13</v>
      </c>
      <c r="E10" s="16" t="s">
        <v>13</v>
      </c>
      <c r="F10" s="17">
        <v>1.5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 t="s">
        <v>26</v>
      </c>
      <c r="E11" s="16" t="s">
        <v>26</v>
      </c>
      <c r="F11" s="17">
        <v>29.6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27</v>
      </c>
      <c r="C12" s="14" t="s">
        <v>28</v>
      </c>
      <c r="D12" s="15" t="s">
        <v>13</v>
      </c>
      <c r="E12" s="16" t="s">
        <v>13</v>
      </c>
      <c r="F12" s="17">
        <v>3.7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29</v>
      </c>
      <c r="C13" s="14" t="s">
        <v>30</v>
      </c>
      <c r="D13" s="15" t="s">
        <v>13</v>
      </c>
      <c r="E13" s="16" t="s">
        <v>13</v>
      </c>
      <c r="F13" s="17">
        <v>14.8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31</v>
      </c>
      <c r="C14" s="14" t="s">
        <v>32</v>
      </c>
      <c r="D14" s="15" t="s">
        <v>13</v>
      </c>
      <c r="E14" s="16" t="s">
        <v>13</v>
      </c>
      <c r="F14" s="17">
        <v>3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33</v>
      </c>
      <c r="C15" s="14" t="s">
        <v>34</v>
      </c>
      <c r="D15" s="15" t="s">
        <v>13</v>
      </c>
      <c r="E15" s="16" t="s">
        <v>13</v>
      </c>
      <c r="F15" s="17">
        <v>1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35</v>
      </c>
      <c r="C16" s="14" t="s">
        <v>36</v>
      </c>
      <c r="D16" s="15" t="s">
        <v>13</v>
      </c>
      <c r="E16" s="16" t="s">
        <v>13</v>
      </c>
      <c r="F16" s="17">
        <v>1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37</v>
      </c>
      <c r="C17" s="14" t="s">
        <v>38</v>
      </c>
      <c r="D17" s="15" t="s">
        <v>13</v>
      </c>
      <c r="E17" s="16" t="s">
        <v>13</v>
      </c>
      <c r="F17" s="17">
        <v>0.8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39</v>
      </c>
      <c r="C18" s="14" t="s">
        <v>40</v>
      </c>
      <c r="D18" s="15" t="s">
        <v>13</v>
      </c>
      <c r="E18" s="16" t="s">
        <v>13</v>
      </c>
      <c r="F18" s="17">
        <v>1.2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41</v>
      </c>
      <c r="C19" s="14" t="s">
        <v>42</v>
      </c>
      <c r="D19" s="15" t="s">
        <v>13</v>
      </c>
      <c r="E19" s="16" t="s">
        <v>13</v>
      </c>
      <c r="F19" s="17">
        <v>3.5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43</v>
      </c>
      <c r="C20" s="14" t="s">
        <v>44</v>
      </c>
      <c r="D20" s="15" t="s">
        <v>13</v>
      </c>
      <c r="E20" s="16" t="s">
        <v>13</v>
      </c>
      <c r="F20" s="17">
        <v>1.6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45</v>
      </c>
      <c r="C21" s="14" t="s">
        <v>46</v>
      </c>
      <c r="D21" s="15" t="s">
        <v>13</v>
      </c>
      <c r="E21" s="16" t="s">
        <v>13</v>
      </c>
      <c r="F21" s="20">
        <v>0.6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47</v>
      </c>
      <c r="C22" s="14" t="s">
        <v>48</v>
      </c>
      <c r="D22" s="15" t="s">
        <v>13</v>
      </c>
      <c r="E22" s="16" t="s">
        <v>13</v>
      </c>
      <c r="F22" s="17">
        <v>1.2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49</v>
      </c>
      <c r="C23" s="14" t="s">
        <v>50</v>
      </c>
      <c r="D23" s="15" t="s">
        <v>13</v>
      </c>
      <c r="E23" s="16" t="s">
        <v>13</v>
      </c>
      <c r="F23" s="17">
        <v>0.5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51</v>
      </c>
      <c r="C24" s="14" t="s">
        <v>52</v>
      </c>
      <c r="D24" s="15" t="s">
        <v>13</v>
      </c>
      <c r="E24" s="16" t="s">
        <v>13</v>
      </c>
      <c r="F24" s="17">
        <v>0.5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53</v>
      </c>
      <c r="C25" s="14" t="s">
        <v>54</v>
      </c>
      <c r="D25" s="15" t="s">
        <v>13</v>
      </c>
      <c r="E25" s="16" t="s">
        <v>13</v>
      </c>
      <c r="F25" s="17">
        <v>0.5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55</v>
      </c>
      <c r="C26" s="14" t="s">
        <v>56</v>
      </c>
      <c r="D26" s="15" t="s">
        <v>13</v>
      </c>
      <c r="E26" s="16" t="s">
        <v>13</v>
      </c>
      <c r="F26" s="17">
        <v>0.5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57</v>
      </c>
      <c r="C27" s="14" t="s">
        <v>58</v>
      </c>
      <c r="D27" s="15" t="s">
        <v>13</v>
      </c>
      <c r="E27" s="16" t="s">
        <v>13</v>
      </c>
      <c r="F27" s="17">
        <v>0.5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59</v>
      </c>
      <c r="C28" s="14" t="s">
        <v>60</v>
      </c>
      <c r="D28" s="15" t="s">
        <v>13</v>
      </c>
      <c r="E28" s="16" t="s">
        <v>13</v>
      </c>
      <c r="F28" s="17">
        <v>1.2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61</v>
      </c>
      <c r="C29" s="14" t="s">
        <v>62</v>
      </c>
      <c r="D29" s="15" t="s">
        <v>13</v>
      </c>
      <c r="E29" s="16" t="s">
        <v>13</v>
      </c>
      <c r="F29" s="17">
        <v>0.6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63</v>
      </c>
      <c r="C30" s="14" t="s">
        <v>64</v>
      </c>
      <c r="D30" s="15" t="s">
        <v>13</v>
      </c>
      <c r="E30" s="16" t="s">
        <v>13</v>
      </c>
      <c r="F30" s="17">
        <v>0.4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65</v>
      </c>
      <c r="C31" s="14" t="s">
        <v>66</v>
      </c>
      <c r="D31" s="15" t="s">
        <v>13</v>
      </c>
      <c r="E31" s="16" t="s">
        <v>13</v>
      </c>
      <c r="F31" s="17">
        <v>1.6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67</v>
      </c>
      <c r="C32" s="14" t="s">
        <v>68</v>
      </c>
      <c r="D32" s="15" t="s">
        <v>13</v>
      </c>
      <c r="E32" s="16" t="s">
        <v>13</v>
      </c>
      <c r="F32" s="17">
        <v>1.2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69</v>
      </c>
      <c r="C33" s="14" t="s">
        <v>70</v>
      </c>
      <c r="D33" s="15" t="s">
        <v>13</v>
      </c>
      <c r="E33" s="16" t="s">
        <v>13</v>
      </c>
      <c r="F33" s="17">
        <v>0.5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71</v>
      </c>
      <c r="C34" s="14" t="s">
        <v>72</v>
      </c>
      <c r="D34" s="15" t="s">
        <v>13</v>
      </c>
      <c r="E34" s="16" t="s">
        <v>13</v>
      </c>
      <c r="F34" s="17">
        <v>1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73</v>
      </c>
      <c r="C35" s="14" t="s">
        <v>74</v>
      </c>
      <c r="D35" s="15" t="s">
        <v>13</v>
      </c>
      <c r="E35" s="16" t="s">
        <v>13</v>
      </c>
      <c r="F35" s="17">
        <v>1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75</v>
      </c>
      <c r="C36" s="14" t="s">
        <v>76</v>
      </c>
      <c r="D36" s="15" t="s">
        <v>77</v>
      </c>
      <c r="E36" s="16" t="s">
        <v>77</v>
      </c>
      <c r="F36" s="17">
        <v>0</v>
      </c>
      <c r="G36" s="18"/>
      <c r="H36" s="18"/>
      <c r="I36" s="19" t="e">
        <f t="shared" si="0"/>
        <v>#DIV/0!</v>
      </c>
    </row>
    <row r="37" spans="1:9" ht="15.6" customHeight="1" x14ac:dyDescent="0.25">
      <c r="A37" s="13">
        <v>33</v>
      </c>
      <c r="B37" s="14" t="s">
        <v>78</v>
      </c>
      <c r="C37" s="14" t="s">
        <v>79</v>
      </c>
      <c r="D37" s="15" t="s">
        <v>77</v>
      </c>
      <c r="E37" s="16" t="s">
        <v>77</v>
      </c>
      <c r="F37" s="17">
        <v>2.5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80</v>
      </c>
      <c r="C38" s="14" t="s">
        <v>81</v>
      </c>
      <c r="D38" s="15" t="s">
        <v>13</v>
      </c>
      <c r="E38" s="16" t="s">
        <v>13</v>
      </c>
      <c r="F38" s="17">
        <v>0.5</v>
      </c>
      <c r="G38" s="18"/>
      <c r="H38" s="18"/>
      <c r="I38" s="19">
        <f t="shared" si="0"/>
        <v>0</v>
      </c>
    </row>
    <row r="39" spans="1:9" ht="15.6" customHeight="1" x14ac:dyDescent="0.25">
      <c r="A39" s="13">
        <v>35</v>
      </c>
      <c r="B39" s="14" t="s">
        <v>82</v>
      </c>
      <c r="C39" s="14" t="s">
        <v>83</v>
      </c>
      <c r="D39" s="15" t="s">
        <v>84</v>
      </c>
      <c r="E39" s="16" t="s">
        <v>84</v>
      </c>
      <c r="F39" s="17">
        <v>3</v>
      </c>
      <c r="G39" s="18"/>
      <c r="H39" s="18"/>
      <c r="I39" s="19">
        <f t="shared" si="0"/>
        <v>0</v>
      </c>
    </row>
    <row r="40" spans="1:9" ht="15.6" customHeight="1" x14ac:dyDescent="0.25">
      <c r="A40" s="13">
        <v>36</v>
      </c>
      <c r="B40" s="14" t="s">
        <v>85</v>
      </c>
      <c r="C40" s="14" t="s">
        <v>86</v>
      </c>
      <c r="D40" s="15" t="s">
        <v>87</v>
      </c>
      <c r="E40" s="16" t="s">
        <v>87</v>
      </c>
      <c r="F40" s="17">
        <v>3</v>
      </c>
      <c r="G40" s="18"/>
      <c r="H40" s="18"/>
      <c r="I40" s="19">
        <f t="shared" si="0"/>
        <v>0</v>
      </c>
    </row>
    <row r="41" spans="1:9" ht="15.6" customHeight="1" x14ac:dyDescent="0.25">
      <c r="A41" s="13">
        <v>37</v>
      </c>
      <c r="B41" s="14" t="s">
        <v>88</v>
      </c>
      <c r="C41" s="14" t="s">
        <v>89</v>
      </c>
      <c r="D41" s="15" t="s">
        <v>90</v>
      </c>
      <c r="E41" s="16" t="s">
        <v>90</v>
      </c>
      <c r="F41" s="17">
        <v>1.8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91</v>
      </c>
      <c r="C42" s="14" t="s">
        <v>92</v>
      </c>
      <c r="D42" s="15" t="s">
        <v>93</v>
      </c>
      <c r="E42" s="16" t="s">
        <v>93</v>
      </c>
      <c r="F42" s="17">
        <v>2.6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94</v>
      </c>
      <c r="C43" s="14" t="s">
        <v>95</v>
      </c>
      <c r="D43" s="15" t="s">
        <v>96</v>
      </c>
      <c r="E43" s="16" t="s">
        <v>96</v>
      </c>
      <c r="F43" s="17">
        <v>0</v>
      </c>
      <c r="G43" s="18"/>
      <c r="H43" s="18"/>
      <c r="I43" s="19" t="e">
        <f t="shared" si="0"/>
        <v>#DIV/0!</v>
      </c>
    </row>
    <row r="44" spans="1:9" ht="15.6" customHeight="1" x14ac:dyDescent="0.25">
      <c r="A44" s="13">
        <v>40</v>
      </c>
      <c r="B44" s="14" t="s">
        <v>97</v>
      </c>
      <c r="C44" s="14" t="s">
        <v>98</v>
      </c>
      <c r="D44" s="15" t="s">
        <v>93</v>
      </c>
      <c r="E44" s="16" t="s">
        <v>93</v>
      </c>
      <c r="F44" s="17">
        <v>3.6</v>
      </c>
      <c r="G44" s="18"/>
      <c r="H44" s="18"/>
      <c r="I44" s="19">
        <f t="shared" si="0"/>
        <v>0</v>
      </c>
    </row>
    <row r="45" spans="1:9" ht="15.6" customHeight="1" x14ac:dyDescent="0.25">
      <c r="A45" s="13">
        <v>41</v>
      </c>
      <c r="B45" s="14" t="s">
        <v>99</v>
      </c>
      <c r="C45" s="14" t="s">
        <v>100</v>
      </c>
      <c r="D45" s="15" t="s">
        <v>93</v>
      </c>
      <c r="E45" s="16" t="s">
        <v>93</v>
      </c>
      <c r="F45" s="17">
        <v>0</v>
      </c>
      <c r="G45" s="18"/>
      <c r="H45" s="18"/>
      <c r="I45" s="19" t="e">
        <f t="shared" si="0"/>
        <v>#DIV/0!</v>
      </c>
    </row>
    <row r="46" spans="1:9" ht="15.6" customHeight="1" x14ac:dyDescent="0.25">
      <c r="A46" s="13">
        <v>42</v>
      </c>
      <c r="B46" s="14" t="s">
        <v>101</v>
      </c>
      <c r="C46" s="14" t="s">
        <v>102</v>
      </c>
      <c r="D46" s="15" t="s">
        <v>87</v>
      </c>
      <c r="E46" s="16" t="s">
        <v>87</v>
      </c>
      <c r="F46" s="17">
        <v>0</v>
      </c>
      <c r="G46" s="18"/>
      <c r="H46" s="18"/>
      <c r="I46" s="19" t="e">
        <f t="shared" si="0"/>
        <v>#DIV/0!</v>
      </c>
    </row>
    <row r="47" spans="1:9" ht="15.6" customHeight="1" x14ac:dyDescent="0.25">
      <c r="A47" s="13">
        <v>43</v>
      </c>
      <c r="B47" s="14" t="s">
        <v>103</v>
      </c>
      <c r="C47" s="14" t="s">
        <v>104</v>
      </c>
      <c r="D47" s="15" t="s">
        <v>105</v>
      </c>
      <c r="E47" s="16" t="s">
        <v>105</v>
      </c>
      <c r="F47" s="17">
        <v>0</v>
      </c>
      <c r="G47" s="18"/>
      <c r="H47" s="18"/>
      <c r="I47" s="19" t="e">
        <f t="shared" si="0"/>
        <v>#DIV/0!</v>
      </c>
    </row>
    <row r="48" spans="1:9" ht="15.6" customHeight="1" x14ac:dyDescent="0.25">
      <c r="A48" s="13">
        <v>44</v>
      </c>
      <c r="B48" s="14" t="s">
        <v>106</v>
      </c>
      <c r="C48" s="14" t="s">
        <v>107</v>
      </c>
      <c r="D48" s="15" t="s">
        <v>87</v>
      </c>
      <c r="E48" s="16" t="s">
        <v>87</v>
      </c>
      <c r="F48" s="17">
        <v>0</v>
      </c>
      <c r="G48" s="18"/>
      <c r="H48" s="18"/>
      <c r="I48" s="19" t="e">
        <f t="shared" si="0"/>
        <v>#DIV/0!</v>
      </c>
    </row>
    <row r="49" spans="1:9" ht="15.6" customHeight="1" x14ac:dyDescent="0.25">
      <c r="A49" s="13">
        <v>45</v>
      </c>
      <c r="B49" s="14" t="s">
        <v>108</v>
      </c>
      <c r="C49" s="14" t="s">
        <v>109</v>
      </c>
      <c r="D49" s="15" t="s">
        <v>87</v>
      </c>
      <c r="E49" s="16" t="s">
        <v>87</v>
      </c>
      <c r="F49" s="17">
        <v>0</v>
      </c>
      <c r="G49" s="18"/>
      <c r="H49" s="18"/>
      <c r="I49" s="19" t="e">
        <f t="shared" si="0"/>
        <v>#DIV/0!</v>
      </c>
    </row>
    <row r="50" spans="1:9" ht="15.6" customHeight="1" x14ac:dyDescent="0.25">
      <c r="A50" s="13">
        <v>46</v>
      </c>
      <c r="B50" s="14" t="s">
        <v>110</v>
      </c>
      <c r="C50" s="14" t="s">
        <v>111</v>
      </c>
      <c r="D50" s="15"/>
      <c r="E50" s="16"/>
      <c r="F50" s="17">
        <v>0</v>
      </c>
      <c r="G50" s="18"/>
      <c r="H50" s="18"/>
      <c r="I50" s="19" t="e">
        <f>H50/F50</f>
        <v>#DIV/0!</v>
      </c>
    </row>
    <row r="51" spans="1:9" ht="16.8" customHeight="1" x14ac:dyDescent="0.25">
      <c r="A51" s="5" t="s">
        <v>112</v>
      </c>
      <c r="B51" s="5"/>
      <c r="C51" s="5"/>
      <c r="D51" s="5" t="s">
        <v>113</v>
      </c>
      <c r="E51" s="5"/>
      <c r="F51" s="21">
        <f>SUM(F5:F50)</f>
        <v>182.79999999999995</v>
      </c>
      <c r="G51" s="22"/>
      <c r="H51" s="21">
        <f>SUM(H5:H50)</f>
        <v>0</v>
      </c>
      <c r="I51" s="23">
        <f>H51/F51</f>
        <v>0</v>
      </c>
    </row>
  </sheetData>
  <mergeCells count="54">
    <mergeCell ref="D47:E47"/>
    <mergeCell ref="D48:E48"/>
    <mergeCell ref="D49:E49"/>
    <mergeCell ref="D50:E50"/>
    <mergeCell ref="A51:C51"/>
    <mergeCell ref="D51:E51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0F9C-E846-445D-B8AB-17627C421CD1}">
  <sheetPr codeName="Sheet32"/>
  <dimension ref="A1:I35"/>
  <sheetViews>
    <sheetView topLeftCell="A12" zoomScaleNormal="100" workbookViewId="0">
      <selection activeCell="D36" sqref="D3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84.3</v>
      </c>
      <c r="G5" s="18"/>
      <c r="H5" s="18"/>
      <c r="I5" s="19">
        <f t="shared" ref="I5:I34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3.5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0.5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13</v>
      </c>
      <c r="E8" s="16" t="s">
        <v>13</v>
      </c>
      <c r="F8" s="17">
        <v>3.5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 t="s">
        <v>13</v>
      </c>
      <c r="E9" s="16" t="s">
        <v>13</v>
      </c>
      <c r="F9" s="17">
        <v>0.5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 t="s">
        <v>13</v>
      </c>
      <c r="E10" s="16" t="s">
        <v>13</v>
      </c>
      <c r="F10" s="17">
        <v>1.5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27</v>
      </c>
      <c r="C11" s="14" t="s">
        <v>28</v>
      </c>
      <c r="D11" s="15" t="s">
        <v>13</v>
      </c>
      <c r="E11" s="16" t="s">
        <v>13</v>
      </c>
      <c r="F11" s="17">
        <v>3.7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29</v>
      </c>
      <c r="C12" s="14" t="s">
        <v>30</v>
      </c>
      <c r="D12" s="15" t="s">
        <v>13</v>
      </c>
      <c r="E12" s="16" t="s">
        <v>13</v>
      </c>
      <c r="F12" s="17">
        <v>14.8</v>
      </c>
      <c r="G12" s="17"/>
      <c r="H12" s="17"/>
      <c r="I12" s="19">
        <f t="shared" si="0"/>
        <v>0</v>
      </c>
    </row>
    <row r="13" spans="1:9" ht="15.6" customHeight="1" x14ac:dyDescent="0.25">
      <c r="A13" s="13">
        <v>9</v>
      </c>
      <c r="B13" s="14" t="s">
        <v>31</v>
      </c>
      <c r="C13" s="14" t="s">
        <v>32</v>
      </c>
      <c r="D13" s="15" t="s">
        <v>13</v>
      </c>
      <c r="E13" s="16" t="s">
        <v>13</v>
      </c>
      <c r="F13" s="17">
        <v>3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33</v>
      </c>
      <c r="C14" s="14" t="s">
        <v>34</v>
      </c>
      <c r="D14" s="15" t="s">
        <v>13</v>
      </c>
      <c r="E14" s="16" t="s">
        <v>13</v>
      </c>
      <c r="F14" s="17">
        <v>1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35</v>
      </c>
      <c r="C15" s="14" t="s">
        <v>36</v>
      </c>
      <c r="D15" s="15" t="s">
        <v>13</v>
      </c>
      <c r="E15" s="16" t="s">
        <v>13</v>
      </c>
      <c r="F15" s="17">
        <v>1</v>
      </c>
      <c r="G15" s="17"/>
      <c r="H15" s="17"/>
      <c r="I15" s="19">
        <f t="shared" si="0"/>
        <v>0</v>
      </c>
    </row>
    <row r="16" spans="1:9" ht="15.6" customHeight="1" x14ac:dyDescent="0.25">
      <c r="A16" s="13">
        <v>12</v>
      </c>
      <c r="B16" s="14" t="s">
        <v>37</v>
      </c>
      <c r="C16" s="14" t="s">
        <v>38</v>
      </c>
      <c r="D16" s="15" t="s">
        <v>13</v>
      </c>
      <c r="E16" s="16" t="s">
        <v>13</v>
      </c>
      <c r="F16" s="17">
        <v>0.8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39</v>
      </c>
      <c r="C17" s="14" t="s">
        <v>40</v>
      </c>
      <c r="D17" s="15" t="s">
        <v>13</v>
      </c>
      <c r="E17" s="16" t="s">
        <v>13</v>
      </c>
      <c r="F17" s="17">
        <v>1.2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41</v>
      </c>
      <c r="C18" s="14" t="s">
        <v>42</v>
      </c>
      <c r="D18" s="15" t="s">
        <v>13</v>
      </c>
      <c r="E18" s="16" t="s">
        <v>13</v>
      </c>
      <c r="F18" s="17">
        <v>3.5</v>
      </c>
      <c r="G18" s="17"/>
      <c r="H18" s="17"/>
      <c r="I18" s="19">
        <f t="shared" si="0"/>
        <v>0</v>
      </c>
    </row>
    <row r="19" spans="1:9" ht="15.6" customHeight="1" x14ac:dyDescent="0.25">
      <c r="A19" s="13">
        <v>15</v>
      </c>
      <c r="B19" s="14" t="s">
        <v>43</v>
      </c>
      <c r="C19" s="14" t="s">
        <v>44</v>
      </c>
      <c r="D19" s="15" t="s">
        <v>13</v>
      </c>
      <c r="E19" s="16" t="s">
        <v>13</v>
      </c>
      <c r="F19" s="17">
        <v>1.6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45</v>
      </c>
      <c r="C20" s="14" t="s">
        <v>46</v>
      </c>
      <c r="D20" s="15" t="s">
        <v>13</v>
      </c>
      <c r="E20" s="16" t="s">
        <v>13</v>
      </c>
      <c r="F20" s="20">
        <v>0.6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47</v>
      </c>
      <c r="C21" s="14" t="s">
        <v>48</v>
      </c>
      <c r="D21" s="15" t="s">
        <v>13</v>
      </c>
      <c r="E21" s="16" t="s">
        <v>13</v>
      </c>
      <c r="F21" s="17">
        <v>1.2</v>
      </c>
      <c r="G21" s="17"/>
      <c r="H21" s="17"/>
      <c r="I21" s="19">
        <f t="shared" si="0"/>
        <v>0</v>
      </c>
    </row>
    <row r="22" spans="1:9" ht="15.6" customHeight="1" x14ac:dyDescent="0.25">
      <c r="A22" s="13">
        <v>18</v>
      </c>
      <c r="B22" s="14" t="s">
        <v>49</v>
      </c>
      <c r="C22" s="14" t="s">
        <v>50</v>
      </c>
      <c r="D22" s="15" t="s">
        <v>13</v>
      </c>
      <c r="E22" s="16" t="s">
        <v>13</v>
      </c>
      <c r="F22" s="17">
        <v>0.5</v>
      </c>
      <c r="G22" s="18"/>
      <c r="H22" s="18"/>
      <c r="I22" s="19">
        <f t="shared" si="0"/>
        <v>0</v>
      </c>
    </row>
    <row r="23" spans="1:9" ht="15.6" customHeight="1" x14ac:dyDescent="0.25">
      <c r="A23" s="13">
        <v>19</v>
      </c>
      <c r="B23" s="14" t="s">
        <v>51</v>
      </c>
      <c r="C23" s="14" t="s">
        <v>52</v>
      </c>
      <c r="D23" s="15" t="s">
        <v>13</v>
      </c>
      <c r="E23" s="16" t="s">
        <v>13</v>
      </c>
      <c r="F23" s="17">
        <v>0.5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53</v>
      </c>
      <c r="C24" s="14" t="s">
        <v>54</v>
      </c>
      <c r="D24" s="15" t="s">
        <v>13</v>
      </c>
      <c r="E24" s="16" t="s">
        <v>13</v>
      </c>
      <c r="F24" s="17">
        <v>0.5</v>
      </c>
      <c r="G24" s="17"/>
      <c r="H24" s="17"/>
      <c r="I24" s="19">
        <f t="shared" si="0"/>
        <v>0</v>
      </c>
    </row>
    <row r="25" spans="1:9" ht="15.6" customHeight="1" x14ac:dyDescent="0.25">
      <c r="A25" s="13">
        <v>21</v>
      </c>
      <c r="B25" s="14" t="s">
        <v>55</v>
      </c>
      <c r="C25" s="14" t="s">
        <v>56</v>
      </c>
      <c r="D25" s="15" t="s">
        <v>13</v>
      </c>
      <c r="E25" s="16" t="s">
        <v>13</v>
      </c>
      <c r="F25" s="17">
        <v>0.5</v>
      </c>
      <c r="G25" s="18"/>
      <c r="H25" s="18"/>
      <c r="I25" s="19">
        <f t="shared" si="0"/>
        <v>0</v>
      </c>
    </row>
    <row r="26" spans="1:9" ht="15.6" customHeight="1" x14ac:dyDescent="0.25">
      <c r="A26" s="13">
        <v>22</v>
      </c>
      <c r="B26" s="14" t="s">
        <v>57</v>
      </c>
      <c r="C26" s="14" t="s">
        <v>58</v>
      </c>
      <c r="D26" s="15" t="s">
        <v>13</v>
      </c>
      <c r="E26" s="16" t="s">
        <v>13</v>
      </c>
      <c r="F26" s="17">
        <v>0.5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59</v>
      </c>
      <c r="C27" s="14" t="s">
        <v>60</v>
      </c>
      <c r="D27" s="15" t="s">
        <v>13</v>
      </c>
      <c r="E27" s="16" t="s">
        <v>13</v>
      </c>
      <c r="F27" s="17">
        <v>1.2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61</v>
      </c>
      <c r="C28" s="14" t="s">
        <v>62</v>
      </c>
      <c r="D28" s="15" t="s">
        <v>13</v>
      </c>
      <c r="E28" s="16" t="s">
        <v>13</v>
      </c>
      <c r="F28" s="17">
        <v>0.6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63</v>
      </c>
      <c r="C29" s="14" t="s">
        <v>64</v>
      </c>
      <c r="D29" s="15" t="s">
        <v>13</v>
      </c>
      <c r="E29" s="16" t="s">
        <v>13</v>
      </c>
      <c r="F29" s="17">
        <v>0.4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65</v>
      </c>
      <c r="C30" s="14" t="s">
        <v>66</v>
      </c>
      <c r="D30" s="15" t="s">
        <v>13</v>
      </c>
      <c r="E30" s="16" t="s">
        <v>13</v>
      </c>
      <c r="F30" s="17">
        <v>1.6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67</v>
      </c>
      <c r="C31" s="14" t="s">
        <v>68</v>
      </c>
      <c r="D31" s="15" t="s">
        <v>13</v>
      </c>
      <c r="E31" s="16" t="s">
        <v>13</v>
      </c>
      <c r="F31" s="17">
        <v>1.2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69</v>
      </c>
      <c r="C32" s="14" t="s">
        <v>70</v>
      </c>
      <c r="D32" s="15" t="s">
        <v>13</v>
      </c>
      <c r="E32" s="16" t="s">
        <v>13</v>
      </c>
      <c r="F32" s="17">
        <v>0.5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71</v>
      </c>
      <c r="C33" s="14" t="s">
        <v>72</v>
      </c>
      <c r="D33" s="15" t="s">
        <v>13</v>
      </c>
      <c r="E33" s="16" t="s">
        <v>13</v>
      </c>
      <c r="F33" s="17">
        <v>1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73</v>
      </c>
      <c r="C34" s="14" t="s">
        <v>74</v>
      </c>
      <c r="D34" s="15" t="s">
        <v>13</v>
      </c>
      <c r="E34" s="16" t="s">
        <v>13</v>
      </c>
      <c r="F34" s="17">
        <v>1</v>
      </c>
      <c r="G34" s="18"/>
      <c r="H34" s="18"/>
      <c r="I34" s="19">
        <f t="shared" si="0"/>
        <v>0</v>
      </c>
    </row>
    <row r="35" spans="1:9" ht="16.8" customHeight="1" x14ac:dyDescent="0.25">
      <c r="A35" s="5" t="s">
        <v>112</v>
      </c>
      <c r="B35" s="5"/>
      <c r="C35" s="5"/>
      <c r="D35" s="5" t="s">
        <v>114</v>
      </c>
      <c r="E35" s="5"/>
      <c r="F35" s="21">
        <f>SUM(F5:F34)</f>
        <v>136.19999999999996</v>
      </c>
      <c r="G35" s="22"/>
      <c r="H35" s="21">
        <f>SUM(H5:H34)</f>
        <v>0</v>
      </c>
      <c r="I35" s="23">
        <f>H35/F35</f>
        <v>0</v>
      </c>
    </row>
  </sheetData>
  <mergeCells count="38">
    <mergeCell ref="A35:C35"/>
    <mergeCell ref="D35:E35"/>
    <mergeCell ref="D34:E34"/>
    <mergeCell ref="D28:E28"/>
    <mergeCell ref="D29:E29"/>
    <mergeCell ref="D30:E30"/>
    <mergeCell ref="D31:E31"/>
    <mergeCell ref="D32:E32"/>
    <mergeCell ref="D33:E33"/>
    <mergeCell ref="D22:E22"/>
    <mergeCell ref="D23:E23"/>
    <mergeCell ref="D24:E24"/>
    <mergeCell ref="D25:E25"/>
    <mergeCell ref="D26:E26"/>
    <mergeCell ref="D27:E27"/>
    <mergeCell ref="D16:E16"/>
    <mergeCell ref="D17:E17"/>
    <mergeCell ref="D18:E18"/>
    <mergeCell ref="D19:E19"/>
    <mergeCell ref="D20:E20"/>
    <mergeCell ref="D21:E21"/>
    <mergeCell ref="D11:E11"/>
    <mergeCell ref="D12:E12"/>
    <mergeCell ref="D13:E13"/>
    <mergeCell ref="D14:E14"/>
    <mergeCell ref="D15:E15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CA15-1E7B-4408-B51C-003111C955FC}">
  <sheetPr codeName="Sheet33"/>
  <dimension ref="A1:I19"/>
  <sheetViews>
    <sheetView zoomScaleNormal="100" workbookViewId="0">
      <selection activeCell="D20" sqref="D2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24</v>
      </c>
      <c r="C5" s="14" t="s">
        <v>25</v>
      </c>
      <c r="D5" s="15" t="s">
        <v>26</v>
      </c>
      <c r="E5" s="16" t="s">
        <v>26</v>
      </c>
      <c r="F5" s="17">
        <v>29.6</v>
      </c>
      <c r="G5" s="18"/>
      <c r="H5" s="18"/>
      <c r="I5" s="19">
        <f t="shared" ref="I5:I18" si="0">H5/F5</f>
        <v>0</v>
      </c>
    </row>
    <row r="6" spans="1:9" ht="15.6" customHeight="1" x14ac:dyDescent="0.25">
      <c r="A6" s="13">
        <v>2</v>
      </c>
      <c r="B6" s="14" t="s">
        <v>75</v>
      </c>
      <c r="C6" s="14" t="s">
        <v>76</v>
      </c>
      <c r="D6" s="15" t="s">
        <v>77</v>
      </c>
      <c r="E6" s="16" t="s">
        <v>77</v>
      </c>
      <c r="F6" s="17">
        <v>0</v>
      </c>
      <c r="G6" s="18"/>
      <c r="H6" s="18"/>
      <c r="I6" s="19" t="e">
        <f t="shared" si="0"/>
        <v>#DIV/0!</v>
      </c>
    </row>
    <row r="7" spans="1:9" ht="15.6" customHeight="1" x14ac:dyDescent="0.25">
      <c r="A7" s="13">
        <v>3</v>
      </c>
      <c r="B7" s="14" t="s">
        <v>78</v>
      </c>
      <c r="C7" s="14" t="s">
        <v>79</v>
      </c>
      <c r="D7" s="15" t="s">
        <v>77</v>
      </c>
      <c r="E7" s="16" t="s">
        <v>77</v>
      </c>
      <c r="F7" s="17">
        <v>2.5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82</v>
      </c>
      <c r="C8" s="14" t="s">
        <v>83</v>
      </c>
      <c r="D8" s="15" t="s">
        <v>84</v>
      </c>
      <c r="E8" s="16" t="s">
        <v>84</v>
      </c>
      <c r="F8" s="17">
        <v>3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85</v>
      </c>
      <c r="C9" s="14" t="s">
        <v>86</v>
      </c>
      <c r="D9" s="15" t="s">
        <v>87</v>
      </c>
      <c r="E9" s="16" t="s">
        <v>87</v>
      </c>
      <c r="F9" s="17">
        <v>3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88</v>
      </c>
      <c r="C10" s="14" t="s">
        <v>89</v>
      </c>
      <c r="D10" s="15" t="s">
        <v>90</v>
      </c>
      <c r="E10" s="16" t="s">
        <v>90</v>
      </c>
      <c r="F10" s="17">
        <v>1.8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91</v>
      </c>
      <c r="C11" s="14" t="s">
        <v>92</v>
      </c>
      <c r="D11" s="15" t="s">
        <v>93</v>
      </c>
      <c r="E11" s="16" t="s">
        <v>93</v>
      </c>
      <c r="F11" s="17">
        <v>2.6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94</v>
      </c>
      <c r="C12" s="14" t="s">
        <v>95</v>
      </c>
      <c r="D12" s="15" t="s">
        <v>96</v>
      </c>
      <c r="E12" s="16" t="s">
        <v>96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97</v>
      </c>
      <c r="C13" s="14" t="s">
        <v>98</v>
      </c>
      <c r="D13" s="15" t="s">
        <v>93</v>
      </c>
      <c r="E13" s="16" t="s">
        <v>93</v>
      </c>
      <c r="F13" s="17">
        <v>3.6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99</v>
      </c>
      <c r="C14" s="14" t="s">
        <v>100</v>
      </c>
      <c r="D14" s="15" t="s">
        <v>93</v>
      </c>
      <c r="E14" s="16" t="s">
        <v>93</v>
      </c>
      <c r="F14" s="17">
        <v>0</v>
      </c>
      <c r="G14" s="18"/>
      <c r="H14" s="18"/>
      <c r="I14" s="19" t="e">
        <f t="shared" si="0"/>
        <v>#DIV/0!</v>
      </c>
    </row>
    <row r="15" spans="1:9" ht="15.6" customHeight="1" x14ac:dyDescent="0.25">
      <c r="A15" s="13">
        <v>11</v>
      </c>
      <c r="B15" s="14" t="s">
        <v>101</v>
      </c>
      <c r="C15" s="14" t="s">
        <v>102</v>
      </c>
      <c r="D15" s="15" t="s">
        <v>87</v>
      </c>
      <c r="E15" s="16" t="s">
        <v>87</v>
      </c>
      <c r="F15" s="17">
        <v>0</v>
      </c>
      <c r="G15" s="18"/>
      <c r="H15" s="18"/>
      <c r="I15" s="19" t="e">
        <f t="shared" si="0"/>
        <v>#DIV/0!</v>
      </c>
    </row>
    <row r="16" spans="1:9" ht="15.6" customHeight="1" x14ac:dyDescent="0.25">
      <c r="A16" s="13">
        <v>12</v>
      </c>
      <c r="B16" s="14" t="s">
        <v>103</v>
      </c>
      <c r="C16" s="14" t="s">
        <v>104</v>
      </c>
      <c r="D16" s="15" t="s">
        <v>105</v>
      </c>
      <c r="E16" s="16" t="s">
        <v>105</v>
      </c>
      <c r="F16" s="17">
        <v>0</v>
      </c>
      <c r="G16" s="18"/>
      <c r="H16" s="18"/>
      <c r="I16" s="19" t="e">
        <f t="shared" si="0"/>
        <v>#DIV/0!</v>
      </c>
    </row>
    <row r="17" spans="1:9" ht="15.6" customHeight="1" x14ac:dyDescent="0.25">
      <c r="A17" s="13">
        <v>13</v>
      </c>
      <c r="B17" s="14" t="s">
        <v>106</v>
      </c>
      <c r="C17" s="14" t="s">
        <v>107</v>
      </c>
      <c r="D17" s="15" t="s">
        <v>87</v>
      </c>
      <c r="E17" s="16" t="s">
        <v>87</v>
      </c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108</v>
      </c>
      <c r="C18" s="14" t="s">
        <v>109</v>
      </c>
      <c r="D18" s="15" t="s">
        <v>87</v>
      </c>
      <c r="E18" s="16" t="s">
        <v>87</v>
      </c>
      <c r="F18" s="17">
        <v>0</v>
      </c>
      <c r="G18" s="18"/>
      <c r="H18" s="18"/>
      <c r="I18" s="19" t="e">
        <f t="shared" si="0"/>
        <v>#DIV/0!</v>
      </c>
    </row>
    <row r="19" spans="1:9" ht="16.8" customHeight="1" x14ac:dyDescent="0.25">
      <c r="A19" s="5" t="s">
        <v>112</v>
      </c>
      <c r="B19" s="5"/>
      <c r="C19" s="5"/>
      <c r="D19" s="5" t="s">
        <v>115</v>
      </c>
      <c r="E19" s="5"/>
      <c r="F19" s="21">
        <f>SUM(F5:F18)</f>
        <v>46.1</v>
      </c>
      <c r="G19" s="22"/>
      <c r="H19" s="21">
        <f>SUM(H5:H18)</f>
        <v>0</v>
      </c>
      <c r="I19" s="23">
        <f>H19/F19</f>
        <v>0</v>
      </c>
    </row>
  </sheetData>
  <mergeCells count="22">
    <mergeCell ref="D16:E16"/>
    <mergeCell ref="D17:E17"/>
    <mergeCell ref="D18:E18"/>
    <mergeCell ref="A19:C19"/>
    <mergeCell ref="D19:E19"/>
    <mergeCell ref="D10:E1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D955-BA00-45B8-A926-3F671C101A17}">
  <sheetPr codeName="Sheet34"/>
  <dimension ref="A1:I6"/>
  <sheetViews>
    <sheetView tabSelected="1"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46</v>
      </c>
      <c r="B5" s="14" t="s">
        <v>110</v>
      </c>
      <c r="C5" s="14" t="s">
        <v>111</v>
      </c>
      <c r="D5" s="15"/>
      <c r="E5" s="16"/>
      <c r="F5" s="17">
        <v>0</v>
      </c>
      <c r="G5" s="18"/>
      <c r="H5" s="18"/>
      <c r="I5" s="19" t="e">
        <f>H5/F5</f>
        <v>#DIV/0!</v>
      </c>
    </row>
    <row r="6" spans="1:9" ht="16.8" customHeight="1" x14ac:dyDescent="0.25">
      <c r="A6" s="5" t="s">
        <v>112</v>
      </c>
      <c r="B6" s="5"/>
      <c r="C6" s="5"/>
      <c r="D6" s="5" t="s">
        <v>116</v>
      </c>
      <c r="E6" s="5"/>
      <c r="F6" s="21">
        <f>SUM(F5:F5)</f>
        <v>0</v>
      </c>
      <c r="G6" s="22"/>
      <c r="H6" s="21">
        <f>SUM(H5:H5)</f>
        <v>0</v>
      </c>
      <c r="I6" s="23" t="e">
        <f>H6/F6</f>
        <v>#DIV/0!</v>
      </c>
    </row>
  </sheetData>
  <mergeCells count="9">
    <mergeCell ref="D5:E5"/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Inv__Ujitjes_Maliq</vt:lpstr>
      <vt:lpstr>Rezervuar</vt:lpstr>
      <vt:lpstr>Stacione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2026-10-06T12:57:15Z</dcterms:created>
  <dcterms:modified xsi:type="dcterms:W3CDTF">2026-10-06T12:59:42Z</dcterms:modified>
</cp:coreProperties>
</file>