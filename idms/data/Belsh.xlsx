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28B10E52-52E5-49E9-B470-EBE0382B2173}" xr6:coauthVersionLast="47" xr6:coauthVersionMax="47" xr10:uidLastSave="{00000000-0000-0000-0000-000000000000}"/>
  <bookViews>
    <workbookView xWindow="-28920" yWindow="-1470" windowWidth="29040" windowHeight="15720" xr2:uid="{2B7943EC-8746-4E4A-A46A-9D70774D4776}"/>
  </bookViews>
  <sheets>
    <sheet name="Inv__Ujitjes_ Belsh" sheetId="1" r:id="rId1"/>
    <sheet name="Rezervuar" sheetId="2" r:id="rId2"/>
    <sheet name="Stacion Pompimi" sheetId="4" r:id="rId3"/>
    <sheet name="Liqen &amp; Lume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5" l="1"/>
  <c r="F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H23" i="4"/>
  <c r="F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29" i="5" l="1"/>
  <c r="I23" i="4"/>
  <c r="H15" i="2"/>
  <c r="F15" i="2"/>
  <c r="I14" i="2"/>
  <c r="I13" i="2"/>
  <c r="I12" i="2"/>
  <c r="I11" i="2"/>
  <c r="I10" i="2"/>
  <c r="I9" i="2"/>
  <c r="I8" i="2"/>
  <c r="I7" i="2"/>
  <c r="I6" i="2"/>
  <c r="I5" i="2"/>
  <c r="I40" i="1"/>
  <c r="H40" i="1"/>
  <c r="F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5" i="2" l="1"/>
</calcChain>
</file>

<file path=xl/sharedStrings.xml><?xml version="1.0" encoding="utf-8"?>
<sst xmlns="http://schemas.openxmlformats.org/spreadsheetml/2006/main" count="400" uniqueCount="123">
  <si>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</si>
  <si>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</si>
  <si>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</si>
  <si>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</si>
  <si>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</si>
  <si>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</si>
  <si>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</si>
  <si>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</si>
  <si>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</si>
  <si>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</si>
  <si>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</si>
  <si>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ELU(B) -7</t>
  </si>
  <si>
    <t xml:space="preserve">Rezervuari Trojas </t>
  </si>
  <si>
    <t xml:space="preserve">Rezervuar </t>
  </si>
  <si>
    <t>Trojas</t>
  </si>
  <si>
    <t>ELU(B) -12</t>
  </si>
  <si>
    <t xml:space="preserve">KU.Rezervuar Plevice </t>
  </si>
  <si>
    <t>Rezervuar</t>
  </si>
  <si>
    <t>Plevice</t>
  </si>
  <si>
    <t>ELU(B) - 28</t>
  </si>
  <si>
    <t xml:space="preserve">Kanal ujites  Gjuetise </t>
  </si>
  <si>
    <t>Liqen</t>
  </si>
  <si>
    <t xml:space="preserve">Gjuetise </t>
  </si>
  <si>
    <t>ELU(B) -17</t>
  </si>
  <si>
    <t xml:space="preserve">KU.Rez. Metaj  </t>
  </si>
  <si>
    <t>Metaj</t>
  </si>
  <si>
    <t>ELU(B) - 30</t>
  </si>
  <si>
    <t xml:space="preserve">Kanal ujites Mujillize </t>
  </si>
  <si>
    <t>Mullijze</t>
  </si>
  <si>
    <t>ELU/B - 3</t>
  </si>
  <si>
    <t xml:space="preserve">Kanali ujites Marine </t>
  </si>
  <si>
    <t>Rezervuri</t>
  </si>
  <si>
    <t>Rezervuri Marine</t>
  </si>
  <si>
    <t>ELU/B - 2</t>
  </si>
  <si>
    <t>Kanali Ujites Çestie</t>
  </si>
  <si>
    <t>Cestie</t>
  </si>
  <si>
    <t>ELU(B) -9</t>
  </si>
  <si>
    <t>KU Stp Seferan Nr. 1</t>
  </si>
  <si>
    <t>Seferen</t>
  </si>
  <si>
    <t>ELU(B) -8</t>
  </si>
  <si>
    <t>KU Stp Perroi Zi Nr. 7</t>
  </si>
  <si>
    <t>Perroi I zi</t>
  </si>
  <si>
    <t>ELU(B) -6</t>
  </si>
  <si>
    <t>KU Stp Belesh Nr. 2</t>
  </si>
  <si>
    <t>Belesh</t>
  </si>
  <si>
    <t>ELU(B) -5</t>
  </si>
  <si>
    <t>KU Stp Belesh Nr. 1</t>
  </si>
  <si>
    <t>ELU(B) -24</t>
  </si>
  <si>
    <t>KU Liqeni Cerrage</t>
  </si>
  <si>
    <t>Cerrage</t>
  </si>
  <si>
    <t>ELU(B) -23</t>
  </si>
  <si>
    <t>KU Stp Cerrage</t>
  </si>
  <si>
    <t>ELU(B) -22</t>
  </si>
  <si>
    <t>KU Stp  Dege</t>
  </si>
  <si>
    <t>Deges</t>
  </si>
  <si>
    <t>ELU(B) -21</t>
  </si>
  <si>
    <t>KU Stp Nr.16</t>
  </si>
  <si>
    <t>Fierze</t>
  </si>
  <si>
    <t>ELU(B) -20</t>
  </si>
  <si>
    <t>KU Stp Nr 13</t>
  </si>
  <si>
    <t>Merhojes</t>
  </si>
  <si>
    <t>ELU(B) -19</t>
  </si>
  <si>
    <t>KU Stp  Merhoje  Nr 12</t>
  </si>
  <si>
    <t>ELU(B) -18</t>
  </si>
  <si>
    <t xml:space="preserve">KU Stp Gjaze </t>
  </si>
  <si>
    <t>Gjazes</t>
  </si>
  <si>
    <t>ELU(B) -16</t>
  </si>
  <si>
    <t xml:space="preserve">KU Stp Pajalli </t>
  </si>
  <si>
    <t>Gjaze</t>
  </si>
  <si>
    <t>ELU(B) -15</t>
  </si>
  <si>
    <t xml:space="preserve">KU Stp Paraske Ibez </t>
  </si>
  <si>
    <t>Paraskes</t>
  </si>
  <si>
    <t>ELU(B) -14</t>
  </si>
  <si>
    <t xml:space="preserve">KU Stp Hysgjokaj </t>
  </si>
  <si>
    <t>Rezervuari I Hysgjokaj</t>
  </si>
  <si>
    <t>ELU(B) -13</t>
  </si>
  <si>
    <t xml:space="preserve">KU Stp GJjoI I  Kuq </t>
  </si>
  <si>
    <t>Liqen i Gjoli I Kuq</t>
  </si>
  <si>
    <t>ELU(B) -11</t>
  </si>
  <si>
    <t>KU Stp Seferan Nr.3</t>
  </si>
  <si>
    <t>Seferan</t>
  </si>
  <si>
    <t>ELU(B) -10</t>
  </si>
  <si>
    <t>KU Stp Seferan Nr. 2</t>
  </si>
  <si>
    <t>ELU(B) - 48</t>
  </si>
  <si>
    <t>Kanal ujites Deshiran</t>
  </si>
  <si>
    <t>Lum</t>
  </si>
  <si>
    <t>Derishan</t>
  </si>
  <si>
    <t>ELU(B) - 38</t>
  </si>
  <si>
    <t xml:space="preserve">Kanal ujites Forca Turbull </t>
  </si>
  <si>
    <t>Liqen i Forca Turbull</t>
  </si>
  <si>
    <t>ELU(B) - 37</t>
  </si>
  <si>
    <t xml:space="preserve">Kanal ujites Gjoli I gjate </t>
  </si>
  <si>
    <t>Liqen Gjoli I Gjate</t>
  </si>
  <si>
    <t>ELU(B) - 36</t>
  </si>
  <si>
    <t xml:space="preserve">Kanal ujites Shtith </t>
  </si>
  <si>
    <t>Shtith</t>
  </si>
  <si>
    <t>ELU(B) - 35</t>
  </si>
  <si>
    <t xml:space="preserve">Kanal ujites Forca Paci </t>
  </si>
  <si>
    <t>Liqen Forca e Pacit</t>
  </si>
  <si>
    <t>ELU(B) - 34</t>
  </si>
  <si>
    <t xml:space="preserve">Kanal ujites Xhiglozi </t>
  </si>
  <si>
    <t>Xhigloz</t>
  </si>
  <si>
    <t>ELU(B) - 33</t>
  </si>
  <si>
    <t xml:space="preserve">Kanal ujites Likut </t>
  </si>
  <si>
    <t>Gjol</t>
  </si>
  <si>
    <t>Liku</t>
  </si>
  <si>
    <t>ELU(B) - 32</t>
  </si>
  <si>
    <t xml:space="preserve">KU.Rez.Pularis </t>
  </si>
  <si>
    <t>Pulari</t>
  </si>
  <si>
    <t>ELU(B) - 31</t>
  </si>
  <si>
    <t xml:space="preserve">KU.Rez. Deshiran </t>
  </si>
  <si>
    <t>Deshiran</t>
  </si>
  <si>
    <t>ELU(B) - 26</t>
  </si>
  <si>
    <t xml:space="preserve">KU Stp  Gjoli Prifti  </t>
  </si>
  <si>
    <t>Prift</t>
  </si>
  <si>
    <t>ELU(B) - 25</t>
  </si>
  <si>
    <t xml:space="preserve">KU Stp  Sejmenice  </t>
  </si>
  <si>
    <t>Thane</t>
  </si>
  <si>
    <t>Total</t>
  </si>
  <si>
    <t>35 Skema</t>
  </si>
  <si>
    <t>18 Skema</t>
  </si>
  <si>
    <t>10 Skema</t>
  </si>
  <si>
    <t>24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</si>
</sst>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10" fontId="6" fillId="0" borderId="1" xfId="1" applyNumberFormat="1" applyFont="1" applyBorder="1"/>
    <xf numFmtId="0" fontId="3" fillId="0" borderId="1" xfId="2" applyFont="1" applyBorder="1" applyAlignment="1">
      <alignment horizontal="left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F67AF09-067D-476B-98F1-EB4BDB045DA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53BA-8FEA-41BD-BAE0-9D15C4FA3248}">
  <dimension ref="A1:I40"/>
  <sheetViews>
    <sheetView tabSelected="1" topLeftCell="A4" zoomScaleNormal="100" workbookViewId="0">
      <selection activeCell="C12" sqref="C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5" t="s">
        <v>13</v>
      </c>
      <c r="E5" s="15" t="s">
        <v>14</v>
      </c>
      <c r="F5" s="16">
        <v>4.8</v>
      </c>
      <c r="G5" s="14"/>
      <c r="H5" s="14"/>
      <c r="I5" s="17">
        <f>H5/F5</f>
        <v>0</v>
      </c>
    </row>
    <row r="6" spans="1:9" ht="15.6" customHeight="1" x14ac:dyDescent="0.25">
      <c r="A6" s="13">
        <v>2</v>
      </c>
      <c r="B6" s="14" t="s">
        <v>15</v>
      </c>
      <c r="C6" s="18" t="s">
        <v>16</v>
      </c>
      <c r="D6" s="18" t="s">
        <v>17</v>
      </c>
      <c r="E6" s="18" t="s">
        <v>18</v>
      </c>
      <c r="F6" s="14">
        <v>5.4</v>
      </c>
      <c r="G6" s="14"/>
      <c r="H6" s="14"/>
      <c r="I6" s="17">
        <f t="shared" ref="I6:I40" si="0">H6/F6</f>
        <v>0</v>
      </c>
    </row>
    <row r="7" spans="1:9" ht="15.6" customHeight="1" x14ac:dyDescent="0.25">
      <c r="A7" s="13">
        <v>3</v>
      </c>
      <c r="B7" s="16" t="s">
        <v>19</v>
      </c>
      <c r="C7" s="15" t="s">
        <v>20</v>
      </c>
      <c r="D7" s="15" t="s">
        <v>21</v>
      </c>
      <c r="E7" s="15" t="s">
        <v>22</v>
      </c>
      <c r="F7" s="14">
        <v>0.4</v>
      </c>
      <c r="G7" s="16"/>
      <c r="H7" s="16"/>
      <c r="I7" s="17">
        <f t="shared" si="0"/>
        <v>0</v>
      </c>
    </row>
    <row r="8" spans="1:9" ht="15.6" customHeight="1" x14ac:dyDescent="0.25">
      <c r="A8" s="13">
        <v>4</v>
      </c>
      <c r="B8" s="14" t="s">
        <v>23</v>
      </c>
      <c r="C8" s="15" t="s">
        <v>24</v>
      </c>
      <c r="D8" s="15" t="s">
        <v>17</v>
      </c>
      <c r="E8" s="15" t="s">
        <v>25</v>
      </c>
      <c r="F8" s="16">
        <v>2.6</v>
      </c>
      <c r="G8" s="14"/>
      <c r="H8" s="14"/>
      <c r="I8" s="17">
        <f t="shared" si="0"/>
        <v>0</v>
      </c>
    </row>
    <row r="9" spans="1:9" ht="15.6" customHeight="1" x14ac:dyDescent="0.25">
      <c r="A9" s="13">
        <v>5</v>
      </c>
      <c r="B9" s="14" t="s">
        <v>26</v>
      </c>
      <c r="C9" s="18" t="s">
        <v>27</v>
      </c>
      <c r="D9" s="18" t="s">
        <v>21</v>
      </c>
      <c r="E9" s="18" t="s">
        <v>28</v>
      </c>
      <c r="F9" s="14">
        <v>0.3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6" t="s">
        <v>29</v>
      </c>
      <c r="C10" s="15" t="s">
        <v>30</v>
      </c>
      <c r="D10" s="15" t="s">
        <v>31</v>
      </c>
      <c r="E10" s="15" t="s">
        <v>32</v>
      </c>
      <c r="F10" s="14">
        <v>8.9</v>
      </c>
      <c r="G10" s="16"/>
      <c r="H10" s="16"/>
      <c r="I10" s="17">
        <f t="shared" si="0"/>
        <v>0</v>
      </c>
    </row>
    <row r="11" spans="1:9" ht="15.6" customHeight="1" x14ac:dyDescent="0.25">
      <c r="A11" s="13">
        <v>7</v>
      </c>
      <c r="B11" s="14" t="s">
        <v>33</v>
      </c>
      <c r="C11" s="15" t="s">
        <v>34</v>
      </c>
      <c r="D11" s="15" t="s">
        <v>21</v>
      </c>
      <c r="E11" s="15" t="s">
        <v>35</v>
      </c>
      <c r="F11" s="16">
        <v>19.700000000000003</v>
      </c>
      <c r="G11" s="14"/>
      <c r="H11" s="14"/>
      <c r="I11" s="17">
        <f t="shared" si="0"/>
        <v>0</v>
      </c>
    </row>
    <row r="12" spans="1:9" ht="15.6" customHeight="1" x14ac:dyDescent="0.25">
      <c r="A12" s="13">
        <v>8</v>
      </c>
      <c r="B12" s="14" t="s">
        <v>36</v>
      </c>
      <c r="C12" s="18" t="s">
        <v>37</v>
      </c>
      <c r="D12" s="18" t="s">
        <v>21</v>
      </c>
      <c r="E12" s="18" t="s">
        <v>38</v>
      </c>
      <c r="F12" s="14">
        <v>3.5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4" t="s">
        <v>39</v>
      </c>
      <c r="C13" s="15" t="s">
        <v>40</v>
      </c>
      <c r="D13" s="15" t="s">
        <v>17</v>
      </c>
      <c r="E13" s="15" t="s">
        <v>41</v>
      </c>
      <c r="F13" s="14">
        <v>8</v>
      </c>
      <c r="G13" s="16"/>
      <c r="H13" s="16"/>
      <c r="I13" s="17">
        <f t="shared" si="0"/>
        <v>0</v>
      </c>
    </row>
    <row r="14" spans="1:9" ht="15.6" customHeight="1" x14ac:dyDescent="0.25">
      <c r="A14" s="13">
        <v>10</v>
      </c>
      <c r="B14" s="14" t="s">
        <v>42</v>
      </c>
      <c r="C14" s="18" t="s">
        <v>43</v>
      </c>
      <c r="D14" s="18" t="s">
        <v>21</v>
      </c>
      <c r="E14" s="18" t="s">
        <v>44</v>
      </c>
      <c r="F14" s="16">
        <v>1.7</v>
      </c>
      <c r="G14" s="14"/>
      <c r="H14" s="14"/>
      <c r="I14" s="17">
        <f t="shared" si="0"/>
        <v>0</v>
      </c>
    </row>
    <row r="15" spans="1:9" ht="15.6" customHeight="1" x14ac:dyDescent="0.25">
      <c r="A15" s="13">
        <v>11</v>
      </c>
      <c r="B15" s="16" t="s">
        <v>45</v>
      </c>
      <c r="C15" s="15" t="s">
        <v>46</v>
      </c>
      <c r="D15" s="15" t="s">
        <v>21</v>
      </c>
      <c r="E15" s="15" t="s">
        <v>44</v>
      </c>
      <c r="F15" s="14">
        <v>2.4</v>
      </c>
      <c r="G15" s="14"/>
      <c r="H15" s="14"/>
      <c r="I15" s="17">
        <f t="shared" si="0"/>
        <v>0</v>
      </c>
    </row>
    <row r="16" spans="1:9" ht="15.6" customHeight="1" x14ac:dyDescent="0.25">
      <c r="A16" s="13">
        <v>12</v>
      </c>
      <c r="B16" s="14" t="s">
        <v>47</v>
      </c>
      <c r="C16" s="15" t="s">
        <v>48</v>
      </c>
      <c r="D16" s="15" t="s">
        <v>21</v>
      </c>
      <c r="E16" s="15" t="s">
        <v>49</v>
      </c>
      <c r="F16" s="14">
        <v>11.5</v>
      </c>
      <c r="G16" s="16"/>
      <c r="H16" s="16"/>
      <c r="I16" s="17">
        <f t="shared" si="0"/>
        <v>0</v>
      </c>
    </row>
    <row r="17" spans="1:9" ht="15.6" customHeight="1" x14ac:dyDescent="0.25">
      <c r="A17" s="13">
        <v>13</v>
      </c>
      <c r="B17" s="14" t="s">
        <v>50</v>
      </c>
      <c r="C17" s="18" t="s">
        <v>51</v>
      </c>
      <c r="D17" s="18" t="s">
        <v>21</v>
      </c>
      <c r="E17" s="18" t="s">
        <v>49</v>
      </c>
      <c r="F17" s="16">
        <v>4.92</v>
      </c>
      <c r="G17" s="14"/>
      <c r="H17" s="14"/>
      <c r="I17" s="17">
        <f t="shared" si="0"/>
        <v>0</v>
      </c>
    </row>
    <row r="18" spans="1:9" ht="15.6" customHeight="1" x14ac:dyDescent="0.25">
      <c r="A18" s="13">
        <v>14</v>
      </c>
      <c r="B18" s="16" t="s">
        <v>52</v>
      </c>
      <c r="C18" s="15" t="s">
        <v>53</v>
      </c>
      <c r="D18" s="15" t="s">
        <v>21</v>
      </c>
      <c r="E18" s="15" t="s">
        <v>54</v>
      </c>
      <c r="F18" s="14">
        <v>14</v>
      </c>
      <c r="G18" s="14"/>
      <c r="H18" s="14"/>
      <c r="I18" s="17">
        <f t="shared" si="0"/>
        <v>0</v>
      </c>
    </row>
    <row r="19" spans="1:9" ht="15.6" customHeight="1" x14ac:dyDescent="0.25">
      <c r="A19" s="13">
        <v>15</v>
      </c>
      <c r="B19" s="14" t="s">
        <v>55</v>
      </c>
      <c r="C19" s="15" t="s">
        <v>56</v>
      </c>
      <c r="D19" s="15" t="s">
        <v>21</v>
      </c>
      <c r="E19" s="15" t="s">
        <v>57</v>
      </c>
      <c r="F19" s="14">
        <v>4.66</v>
      </c>
      <c r="G19" s="16"/>
      <c r="H19" s="16"/>
      <c r="I19" s="17">
        <f t="shared" si="0"/>
        <v>0</v>
      </c>
    </row>
    <row r="20" spans="1:9" ht="15.6" customHeight="1" x14ac:dyDescent="0.25">
      <c r="A20" s="13">
        <v>16</v>
      </c>
      <c r="B20" s="14" t="s">
        <v>58</v>
      </c>
      <c r="C20" s="18" t="s">
        <v>59</v>
      </c>
      <c r="D20" s="18" t="s">
        <v>21</v>
      </c>
      <c r="E20" s="18" t="s">
        <v>60</v>
      </c>
      <c r="F20" s="16">
        <v>8.1</v>
      </c>
      <c r="G20" s="14"/>
      <c r="H20" s="14"/>
      <c r="I20" s="17">
        <f t="shared" si="0"/>
        <v>0</v>
      </c>
    </row>
    <row r="21" spans="1:9" ht="15.6" customHeight="1" x14ac:dyDescent="0.25">
      <c r="A21" s="13">
        <v>17</v>
      </c>
      <c r="B21" s="14" t="s">
        <v>61</v>
      </c>
      <c r="C21" s="15" t="s">
        <v>62</v>
      </c>
      <c r="D21" s="15" t="s">
        <v>21</v>
      </c>
      <c r="E21" s="15" t="s">
        <v>60</v>
      </c>
      <c r="F21" s="14">
        <v>3.6</v>
      </c>
      <c r="G21" s="14"/>
      <c r="H21" s="14"/>
      <c r="I21" s="17">
        <f t="shared" si="0"/>
        <v>0</v>
      </c>
    </row>
    <row r="22" spans="1:9" ht="15.6" customHeight="1" x14ac:dyDescent="0.25">
      <c r="A22" s="13">
        <v>18</v>
      </c>
      <c r="B22" s="14" t="s">
        <v>63</v>
      </c>
      <c r="C22" s="18" t="s">
        <v>64</v>
      </c>
      <c r="D22" s="18" t="s">
        <v>21</v>
      </c>
      <c r="E22" s="18" t="s">
        <v>65</v>
      </c>
      <c r="F22" s="14">
        <v>1.82</v>
      </c>
      <c r="G22" s="16"/>
      <c r="H22" s="16"/>
      <c r="I22" s="17">
        <f t="shared" si="0"/>
        <v>0</v>
      </c>
    </row>
    <row r="23" spans="1:9" ht="15.6" customHeight="1" x14ac:dyDescent="0.25">
      <c r="A23" s="13">
        <v>19</v>
      </c>
      <c r="B23" s="16" t="s">
        <v>66</v>
      </c>
      <c r="C23" s="15" t="s">
        <v>67</v>
      </c>
      <c r="D23" s="15" t="s">
        <v>17</v>
      </c>
      <c r="E23" s="15" t="s">
        <v>68</v>
      </c>
      <c r="F23" s="16">
        <v>2.6</v>
      </c>
      <c r="G23" s="14"/>
      <c r="H23" s="14"/>
      <c r="I23" s="17">
        <f t="shared" si="0"/>
        <v>0</v>
      </c>
    </row>
    <row r="24" spans="1:9" ht="15.6" customHeight="1" x14ac:dyDescent="0.25">
      <c r="A24" s="13">
        <v>20</v>
      </c>
      <c r="B24" s="14" t="s">
        <v>69</v>
      </c>
      <c r="C24" s="15" t="s">
        <v>70</v>
      </c>
      <c r="D24" s="15" t="s">
        <v>21</v>
      </c>
      <c r="E24" s="15" t="s">
        <v>71</v>
      </c>
      <c r="F24" s="14">
        <v>0.5</v>
      </c>
      <c r="G24" s="14"/>
      <c r="H24" s="14"/>
      <c r="I24" s="17">
        <f t="shared" si="0"/>
        <v>0</v>
      </c>
    </row>
    <row r="25" spans="1:9" ht="15.6" customHeight="1" x14ac:dyDescent="0.25">
      <c r="A25" s="13">
        <v>21</v>
      </c>
      <c r="B25" s="14" t="s">
        <v>72</v>
      </c>
      <c r="C25" s="18" t="s">
        <v>73</v>
      </c>
      <c r="D25" s="18" t="s">
        <v>17</v>
      </c>
      <c r="E25" s="18" t="s">
        <v>74</v>
      </c>
      <c r="F25" s="14">
        <v>6.6</v>
      </c>
      <c r="G25" s="16"/>
      <c r="H25" s="16"/>
      <c r="I25" s="17">
        <f t="shared" si="0"/>
        <v>0</v>
      </c>
    </row>
    <row r="26" spans="1:9" ht="15.6" customHeight="1" x14ac:dyDescent="0.25">
      <c r="A26" s="13">
        <v>22</v>
      </c>
      <c r="B26" s="16" t="s">
        <v>75</v>
      </c>
      <c r="C26" s="15" t="s">
        <v>76</v>
      </c>
      <c r="D26" s="15" t="s">
        <v>21</v>
      </c>
      <c r="E26" s="15" t="s">
        <v>77</v>
      </c>
      <c r="F26" s="16">
        <v>1.7</v>
      </c>
      <c r="G26" s="14"/>
      <c r="H26" s="14"/>
      <c r="I26" s="17">
        <f t="shared" si="0"/>
        <v>0</v>
      </c>
    </row>
    <row r="27" spans="1:9" ht="15.6" customHeight="1" x14ac:dyDescent="0.25">
      <c r="A27" s="13">
        <v>23</v>
      </c>
      <c r="B27" s="14" t="s">
        <v>78</v>
      </c>
      <c r="C27" s="15" t="s">
        <v>79</v>
      </c>
      <c r="D27" s="15" t="s">
        <v>21</v>
      </c>
      <c r="E27" s="15" t="s">
        <v>80</v>
      </c>
      <c r="F27" s="14">
        <v>5.9</v>
      </c>
      <c r="G27" s="14"/>
      <c r="H27" s="14"/>
      <c r="I27" s="17">
        <f t="shared" si="0"/>
        <v>0</v>
      </c>
    </row>
    <row r="28" spans="1:9" ht="15.6" customHeight="1" x14ac:dyDescent="0.25">
      <c r="A28" s="13">
        <v>24</v>
      </c>
      <c r="B28" s="14" t="s">
        <v>81</v>
      </c>
      <c r="C28" s="18" t="s">
        <v>82</v>
      </c>
      <c r="D28" s="18" t="s">
        <v>21</v>
      </c>
      <c r="E28" s="18" t="s">
        <v>80</v>
      </c>
      <c r="F28" s="14">
        <v>2.2999999999999998</v>
      </c>
      <c r="G28" s="14"/>
      <c r="H28" s="14"/>
      <c r="I28" s="17">
        <f t="shared" si="0"/>
        <v>0</v>
      </c>
    </row>
    <row r="29" spans="1:9" ht="15.6" customHeight="1" x14ac:dyDescent="0.25">
      <c r="A29" s="13">
        <v>25</v>
      </c>
      <c r="B29" s="14" t="s">
        <v>83</v>
      </c>
      <c r="C29" s="15" t="s">
        <v>84</v>
      </c>
      <c r="D29" s="15" t="s">
        <v>85</v>
      </c>
      <c r="E29" s="15" t="s">
        <v>86</v>
      </c>
      <c r="F29" s="16">
        <v>0.8</v>
      </c>
      <c r="G29" s="14"/>
      <c r="H29" s="14"/>
      <c r="I29" s="17">
        <f t="shared" si="0"/>
        <v>0</v>
      </c>
    </row>
    <row r="30" spans="1:9" ht="15.6" customHeight="1" x14ac:dyDescent="0.25">
      <c r="A30" s="13">
        <v>26</v>
      </c>
      <c r="B30" s="14" t="s">
        <v>87</v>
      </c>
      <c r="C30" s="18" t="s">
        <v>88</v>
      </c>
      <c r="D30" s="18" t="s">
        <v>21</v>
      </c>
      <c r="E30" s="18" t="s">
        <v>89</v>
      </c>
      <c r="F30" s="14">
        <v>3.05</v>
      </c>
      <c r="G30" s="14"/>
      <c r="H30" s="14"/>
      <c r="I30" s="17">
        <f t="shared" si="0"/>
        <v>0</v>
      </c>
    </row>
    <row r="31" spans="1:9" ht="15.6" customHeight="1" x14ac:dyDescent="0.25">
      <c r="A31" s="13">
        <v>27</v>
      </c>
      <c r="B31" s="16" t="s">
        <v>90</v>
      </c>
      <c r="C31" s="15" t="s">
        <v>91</v>
      </c>
      <c r="D31" s="15" t="s">
        <v>21</v>
      </c>
      <c r="E31" s="15" t="s">
        <v>92</v>
      </c>
      <c r="F31" s="14">
        <v>0.5</v>
      </c>
      <c r="G31" s="14"/>
      <c r="H31" s="14"/>
      <c r="I31" s="17">
        <f t="shared" si="0"/>
        <v>0</v>
      </c>
    </row>
    <row r="32" spans="1:9" ht="15.6" customHeight="1" x14ac:dyDescent="0.25">
      <c r="A32" s="13">
        <v>28</v>
      </c>
      <c r="B32" s="14" t="s">
        <v>93</v>
      </c>
      <c r="C32" s="15" t="s">
        <v>94</v>
      </c>
      <c r="D32" s="15" t="s">
        <v>21</v>
      </c>
      <c r="E32" s="15" t="s">
        <v>95</v>
      </c>
      <c r="F32" s="16">
        <v>1.5</v>
      </c>
      <c r="G32" s="14"/>
      <c r="H32" s="14"/>
      <c r="I32" s="17">
        <f t="shared" si="0"/>
        <v>0</v>
      </c>
    </row>
    <row r="33" spans="1:9" ht="15.6" customHeight="1" x14ac:dyDescent="0.25">
      <c r="A33" s="13">
        <v>29</v>
      </c>
      <c r="B33" s="14" t="s">
        <v>96</v>
      </c>
      <c r="C33" s="18" t="s">
        <v>97</v>
      </c>
      <c r="D33" s="18" t="s">
        <v>21</v>
      </c>
      <c r="E33" s="18" t="s">
        <v>98</v>
      </c>
      <c r="F33" s="14">
        <v>0.5</v>
      </c>
      <c r="G33" s="14"/>
      <c r="H33" s="14"/>
      <c r="I33" s="17">
        <f t="shared" si="0"/>
        <v>0</v>
      </c>
    </row>
    <row r="34" spans="1:9" ht="15.6" customHeight="1" x14ac:dyDescent="0.25">
      <c r="A34" s="13">
        <v>30</v>
      </c>
      <c r="B34" s="16" t="s">
        <v>99</v>
      </c>
      <c r="C34" s="15" t="s">
        <v>100</v>
      </c>
      <c r="D34" s="15" t="s">
        <v>21</v>
      </c>
      <c r="E34" s="15" t="s">
        <v>101</v>
      </c>
      <c r="F34" s="14">
        <v>0.4</v>
      </c>
      <c r="G34" s="14"/>
      <c r="H34" s="14"/>
      <c r="I34" s="17">
        <f t="shared" si="0"/>
        <v>0</v>
      </c>
    </row>
    <row r="35" spans="1:9" ht="15.6" customHeight="1" x14ac:dyDescent="0.25">
      <c r="A35" s="13">
        <v>31</v>
      </c>
      <c r="B35" s="14" t="s">
        <v>102</v>
      </c>
      <c r="C35" s="15" t="s">
        <v>103</v>
      </c>
      <c r="D35" s="15" t="s">
        <v>104</v>
      </c>
      <c r="E35" s="15" t="s">
        <v>105</v>
      </c>
      <c r="F35" s="16">
        <v>0.6</v>
      </c>
      <c r="G35" s="14"/>
      <c r="H35" s="14"/>
      <c r="I35" s="17">
        <f t="shared" si="0"/>
        <v>0</v>
      </c>
    </row>
    <row r="36" spans="1:9" ht="15.6" customHeight="1" x14ac:dyDescent="0.25">
      <c r="A36" s="13">
        <v>32</v>
      </c>
      <c r="B36" s="14" t="s">
        <v>106</v>
      </c>
      <c r="C36" s="18" t="s">
        <v>107</v>
      </c>
      <c r="D36" s="18" t="s">
        <v>17</v>
      </c>
      <c r="E36" s="18" t="s">
        <v>108</v>
      </c>
      <c r="F36" s="14">
        <v>0.6</v>
      </c>
      <c r="G36" s="14"/>
      <c r="H36" s="14"/>
      <c r="I36" s="17">
        <f t="shared" si="0"/>
        <v>0</v>
      </c>
    </row>
    <row r="37" spans="1:9" ht="15.6" customHeight="1" x14ac:dyDescent="0.25">
      <c r="A37" s="13">
        <v>33</v>
      </c>
      <c r="B37" s="14" t="s">
        <v>109</v>
      </c>
      <c r="C37" s="15" t="s">
        <v>110</v>
      </c>
      <c r="D37" s="15" t="s">
        <v>17</v>
      </c>
      <c r="E37" s="15" t="s">
        <v>111</v>
      </c>
      <c r="F37" s="14">
        <v>1.2</v>
      </c>
      <c r="G37" s="14"/>
      <c r="H37" s="14"/>
      <c r="I37" s="17">
        <f t="shared" si="0"/>
        <v>0</v>
      </c>
    </row>
    <row r="38" spans="1:9" ht="15.6" customHeight="1" x14ac:dyDescent="0.25">
      <c r="A38" s="13">
        <v>34</v>
      </c>
      <c r="B38" s="14" t="s">
        <v>112</v>
      </c>
      <c r="C38" s="18" t="s">
        <v>113</v>
      </c>
      <c r="D38" s="18" t="s">
        <v>17</v>
      </c>
      <c r="E38" s="18" t="s">
        <v>114</v>
      </c>
      <c r="F38" s="16">
        <v>5.0199999999999996</v>
      </c>
      <c r="G38" s="14"/>
      <c r="H38" s="14"/>
      <c r="I38" s="17">
        <f t="shared" si="0"/>
        <v>0</v>
      </c>
    </row>
    <row r="39" spans="1:9" ht="15.6" customHeight="1" x14ac:dyDescent="0.25">
      <c r="A39" s="13">
        <v>35</v>
      </c>
      <c r="B39" s="16" t="s">
        <v>115</v>
      </c>
      <c r="C39" s="15" t="s">
        <v>116</v>
      </c>
      <c r="D39" s="15" t="s">
        <v>17</v>
      </c>
      <c r="E39" s="15" t="s">
        <v>117</v>
      </c>
      <c r="F39" s="14">
        <v>4.87</v>
      </c>
      <c r="G39" s="14"/>
      <c r="H39" s="14"/>
      <c r="I39" s="17">
        <f t="shared" si="0"/>
        <v>0</v>
      </c>
    </row>
    <row r="40" spans="1:9" ht="16.8" customHeight="1" x14ac:dyDescent="0.25">
      <c r="A40" s="5" t="s">
        <v>118</v>
      </c>
      <c r="B40" s="5"/>
      <c r="C40" s="5"/>
      <c r="D40" s="5" t="s">
        <v>119</v>
      </c>
      <c r="E40" s="5"/>
      <c r="F40" s="19">
        <f>SUM(F5:F39)</f>
        <v>144.93999999999997</v>
      </c>
      <c r="G40" s="20"/>
      <c r="H40" s="19">
        <f t="shared" ref="H40" si="1">SUM(H5:H39)</f>
        <v>0</v>
      </c>
      <c r="I40" s="21">
        <f t="shared" si="0"/>
        <v>0</v>
      </c>
    </row>
  </sheetData>
  <mergeCells count="8">
    <mergeCell ref="A40:C40"/>
    <mergeCell ref="D40:E4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9986-6B6B-4E44-874D-8F215E2A59D8}">
  <dimension ref="A1:I15"/>
  <sheetViews>
    <sheetView zoomScaleNormal="100" workbookViewId="0">
      <selection activeCell="D16" sqref="D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5" t="s">
        <v>13</v>
      </c>
      <c r="E5" s="15" t="s">
        <v>14</v>
      </c>
      <c r="F5" s="16">
        <v>4.8</v>
      </c>
      <c r="G5" s="14"/>
      <c r="H5" s="14"/>
      <c r="I5" s="17">
        <f>H5/F5</f>
        <v>0</v>
      </c>
    </row>
    <row r="6" spans="1:9" ht="15.6" customHeight="1" x14ac:dyDescent="0.25">
      <c r="A6" s="13">
        <v>2</v>
      </c>
      <c r="B6" s="14" t="s">
        <v>15</v>
      </c>
      <c r="C6" s="18" t="s">
        <v>16</v>
      </c>
      <c r="D6" s="18" t="s">
        <v>17</v>
      </c>
      <c r="E6" s="18" t="s">
        <v>18</v>
      </c>
      <c r="F6" s="14">
        <v>5.4</v>
      </c>
      <c r="G6" s="14"/>
      <c r="H6" s="14"/>
      <c r="I6" s="17">
        <f t="shared" ref="I6:I15" si="0">H6/F6</f>
        <v>0</v>
      </c>
    </row>
    <row r="7" spans="1:9" ht="15.6" customHeight="1" x14ac:dyDescent="0.25">
      <c r="A7" s="13">
        <v>3</v>
      </c>
      <c r="B7" s="14" t="s">
        <v>23</v>
      </c>
      <c r="C7" s="15" t="s">
        <v>24</v>
      </c>
      <c r="D7" s="15" t="s">
        <v>17</v>
      </c>
      <c r="E7" s="15" t="s">
        <v>25</v>
      </c>
      <c r="F7" s="16">
        <v>2.6</v>
      </c>
      <c r="G7" s="14"/>
      <c r="H7" s="14"/>
      <c r="I7" s="17">
        <f t="shared" si="0"/>
        <v>0</v>
      </c>
    </row>
    <row r="8" spans="1:9" ht="15.6" customHeight="1" x14ac:dyDescent="0.25">
      <c r="A8" s="13">
        <v>4</v>
      </c>
      <c r="B8" s="16" t="s">
        <v>29</v>
      </c>
      <c r="C8" s="15" t="s">
        <v>30</v>
      </c>
      <c r="D8" s="15" t="s">
        <v>17</v>
      </c>
      <c r="E8" s="15" t="s">
        <v>32</v>
      </c>
      <c r="F8" s="14">
        <v>8.9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6" t="s">
        <v>66</v>
      </c>
      <c r="C9" s="15" t="s">
        <v>67</v>
      </c>
      <c r="D9" s="15" t="s">
        <v>17</v>
      </c>
      <c r="E9" s="15" t="s">
        <v>68</v>
      </c>
      <c r="F9" s="16">
        <v>2.6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4" t="s">
        <v>72</v>
      </c>
      <c r="C10" s="18" t="s">
        <v>73</v>
      </c>
      <c r="D10" s="18" t="s">
        <v>17</v>
      </c>
      <c r="E10" s="18" t="s">
        <v>74</v>
      </c>
      <c r="F10" s="14">
        <v>6.6</v>
      </c>
      <c r="G10" s="16"/>
      <c r="H10" s="16"/>
      <c r="I10" s="17">
        <f t="shared" si="0"/>
        <v>0</v>
      </c>
    </row>
    <row r="11" spans="1:9" ht="15.6" customHeight="1" x14ac:dyDescent="0.25">
      <c r="A11" s="13">
        <v>7</v>
      </c>
      <c r="B11" s="14" t="s">
        <v>106</v>
      </c>
      <c r="C11" s="18" t="s">
        <v>107</v>
      </c>
      <c r="D11" s="18" t="s">
        <v>17</v>
      </c>
      <c r="E11" s="18" t="s">
        <v>108</v>
      </c>
      <c r="F11" s="14">
        <v>0.6</v>
      </c>
      <c r="G11" s="14"/>
      <c r="H11" s="14"/>
      <c r="I11" s="17">
        <f t="shared" si="0"/>
        <v>0</v>
      </c>
    </row>
    <row r="12" spans="1:9" ht="15.6" customHeight="1" x14ac:dyDescent="0.25">
      <c r="A12" s="13">
        <v>8</v>
      </c>
      <c r="B12" s="14" t="s">
        <v>109</v>
      </c>
      <c r="C12" s="15" t="s">
        <v>110</v>
      </c>
      <c r="D12" s="15" t="s">
        <v>17</v>
      </c>
      <c r="E12" s="15" t="s">
        <v>111</v>
      </c>
      <c r="F12" s="14">
        <v>1.2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4" t="s">
        <v>112</v>
      </c>
      <c r="C13" s="18" t="s">
        <v>113</v>
      </c>
      <c r="D13" s="18" t="s">
        <v>17</v>
      </c>
      <c r="E13" s="18" t="s">
        <v>114</v>
      </c>
      <c r="F13" s="16">
        <v>5.0199999999999996</v>
      </c>
      <c r="G13" s="14"/>
      <c r="H13" s="14"/>
      <c r="I13" s="17">
        <f t="shared" si="0"/>
        <v>0</v>
      </c>
    </row>
    <row r="14" spans="1:9" ht="15.6" customHeight="1" x14ac:dyDescent="0.25">
      <c r="A14" s="13">
        <v>10</v>
      </c>
      <c r="B14" s="16" t="s">
        <v>115</v>
      </c>
      <c r="C14" s="15" t="s">
        <v>116</v>
      </c>
      <c r="D14" s="15" t="s">
        <v>17</v>
      </c>
      <c r="E14" s="15" t="s">
        <v>117</v>
      </c>
      <c r="F14" s="14">
        <v>4.87</v>
      </c>
      <c r="G14" s="14"/>
      <c r="H14" s="14"/>
      <c r="I14" s="17">
        <f t="shared" si="0"/>
        <v>0</v>
      </c>
    </row>
    <row r="15" spans="1:9" ht="16.8" customHeight="1" x14ac:dyDescent="0.25">
      <c r="A15" s="5" t="s">
        <v>118</v>
      </c>
      <c r="B15" s="5"/>
      <c r="C15" s="5"/>
      <c r="D15" s="5" t="s">
        <v>121</v>
      </c>
      <c r="E15" s="5"/>
      <c r="F15" s="19">
        <f>SUM(F5:F14)</f>
        <v>42.589999999999996</v>
      </c>
      <c r="G15" s="20"/>
      <c r="H15" s="19">
        <f t="shared" ref="H15" si="1">SUM(H5:H14)</f>
        <v>0</v>
      </c>
      <c r="I15" s="21">
        <f t="shared" si="0"/>
        <v>0</v>
      </c>
    </row>
  </sheetData>
  <mergeCells count="8">
    <mergeCell ref="A15:C15"/>
    <mergeCell ref="D15:E1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5108-FA7E-4C01-987F-5059B704FB14}">
  <dimension ref="A1:I23"/>
  <sheetViews>
    <sheetView zoomScaleNormal="100" workbookViewId="0">
      <selection activeCell="C29" sqref="C2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36</v>
      </c>
      <c r="C5" s="18" t="s">
        <v>37</v>
      </c>
      <c r="D5" s="18" t="s">
        <v>21</v>
      </c>
      <c r="E5" s="18" t="s">
        <v>38</v>
      </c>
      <c r="F5" s="14">
        <v>3.5</v>
      </c>
      <c r="G5" s="14"/>
      <c r="H5" s="14"/>
      <c r="I5" s="17">
        <f t="shared" ref="I5:I23" si="0">H5/F5</f>
        <v>0</v>
      </c>
    </row>
    <row r="6" spans="1:9" ht="15.6" customHeight="1" x14ac:dyDescent="0.25">
      <c r="A6" s="13">
        <v>2</v>
      </c>
      <c r="B6" s="14" t="s">
        <v>39</v>
      </c>
      <c r="C6" s="15" t="s">
        <v>40</v>
      </c>
      <c r="D6" s="15" t="s">
        <v>17</v>
      </c>
      <c r="E6" s="15" t="s">
        <v>41</v>
      </c>
      <c r="F6" s="14">
        <v>8</v>
      </c>
      <c r="G6" s="16"/>
      <c r="H6" s="16"/>
      <c r="I6" s="17">
        <f t="shared" si="0"/>
        <v>0</v>
      </c>
    </row>
    <row r="7" spans="1:9" ht="15.6" customHeight="1" x14ac:dyDescent="0.25">
      <c r="A7" s="13">
        <v>3</v>
      </c>
      <c r="B7" s="14" t="s">
        <v>42</v>
      </c>
      <c r="C7" s="18" t="s">
        <v>43</v>
      </c>
      <c r="D7" s="18" t="s">
        <v>21</v>
      </c>
      <c r="E7" s="18" t="s">
        <v>44</v>
      </c>
      <c r="F7" s="16">
        <v>1.7</v>
      </c>
      <c r="G7" s="14"/>
      <c r="H7" s="14"/>
      <c r="I7" s="17">
        <f t="shared" si="0"/>
        <v>0</v>
      </c>
    </row>
    <row r="8" spans="1:9" ht="15.6" customHeight="1" x14ac:dyDescent="0.25">
      <c r="A8" s="13">
        <v>4</v>
      </c>
      <c r="B8" s="16" t="s">
        <v>45</v>
      </c>
      <c r="C8" s="15" t="s">
        <v>46</v>
      </c>
      <c r="D8" s="15" t="s">
        <v>21</v>
      </c>
      <c r="E8" s="15" t="s">
        <v>44</v>
      </c>
      <c r="F8" s="14">
        <v>2.4</v>
      </c>
      <c r="G8" s="14"/>
      <c r="H8" s="14"/>
      <c r="I8" s="17">
        <f t="shared" si="0"/>
        <v>0</v>
      </c>
    </row>
    <row r="9" spans="1:9" ht="15.6" customHeight="1" x14ac:dyDescent="0.25">
      <c r="A9" s="13">
        <v>5</v>
      </c>
      <c r="B9" s="14" t="s">
        <v>50</v>
      </c>
      <c r="C9" s="18" t="s">
        <v>51</v>
      </c>
      <c r="D9" s="18" t="s">
        <v>21</v>
      </c>
      <c r="E9" s="18" t="s">
        <v>49</v>
      </c>
      <c r="F9" s="16">
        <v>4.92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6" t="s">
        <v>52</v>
      </c>
      <c r="C10" s="15" t="s">
        <v>53</v>
      </c>
      <c r="D10" s="15" t="s">
        <v>21</v>
      </c>
      <c r="E10" s="15" t="s">
        <v>54</v>
      </c>
      <c r="F10" s="14">
        <v>14</v>
      </c>
      <c r="G10" s="14"/>
      <c r="H10" s="14"/>
      <c r="I10" s="17">
        <f t="shared" si="0"/>
        <v>0</v>
      </c>
    </row>
    <row r="11" spans="1:9" ht="15.6" customHeight="1" x14ac:dyDescent="0.25">
      <c r="A11" s="13">
        <v>7</v>
      </c>
      <c r="B11" s="14" t="s">
        <v>55</v>
      </c>
      <c r="C11" s="15" t="s">
        <v>56</v>
      </c>
      <c r="D11" s="15" t="s">
        <v>21</v>
      </c>
      <c r="E11" s="15" t="s">
        <v>57</v>
      </c>
      <c r="F11" s="14">
        <v>4.66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58</v>
      </c>
      <c r="C12" s="18" t="s">
        <v>59</v>
      </c>
      <c r="D12" s="18" t="s">
        <v>21</v>
      </c>
      <c r="E12" s="18" t="s">
        <v>60</v>
      </c>
      <c r="F12" s="16">
        <v>8.1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4" t="s">
        <v>61</v>
      </c>
      <c r="C13" s="15" t="s">
        <v>62</v>
      </c>
      <c r="D13" s="15" t="s">
        <v>21</v>
      </c>
      <c r="E13" s="15" t="s">
        <v>60</v>
      </c>
      <c r="F13" s="14">
        <v>3.6</v>
      </c>
      <c r="G13" s="14"/>
      <c r="H13" s="14"/>
      <c r="I13" s="17">
        <f t="shared" si="0"/>
        <v>0</v>
      </c>
    </row>
    <row r="14" spans="1:9" ht="15.6" customHeight="1" x14ac:dyDescent="0.25">
      <c r="A14" s="13">
        <v>10</v>
      </c>
      <c r="B14" s="14" t="s">
        <v>63</v>
      </c>
      <c r="C14" s="18" t="s">
        <v>64</v>
      </c>
      <c r="D14" s="18" t="s">
        <v>21</v>
      </c>
      <c r="E14" s="18" t="s">
        <v>65</v>
      </c>
      <c r="F14" s="14">
        <v>1.82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6" t="s">
        <v>66</v>
      </c>
      <c r="C15" s="15" t="s">
        <v>67</v>
      </c>
      <c r="D15" s="15" t="s">
        <v>17</v>
      </c>
      <c r="E15" s="15" t="s">
        <v>68</v>
      </c>
      <c r="F15" s="16">
        <v>2.6</v>
      </c>
      <c r="G15" s="14"/>
      <c r="H15" s="14"/>
      <c r="I15" s="17">
        <f t="shared" si="0"/>
        <v>0</v>
      </c>
    </row>
    <row r="16" spans="1:9" ht="15.6" customHeight="1" x14ac:dyDescent="0.25">
      <c r="A16" s="13">
        <v>12</v>
      </c>
      <c r="B16" s="14" t="s">
        <v>69</v>
      </c>
      <c r="C16" s="15" t="s">
        <v>70</v>
      </c>
      <c r="D16" s="15" t="s">
        <v>21</v>
      </c>
      <c r="E16" s="15" t="s">
        <v>71</v>
      </c>
      <c r="F16" s="14">
        <v>0.5</v>
      </c>
      <c r="G16" s="14"/>
      <c r="H16" s="14"/>
      <c r="I16" s="17">
        <f t="shared" si="0"/>
        <v>0</v>
      </c>
    </row>
    <row r="17" spans="1:9" ht="15.6" customHeight="1" x14ac:dyDescent="0.25">
      <c r="A17" s="13">
        <v>13</v>
      </c>
      <c r="B17" s="14" t="s">
        <v>72</v>
      </c>
      <c r="C17" s="18" t="s">
        <v>73</v>
      </c>
      <c r="D17" s="18" t="s">
        <v>17</v>
      </c>
      <c r="E17" s="18" t="s">
        <v>74</v>
      </c>
      <c r="F17" s="14">
        <v>6.6</v>
      </c>
      <c r="G17" s="16"/>
      <c r="H17" s="16"/>
      <c r="I17" s="17">
        <f t="shared" si="0"/>
        <v>0</v>
      </c>
    </row>
    <row r="18" spans="1:9" ht="15.6" customHeight="1" x14ac:dyDescent="0.25">
      <c r="A18" s="13">
        <v>14</v>
      </c>
      <c r="B18" s="16" t="s">
        <v>75</v>
      </c>
      <c r="C18" s="15" t="s">
        <v>76</v>
      </c>
      <c r="D18" s="15" t="s">
        <v>21</v>
      </c>
      <c r="E18" s="15" t="s">
        <v>77</v>
      </c>
      <c r="F18" s="16">
        <v>1.7</v>
      </c>
      <c r="G18" s="14"/>
      <c r="H18" s="14"/>
      <c r="I18" s="17">
        <f t="shared" si="0"/>
        <v>0</v>
      </c>
    </row>
    <row r="19" spans="1:9" ht="15.6" customHeight="1" x14ac:dyDescent="0.25">
      <c r="A19" s="13">
        <v>15</v>
      </c>
      <c r="B19" s="14" t="s">
        <v>78</v>
      </c>
      <c r="C19" s="15" t="s">
        <v>79</v>
      </c>
      <c r="D19" s="15" t="s">
        <v>21</v>
      </c>
      <c r="E19" s="15" t="s">
        <v>80</v>
      </c>
      <c r="F19" s="14">
        <v>5.9</v>
      </c>
      <c r="G19" s="14"/>
      <c r="H19" s="14"/>
      <c r="I19" s="17">
        <f t="shared" si="0"/>
        <v>0</v>
      </c>
    </row>
    <row r="20" spans="1:9" ht="15.6" customHeight="1" x14ac:dyDescent="0.25">
      <c r="A20" s="13">
        <v>16</v>
      </c>
      <c r="B20" s="14" t="s">
        <v>81</v>
      </c>
      <c r="C20" s="18" t="s">
        <v>82</v>
      </c>
      <c r="D20" s="18" t="s">
        <v>21</v>
      </c>
      <c r="E20" s="18" t="s">
        <v>80</v>
      </c>
      <c r="F20" s="14">
        <v>2.2999999999999998</v>
      </c>
      <c r="G20" s="14"/>
      <c r="H20" s="14"/>
      <c r="I20" s="17">
        <f t="shared" si="0"/>
        <v>0</v>
      </c>
    </row>
    <row r="21" spans="1:9" ht="15.6" customHeight="1" x14ac:dyDescent="0.25">
      <c r="A21" s="13">
        <v>17</v>
      </c>
      <c r="B21" s="14" t="s">
        <v>112</v>
      </c>
      <c r="C21" s="18" t="s">
        <v>113</v>
      </c>
      <c r="D21" s="18" t="s">
        <v>17</v>
      </c>
      <c r="E21" s="18" t="s">
        <v>114</v>
      </c>
      <c r="F21" s="16">
        <v>5.0199999999999996</v>
      </c>
      <c r="G21" s="14"/>
      <c r="H21" s="14"/>
      <c r="I21" s="17">
        <f t="shared" si="0"/>
        <v>0</v>
      </c>
    </row>
    <row r="22" spans="1:9" ht="15.6" customHeight="1" x14ac:dyDescent="0.25">
      <c r="A22" s="13">
        <v>18</v>
      </c>
      <c r="B22" s="16" t="s">
        <v>115</v>
      </c>
      <c r="C22" s="15" t="s">
        <v>116</v>
      </c>
      <c r="D22" s="15" t="s">
        <v>17</v>
      </c>
      <c r="E22" s="15" t="s">
        <v>117</v>
      </c>
      <c r="F22" s="14">
        <v>4.87</v>
      </c>
      <c r="G22" s="14"/>
      <c r="H22" s="14"/>
      <c r="I22" s="17">
        <f t="shared" si="0"/>
        <v>0</v>
      </c>
    </row>
    <row r="23" spans="1:9" ht="16.8" customHeight="1" x14ac:dyDescent="0.25">
      <c r="A23" s="5" t="s">
        <v>118</v>
      </c>
      <c r="B23" s="5"/>
      <c r="C23" s="5"/>
      <c r="D23" s="5" t="s">
        <v>120</v>
      </c>
      <c r="E23" s="5"/>
      <c r="F23" s="19">
        <f>SUM(F5:F22)</f>
        <v>82.19</v>
      </c>
      <c r="G23" s="20"/>
      <c r="H23" s="19">
        <f>SUM(H5:H22)</f>
        <v>0</v>
      </c>
      <c r="I23" s="21">
        <f t="shared" si="0"/>
        <v>0</v>
      </c>
    </row>
  </sheetData>
  <mergeCells count="8">
    <mergeCell ref="A23:C23"/>
    <mergeCell ref="D23:E23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777B-F48A-4E72-82FC-974C07F5A664}">
  <dimension ref="A1:I29"/>
  <sheetViews>
    <sheetView zoomScaleNormal="100" workbookViewId="0">
      <selection activeCell="D30" sqref="D3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6" t="s">
        <v>19</v>
      </c>
      <c r="C5" s="15" t="s">
        <v>20</v>
      </c>
      <c r="D5" s="15" t="s">
        <v>21</v>
      </c>
      <c r="E5" s="15" t="s">
        <v>22</v>
      </c>
      <c r="F5" s="14">
        <v>0.4</v>
      </c>
      <c r="G5" s="16"/>
      <c r="H5" s="16"/>
      <c r="I5" s="17">
        <f t="shared" ref="I5:I29" si="0">H5/F5</f>
        <v>0</v>
      </c>
    </row>
    <row r="6" spans="1:9" ht="15.6" customHeight="1" x14ac:dyDescent="0.25">
      <c r="A6" s="13">
        <v>2</v>
      </c>
      <c r="B6" s="14" t="s">
        <v>26</v>
      </c>
      <c r="C6" s="18" t="s">
        <v>27</v>
      </c>
      <c r="D6" s="18" t="s">
        <v>21</v>
      </c>
      <c r="E6" s="18" t="s">
        <v>28</v>
      </c>
      <c r="F6" s="14">
        <v>0.3</v>
      </c>
      <c r="G6" s="14"/>
      <c r="H6" s="14"/>
      <c r="I6" s="17">
        <f t="shared" si="0"/>
        <v>0</v>
      </c>
    </row>
    <row r="7" spans="1:9" ht="15.6" customHeight="1" x14ac:dyDescent="0.25">
      <c r="A7" s="13">
        <v>3</v>
      </c>
      <c r="B7" s="14" t="s">
        <v>33</v>
      </c>
      <c r="C7" s="15" t="s">
        <v>34</v>
      </c>
      <c r="D7" s="15" t="s">
        <v>21</v>
      </c>
      <c r="E7" s="15" t="s">
        <v>35</v>
      </c>
      <c r="F7" s="16">
        <v>19.700000000000003</v>
      </c>
      <c r="G7" s="14"/>
      <c r="H7" s="14"/>
      <c r="I7" s="17">
        <f t="shared" si="0"/>
        <v>0</v>
      </c>
    </row>
    <row r="8" spans="1:9" ht="15.6" customHeight="1" x14ac:dyDescent="0.25">
      <c r="A8" s="13">
        <v>4</v>
      </c>
      <c r="B8" s="14" t="s">
        <v>36</v>
      </c>
      <c r="C8" s="18" t="s">
        <v>37</v>
      </c>
      <c r="D8" s="18" t="s">
        <v>21</v>
      </c>
      <c r="E8" s="18" t="s">
        <v>38</v>
      </c>
      <c r="F8" s="14">
        <v>3.5</v>
      </c>
      <c r="G8" s="14"/>
      <c r="H8" s="14"/>
      <c r="I8" s="17">
        <f t="shared" si="0"/>
        <v>0</v>
      </c>
    </row>
    <row r="9" spans="1:9" ht="15.6" customHeight="1" x14ac:dyDescent="0.25">
      <c r="A9" s="13">
        <v>5</v>
      </c>
      <c r="B9" s="14" t="s">
        <v>42</v>
      </c>
      <c r="C9" s="18" t="s">
        <v>43</v>
      </c>
      <c r="D9" s="18" t="s">
        <v>21</v>
      </c>
      <c r="E9" s="18" t="s">
        <v>44</v>
      </c>
      <c r="F9" s="16">
        <v>1.7</v>
      </c>
      <c r="G9" s="14"/>
      <c r="H9" s="14"/>
      <c r="I9" s="17">
        <f t="shared" si="0"/>
        <v>0</v>
      </c>
    </row>
    <row r="10" spans="1:9" ht="15.6" customHeight="1" x14ac:dyDescent="0.25">
      <c r="A10" s="13">
        <v>6</v>
      </c>
      <c r="B10" s="16" t="s">
        <v>45</v>
      </c>
      <c r="C10" s="15" t="s">
        <v>46</v>
      </c>
      <c r="D10" s="15" t="s">
        <v>21</v>
      </c>
      <c r="E10" s="15" t="s">
        <v>44</v>
      </c>
      <c r="F10" s="14">
        <v>2.4</v>
      </c>
      <c r="G10" s="14"/>
      <c r="H10" s="14"/>
      <c r="I10" s="17">
        <f t="shared" si="0"/>
        <v>0</v>
      </c>
    </row>
    <row r="11" spans="1:9" ht="15.6" customHeight="1" x14ac:dyDescent="0.25">
      <c r="A11" s="13">
        <v>7</v>
      </c>
      <c r="B11" s="14" t="s">
        <v>47</v>
      </c>
      <c r="C11" s="15" t="s">
        <v>48</v>
      </c>
      <c r="D11" s="15" t="s">
        <v>21</v>
      </c>
      <c r="E11" s="15" t="s">
        <v>49</v>
      </c>
      <c r="F11" s="14">
        <v>11.5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50</v>
      </c>
      <c r="C12" s="18" t="s">
        <v>51</v>
      </c>
      <c r="D12" s="18" t="s">
        <v>21</v>
      </c>
      <c r="E12" s="18" t="s">
        <v>49</v>
      </c>
      <c r="F12" s="16">
        <v>4.92</v>
      </c>
      <c r="G12" s="14"/>
      <c r="H12" s="14"/>
      <c r="I12" s="17">
        <f t="shared" si="0"/>
        <v>0</v>
      </c>
    </row>
    <row r="13" spans="1:9" ht="15.6" customHeight="1" x14ac:dyDescent="0.25">
      <c r="A13" s="13">
        <v>9</v>
      </c>
      <c r="B13" s="16" t="s">
        <v>52</v>
      </c>
      <c r="C13" s="15" t="s">
        <v>53</v>
      </c>
      <c r="D13" s="15" t="s">
        <v>21</v>
      </c>
      <c r="E13" s="15" t="s">
        <v>54</v>
      </c>
      <c r="F13" s="14">
        <v>14</v>
      </c>
      <c r="G13" s="14"/>
      <c r="H13" s="14"/>
      <c r="I13" s="17">
        <f t="shared" si="0"/>
        <v>0</v>
      </c>
    </row>
    <row r="14" spans="1:9" ht="15.6" customHeight="1" x14ac:dyDescent="0.25">
      <c r="A14" s="13">
        <v>10</v>
      </c>
      <c r="B14" s="14" t="s">
        <v>55</v>
      </c>
      <c r="C14" s="15" t="s">
        <v>56</v>
      </c>
      <c r="D14" s="15" t="s">
        <v>21</v>
      </c>
      <c r="E14" s="15" t="s">
        <v>57</v>
      </c>
      <c r="F14" s="14">
        <v>4.66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4" t="s">
        <v>58</v>
      </c>
      <c r="C15" s="18" t="s">
        <v>59</v>
      </c>
      <c r="D15" s="18" t="s">
        <v>21</v>
      </c>
      <c r="E15" s="18" t="s">
        <v>60</v>
      </c>
      <c r="F15" s="16">
        <v>8.1</v>
      </c>
      <c r="G15" s="14"/>
      <c r="H15" s="14"/>
      <c r="I15" s="17">
        <f t="shared" si="0"/>
        <v>0</v>
      </c>
    </row>
    <row r="16" spans="1:9" ht="15.6" customHeight="1" x14ac:dyDescent="0.25">
      <c r="A16" s="13">
        <v>12</v>
      </c>
      <c r="B16" s="14" t="s">
        <v>61</v>
      </c>
      <c r="C16" s="15" t="s">
        <v>62</v>
      </c>
      <c r="D16" s="15" t="s">
        <v>21</v>
      </c>
      <c r="E16" s="15" t="s">
        <v>60</v>
      </c>
      <c r="F16" s="14">
        <v>3.6</v>
      </c>
      <c r="G16" s="14"/>
      <c r="H16" s="14"/>
      <c r="I16" s="17">
        <f t="shared" si="0"/>
        <v>0</v>
      </c>
    </row>
    <row r="17" spans="1:9" ht="15.6" customHeight="1" x14ac:dyDescent="0.25">
      <c r="A17" s="13">
        <v>13</v>
      </c>
      <c r="B17" s="14" t="s">
        <v>63</v>
      </c>
      <c r="C17" s="18" t="s">
        <v>64</v>
      </c>
      <c r="D17" s="18" t="s">
        <v>21</v>
      </c>
      <c r="E17" s="18" t="s">
        <v>65</v>
      </c>
      <c r="F17" s="14">
        <v>1.82</v>
      </c>
      <c r="G17" s="16"/>
      <c r="H17" s="16"/>
      <c r="I17" s="17">
        <f t="shared" si="0"/>
        <v>0</v>
      </c>
    </row>
    <row r="18" spans="1:9" ht="15.6" customHeight="1" x14ac:dyDescent="0.25">
      <c r="A18" s="13">
        <v>14</v>
      </c>
      <c r="B18" s="14" t="s">
        <v>69</v>
      </c>
      <c r="C18" s="15" t="s">
        <v>70</v>
      </c>
      <c r="D18" s="15" t="s">
        <v>21</v>
      </c>
      <c r="E18" s="15" t="s">
        <v>71</v>
      </c>
      <c r="F18" s="14">
        <v>0.5</v>
      </c>
      <c r="G18" s="14"/>
      <c r="H18" s="14"/>
      <c r="I18" s="17">
        <f t="shared" si="0"/>
        <v>0</v>
      </c>
    </row>
    <row r="19" spans="1:9" ht="15.6" customHeight="1" x14ac:dyDescent="0.25">
      <c r="A19" s="13">
        <v>15</v>
      </c>
      <c r="B19" s="16" t="s">
        <v>75</v>
      </c>
      <c r="C19" s="15" t="s">
        <v>76</v>
      </c>
      <c r="D19" s="15" t="s">
        <v>21</v>
      </c>
      <c r="E19" s="15" t="s">
        <v>77</v>
      </c>
      <c r="F19" s="16">
        <v>1.7</v>
      </c>
      <c r="G19" s="14"/>
      <c r="H19" s="14"/>
      <c r="I19" s="17">
        <f t="shared" si="0"/>
        <v>0</v>
      </c>
    </row>
    <row r="20" spans="1:9" ht="15.6" customHeight="1" x14ac:dyDescent="0.25">
      <c r="A20" s="13">
        <v>16</v>
      </c>
      <c r="B20" s="14" t="s">
        <v>78</v>
      </c>
      <c r="C20" s="15" t="s">
        <v>79</v>
      </c>
      <c r="D20" s="15" t="s">
        <v>21</v>
      </c>
      <c r="E20" s="15" t="s">
        <v>80</v>
      </c>
      <c r="F20" s="14">
        <v>5.9</v>
      </c>
      <c r="G20" s="14"/>
      <c r="H20" s="14"/>
      <c r="I20" s="17">
        <f t="shared" si="0"/>
        <v>0</v>
      </c>
    </row>
    <row r="21" spans="1:9" ht="15.6" customHeight="1" x14ac:dyDescent="0.25">
      <c r="A21" s="13">
        <v>17</v>
      </c>
      <c r="B21" s="14" t="s">
        <v>81</v>
      </c>
      <c r="C21" s="18" t="s">
        <v>82</v>
      </c>
      <c r="D21" s="18" t="s">
        <v>21</v>
      </c>
      <c r="E21" s="18" t="s">
        <v>80</v>
      </c>
      <c r="F21" s="14">
        <v>2.2999999999999998</v>
      </c>
      <c r="G21" s="14"/>
      <c r="H21" s="14"/>
      <c r="I21" s="17">
        <f t="shared" si="0"/>
        <v>0</v>
      </c>
    </row>
    <row r="22" spans="1:9" ht="15.6" customHeight="1" x14ac:dyDescent="0.25">
      <c r="A22" s="13">
        <v>18</v>
      </c>
      <c r="B22" s="14" t="s">
        <v>83</v>
      </c>
      <c r="C22" s="15" t="s">
        <v>84</v>
      </c>
      <c r="D22" s="15" t="s">
        <v>85</v>
      </c>
      <c r="E22" s="15" t="s">
        <v>86</v>
      </c>
      <c r="F22" s="16">
        <v>0.8</v>
      </c>
      <c r="G22" s="14"/>
      <c r="H22" s="14"/>
      <c r="I22" s="17">
        <f t="shared" si="0"/>
        <v>0</v>
      </c>
    </row>
    <row r="23" spans="1:9" ht="15.6" customHeight="1" x14ac:dyDescent="0.25">
      <c r="A23" s="13">
        <v>19</v>
      </c>
      <c r="B23" s="14" t="s">
        <v>87</v>
      </c>
      <c r="C23" s="18" t="s">
        <v>88</v>
      </c>
      <c r="D23" s="18" t="s">
        <v>21</v>
      </c>
      <c r="E23" s="18" t="s">
        <v>89</v>
      </c>
      <c r="F23" s="14">
        <v>3.05</v>
      </c>
      <c r="G23" s="14"/>
      <c r="H23" s="14"/>
      <c r="I23" s="17">
        <f t="shared" si="0"/>
        <v>0</v>
      </c>
    </row>
    <row r="24" spans="1:9" ht="15.6" customHeight="1" x14ac:dyDescent="0.25">
      <c r="A24" s="13">
        <v>20</v>
      </c>
      <c r="B24" s="16" t="s">
        <v>90</v>
      </c>
      <c r="C24" s="15" t="s">
        <v>91</v>
      </c>
      <c r="D24" s="15" t="s">
        <v>21</v>
      </c>
      <c r="E24" s="15" t="s">
        <v>92</v>
      </c>
      <c r="F24" s="14">
        <v>0.5</v>
      </c>
      <c r="G24" s="14"/>
      <c r="H24" s="14"/>
      <c r="I24" s="17">
        <f t="shared" si="0"/>
        <v>0</v>
      </c>
    </row>
    <row r="25" spans="1:9" ht="15.6" customHeight="1" x14ac:dyDescent="0.25">
      <c r="A25" s="13">
        <v>21</v>
      </c>
      <c r="B25" s="14" t="s">
        <v>93</v>
      </c>
      <c r="C25" s="15" t="s">
        <v>94</v>
      </c>
      <c r="D25" s="15" t="s">
        <v>21</v>
      </c>
      <c r="E25" s="15" t="s">
        <v>95</v>
      </c>
      <c r="F25" s="16">
        <v>1.5</v>
      </c>
      <c r="G25" s="14"/>
      <c r="H25" s="14"/>
      <c r="I25" s="17">
        <f t="shared" si="0"/>
        <v>0</v>
      </c>
    </row>
    <row r="26" spans="1:9" ht="15.6" customHeight="1" x14ac:dyDescent="0.25">
      <c r="A26" s="13">
        <v>22</v>
      </c>
      <c r="B26" s="14" t="s">
        <v>96</v>
      </c>
      <c r="C26" s="18" t="s">
        <v>97</v>
      </c>
      <c r="D26" s="18" t="s">
        <v>21</v>
      </c>
      <c r="E26" s="18" t="s">
        <v>98</v>
      </c>
      <c r="F26" s="14">
        <v>0.5</v>
      </c>
      <c r="G26" s="14"/>
      <c r="H26" s="14"/>
      <c r="I26" s="17">
        <f t="shared" si="0"/>
        <v>0</v>
      </c>
    </row>
    <row r="27" spans="1:9" ht="15.6" customHeight="1" x14ac:dyDescent="0.25">
      <c r="A27" s="13">
        <v>23</v>
      </c>
      <c r="B27" s="16" t="s">
        <v>99</v>
      </c>
      <c r="C27" s="15" t="s">
        <v>100</v>
      </c>
      <c r="D27" s="15" t="s">
        <v>21</v>
      </c>
      <c r="E27" s="15" t="s">
        <v>101</v>
      </c>
      <c r="F27" s="14">
        <v>0.4</v>
      </c>
      <c r="G27" s="14"/>
      <c r="H27" s="14"/>
      <c r="I27" s="17">
        <f t="shared" si="0"/>
        <v>0</v>
      </c>
    </row>
    <row r="28" spans="1:9" ht="15.6" customHeight="1" x14ac:dyDescent="0.25">
      <c r="A28" s="13">
        <v>24</v>
      </c>
      <c r="B28" s="14" t="s">
        <v>102</v>
      </c>
      <c r="C28" s="15" t="s">
        <v>103</v>
      </c>
      <c r="D28" s="15" t="s">
        <v>104</v>
      </c>
      <c r="E28" s="15" t="s">
        <v>105</v>
      </c>
      <c r="F28" s="16">
        <v>0.6</v>
      </c>
      <c r="G28" s="14"/>
      <c r="H28" s="14"/>
      <c r="I28" s="17">
        <f t="shared" si="0"/>
        <v>0</v>
      </c>
    </row>
    <row r="29" spans="1:9" ht="16.8" customHeight="1" x14ac:dyDescent="0.25">
      <c r="A29" s="5" t="s">
        <v>118</v>
      </c>
      <c r="B29" s="5"/>
      <c r="C29" s="5"/>
      <c r="D29" s="5" t="s">
        <v>122</v>
      </c>
      <c r="E29" s="5"/>
      <c r="F29" s="19">
        <f>SUM(F5:F28)</f>
        <v>94.34999999999998</v>
      </c>
      <c r="G29" s="20"/>
      <c r="H29" s="19">
        <f>SUM(H5:H28)</f>
        <v>0</v>
      </c>
      <c r="I29" s="21">
        <f t="shared" si="0"/>
        <v>0</v>
      </c>
    </row>
  </sheetData>
  <mergeCells count="8">
    <mergeCell ref="A29:C29"/>
    <mergeCell ref="D29:E2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 Belsh</vt:lpstr>
      <vt:lpstr>Rezervuar</vt:lpstr>
      <vt:lpstr>Stacion Pompimi</vt:lpstr>
      <vt:lpstr>Liqen &amp; 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2026-10-05T12:55:55Z</dcterms:created>
  <dcterms:modified xsi:type="dcterms:W3CDTF">2026-10-05T13:18:04Z</dcterms:modified>
</cp:coreProperties>
</file>