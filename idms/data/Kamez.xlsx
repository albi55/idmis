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C48F6DC1-1611-469C-8A9B-4497D197FAB4}" xr6:coauthVersionLast="47" xr6:coauthVersionMax="47" xr10:uidLastSave="{00000000-0000-0000-0000-000000000000}"/>
  <bookViews>
    <workbookView xWindow="-28920" yWindow="-1470" windowWidth="29040" windowHeight="15720" activeTab="3" xr2:uid="{50BF1023-7DED-4DC8-ADEC-5F47E557C4D9}"/>
  </bookViews>
  <sheets>
    <sheet name="Inv__Ujitjes_Kamez" sheetId="1" r:id="rId1"/>
    <sheet name="Rezervuar" sheetId="2" r:id="rId2"/>
    <sheet name="Stacion Pompimi" sheetId="3" r:id="rId3"/>
    <sheet name="Lume dhe te tjera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4" l="1"/>
  <c r="F9" i="4"/>
  <c r="I8" i="4"/>
  <c r="I7" i="4"/>
  <c r="I6" i="4"/>
  <c r="I5" i="4"/>
  <c r="H9" i="3"/>
  <c r="F9" i="3"/>
  <c r="I8" i="3"/>
  <c r="I7" i="3"/>
  <c r="I6" i="3"/>
  <c r="I5" i="3"/>
  <c r="H8" i="2"/>
  <c r="F8" i="2"/>
  <c r="I7" i="2"/>
  <c r="I6" i="2"/>
  <c r="I5" i="2"/>
  <c r="H16" i="1"/>
  <c r="I16" i="1" s="1"/>
  <c r="F16" i="1"/>
  <c r="I15" i="1"/>
  <c r="I14" i="1"/>
  <c r="I13" i="1"/>
  <c r="I12" i="1"/>
  <c r="I11" i="1"/>
  <c r="I10" i="1"/>
  <c r="I9" i="1"/>
  <c r="I8" i="1"/>
  <c r="I7" i="1"/>
  <c r="I6" i="1"/>
  <c r="I5" i="1"/>
  <c r="I9" i="4" l="1"/>
  <c r="I9" i="3"/>
  <c r="I8" i="2"/>
</calcChain>
</file>

<file path=xl/sharedStrings.xml><?xml version="1.0" encoding="utf-8"?>
<sst xmlns="http://schemas.openxmlformats.org/spreadsheetml/2006/main" count="140" uniqueCount="38">
  <si>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</si>
  <si>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</si>
  <si>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</si>
  <si>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</si>
  <si>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</si>
  <si>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</si>
  <si>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</si>
  <si>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</si>
  <si>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</si>
  <si>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</si>
  <si>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</si>
  <si>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TRU - 1-2</t>
  </si>
  <si>
    <t>Rez Cerkeze</t>
  </si>
  <si>
    <t>TRU - 1-3</t>
  </si>
  <si>
    <t>Rez Tapize</t>
  </si>
  <si>
    <t>TRU - 1-6</t>
  </si>
  <si>
    <t>STP Paskuqan 1</t>
  </si>
  <si>
    <t>TRU - 1-7</t>
  </si>
  <si>
    <t>STP Cerkeze</t>
  </si>
  <si>
    <t>TRU - 1-8</t>
  </si>
  <si>
    <t>Stp Tapiza 2</t>
  </si>
  <si>
    <t>TRU - 1-13</t>
  </si>
  <si>
    <t>Ku 2/1 Kamez</t>
  </si>
  <si>
    <t>TRU - 1-14</t>
  </si>
  <si>
    <t>Ku 2/2 Kamez</t>
  </si>
  <si>
    <t>TRU - 1-15</t>
  </si>
  <si>
    <t>Ku 2/3 Kamez</t>
  </si>
  <si>
    <t>TRU - 1-16</t>
  </si>
  <si>
    <t>Ku 2/6</t>
  </si>
  <si>
    <t>TRU - 6-1</t>
  </si>
  <si>
    <t>Rez. Paskuqan</t>
  </si>
  <si>
    <t>TRU - 13</t>
  </si>
  <si>
    <t>Laknas</t>
  </si>
  <si>
    <t>Stp</t>
  </si>
  <si>
    <t>Total</t>
  </si>
  <si>
    <t>11 Skema</t>
  </si>
  <si>
    <t>3 Skema</t>
  </si>
  <si>
    <t>4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</si>
</sst>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314BBEEC-79BE-423F-917C-B31CCBB8B760}"/>
    <cellStyle name="Percent 3" xfId="2" xr:uid="{496B4771-9BBE-4F1A-A12A-A5C0D50222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011A-FA4A-4E17-AD38-B46A16232C97}">
  <dimension ref="A1:I16"/>
  <sheetViews>
    <sheetView zoomScaleNormal="100" workbookViewId="0">
      <selection activeCell="J31" sqref="J3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12</v>
      </c>
      <c r="E5" s="16" t="s">
        <v>12</v>
      </c>
      <c r="F5" s="17">
        <v>14.2</v>
      </c>
      <c r="G5" s="18"/>
      <c r="H5" s="18"/>
      <c r="I5" s="19">
        <f t="shared" ref="I5:I16" si="0">H5/F5</f>
        <v>0</v>
      </c>
    </row>
    <row r="6" spans="1:9" ht="15.6" customHeight="1" x14ac:dyDescent="0.25">
      <c r="A6" s="13">
        <v>2</v>
      </c>
      <c r="B6" s="14" t="s">
        <v>13</v>
      </c>
      <c r="C6" s="14" t="s">
        <v>14</v>
      </c>
      <c r="D6" s="15" t="s">
        <v>14</v>
      </c>
      <c r="E6" s="16" t="s">
        <v>14</v>
      </c>
      <c r="F6" s="17">
        <v>11.5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15</v>
      </c>
      <c r="C7" s="14" t="s">
        <v>16</v>
      </c>
      <c r="D7" s="15" t="s">
        <v>16</v>
      </c>
      <c r="E7" s="16" t="s">
        <v>16</v>
      </c>
      <c r="F7" s="17">
        <v>0</v>
      </c>
      <c r="G7" s="17"/>
      <c r="H7" s="17"/>
      <c r="I7" s="19" t="e">
        <f t="shared" si="0"/>
        <v>#DIV/0!</v>
      </c>
    </row>
    <row r="8" spans="1:9" ht="15.6" customHeight="1" x14ac:dyDescent="0.25">
      <c r="A8" s="13">
        <v>4</v>
      </c>
      <c r="B8" s="14" t="s">
        <v>17</v>
      </c>
      <c r="C8" s="14" t="s">
        <v>18</v>
      </c>
      <c r="D8" s="15" t="s">
        <v>18</v>
      </c>
      <c r="E8" s="16" t="s">
        <v>18</v>
      </c>
      <c r="F8" s="17">
        <v>5.5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19</v>
      </c>
      <c r="C9" s="14" t="s">
        <v>20</v>
      </c>
      <c r="D9" s="15" t="s">
        <v>20</v>
      </c>
      <c r="E9" s="16" t="s">
        <v>20</v>
      </c>
      <c r="F9" s="17">
        <v>0</v>
      </c>
      <c r="G9" s="18"/>
      <c r="H9" s="18"/>
      <c r="I9" s="19" t="e">
        <f t="shared" si="0"/>
        <v>#DIV/0!</v>
      </c>
    </row>
    <row r="10" spans="1:9" ht="15.6" customHeight="1" x14ac:dyDescent="0.25">
      <c r="A10" s="13">
        <v>6</v>
      </c>
      <c r="B10" s="14" t="s">
        <v>21</v>
      </c>
      <c r="C10" s="14" t="s">
        <v>22</v>
      </c>
      <c r="D10" s="15" t="s">
        <v>22</v>
      </c>
      <c r="E10" s="16" t="s">
        <v>22</v>
      </c>
      <c r="F10" s="17">
        <v>2.4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23</v>
      </c>
      <c r="C11" s="14" t="s">
        <v>24</v>
      </c>
      <c r="D11" s="15" t="s">
        <v>24</v>
      </c>
      <c r="E11" s="16" t="s">
        <v>24</v>
      </c>
      <c r="F11" s="17">
        <v>3.7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25</v>
      </c>
      <c r="C12" s="14" t="s">
        <v>26</v>
      </c>
      <c r="D12" s="15" t="s">
        <v>26</v>
      </c>
      <c r="E12" s="16" t="s">
        <v>26</v>
      </c>
      <c r="F12" s="17">
        <v>1.8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27</v>
      </c>
      <c r="C13" s="14" t="s">
        <v>28</v>
      </c>
      <c r="D13" s="15" t="s">
        <v>28</v>
      </c>
      <c r="E13" s="16" t="s">
        <v>28</v>
      </c>
      <c r="F13" s="17">
        <v>2.2000000000000002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29</v>
      </c>
      <c r="C14" s="14" t="s">
        <v>30</v>
      </c>
      <c r="D14" s="15" t="s">
        <v>30</v>
      </c>
      <c r="E14" s="16" t="s">
        <v>30</v>
      </c>
      <c r="F14" s="17">
        <v>6.7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31</v>
      </c>
      <c r="C15" s="14" t="s">
        <v>32</v>
      </c>
      <c r="D15" s="15" t="s">
        <v>33</v>
      </c>
      <c r="E15" s="16" t="s">
        <v>33</v>
      </c>
      <c r="F15" s="17">
        <v>0</v>
      </c>
      <c r="G15" s="18"/>
      <c r="H15" s="18"/>
      <c r="I15" s="19" t="e">
        <f t="shared" si="0"/>
        <v>#DIV/0!</v>
      </c>
    </row>
    <row r="16" spans="1:9" ht="16.8" customHeight="1" x14ac:dyDescent="0.25">
      <c r="A16" s="5" t="s">
        <v>34</v>
      </c>
      <c r="B16" s="5"/>
      <c r="C16" s="5"/>
      <c r="D16" s="5" t="s">
        <v>35</v>
      </c>
      <c r="E16" s="5"/>
      <c r="F16" s="20">
        <f>SUM(F5:F15)</f>
        <v>48.000000000000007</v>
      </c>
      <c r="G16" s="21"/>
      <c r="H16" s="20">
        <f>SUM(H5:H15)</f>
        <v>0</v>
      </c>
      <c r="I16" s="22">
        <f t="shared" si="0"/>
        <v>0</v>
      </c>
    </row>
  </sheetData>
  <mergeCells count="19">
    <mergeCell ref="D11:E11"/>
    <mergeCell ref="D12:E12"/>
    <mergeCell ref="D13:E13"/>
    <mergeCell ref="D14:E14"/>
    <mergeCell ref="D15:E15"/>
    <mergeCell ref="A16:C16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A197-0810-49B2-8D58-99C07FDA788F}">
  <dimension ref="A1:I8"/>
  <sheetViews>
    <sheetView zoomScaleNormal="100" workbookViewId="0">
      <selection activeCell="D9" sqref="D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12</v>
      </c>
      <c r="E5" s="16" t="s">
        <v>12</v>
      </c>
      <c r="F5" s="17">
        <v>14.2</v>
      </c>
      <c r="G5" s="18"/>
      <c r="H5" s="18"/>
      <c r="I5" s="19">
        <f t="shared" ref="I5:I8" si="0">H5/F5</f>
        <v>0</v>
      </c>
    </row>
    <row r="6" spans="1:9" ht="15.6" customHeight="1" x14ac:dyDescent="0.25">
      <c r="A6" s="13">
        <v>2</v>
      </c>
      <c r="B6" s="14" t="s">
        <v>13</v>
      </c>
      <c r="C6" s="14" t="s">
        <v>14</v>
      </c>
      <c r="D6" s="15" t="s">
        <v>14</v>
      </c>
      <c r="E6" s="16" t="s">
        <v>14</v>
      </c>
      <c r="F6" s="17">
        <v>11.5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29</v>
      </c>
      <c r="C7" s="14" t="s">
        <v>30</v>
      </c>
      <c r="D7" s="15" t="s">
        <v>30</v>
      </c>
      <c r="E7" s="16" t="s">
        <v>30</v>
      </c>
      <c r="F7" s="17">
        <v>6.7</v>
      </c>
      <c r="G7" s="18"/>
      <c r="H7" s="18"/>
      <c r="I7" s="19">
        <f t="shared" si="0"/>
        <v>0</v>
      </c>
    </row>
    <row r="8" spans="1:9" ht="16.8" customHeight="1" x14ac:dyDescent="0.25">
      <c r="A8" s="5" t="s">
        <v>34</v>
      </c>
      <c r="B8" s="5"/>
      <c r="C8" s="5"/>
      <c r="D8" s="5" t="s">
        <v>36</v>
      </c>
      <c r="E8" s="5"/>
      <c r="F8" s="20">
        <f>SUM(F5:F7)</f>
        <v>32.4</v>
      </c>
      <c r="G8" s="21"/>
      <c r="H8" s="20">
        <f>SUM(H5:H7)</f>
        <v>0</v>
      </c>
      <c r="I8" s="22">
        <f t="shared" si="0"/>
        <v>0</v>
      </c>
    </row>
  </sheetData>
  <mergeCells count="11">
    <mergeCell ref="D7:E7"/>
    <mergeCell ref="A8:C8"/>
    <mergeCell ref="D8:E8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08197-B612-4C70-BB35-11845CE0B4D5}">
  <dimension ref="A1:I9"/>
  <sheetViews>
    <sheetView zoomScaleNormal="100" workbookViewId="0">
      <selection activeCell="D10" sqref="D1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15</v>
      </c>
      <c r="C5" s="14" t="s">
        <v>16</v>
      </c>
      <c r="D5" s="15" t="s">
        <v>16</v>
      </c>
      <c r="E5" s="16" t="s">
        <v>16</v>
      </c>
      <c r="F5" s="17">
        <v>0</v>
      </c>
      <c r="G5" s="17"/>
      <c r="H5" s="17"/>
      <c r="I5" s="19" t="e">
        <f t="shared" ref="I5:I9" si="0">H5/F5</f>
        <v>#DIV/0!</v>
      </c>
    </row>
    <row r="6" spans="1:9" ht="15.6" customHeight="1" x14ac:dyDescent="0.25">
      <c r="A6" s="13">
        <v>2</v>
      </c>
      <c r="B6" s="14" t="s">
        <v>17</v>
      </c>
      <c r="C6" s="14" t="s">
        <v>18</v>
      </c>
      <c r="D6" s="15" t="s">
        <v>18</v>
      </c>
      <c r="E6" s="16" t="s">
        <v>18</v>
      </c>
      <c r="F6" s="17">
        <v>5.5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19</v>
      </c>
      <c r="C7" s="14" t="s">
        <v>20</v>
      </c>
      <c r="D7" s="15" t="s">
        <v>20</v>
      </c>
      <c r="E7" s="16" t="s">
        <v>20</v>
      </c>
      <c r="F7" s="17">
        <v>0</v>
      </c>
      <c r="G7" s="18"/>
      <c r="H7" s="18"/>
      <c r="I7" s="19" t="e">
        <f t="shared" si="0"/>
        <v>#DIV/0!</v>
      </c>
    </row>
    <row r="8" spans="1:9" ht="15.6" customHeight="1" x14ac:dyDescent="0.25">
      <c r="A8" s="13">
        <v>4</v>
      </c>
      <c r="B8" s="14" t="s">
        <v>31</v>
      </c>
      <c r="C8" s="14" t="s">
        <v>32</v>
      </c>
      <c r="D8" s="15" t="s">
        <v>33</v>
      </c>
      <c r="E8" s="16" t="s">
        <v>33</v>
      </c>
      <c r="F8" s="17">
        <v>0</v>
      </c>
      <c r="G8" s="18"/>
      <c r="H8" s="18"/>
      <c r="I8" s="19" t="e">
        <f t="shared" si="0"/>
        <v>#DIV/0!</v>
      </c>
    </row>
    <row r="9" spans="1:9" ht="16.8" customHeight="1" x14ac:dyDescent="0.25">
      <c r="A9" s="5" t="s">
        <v>34</v>
      </c>
      <c r="B9" s="5"/>
      <c r="C9" s="5"/>
      <c r="D9" s="5" t="s">
        <v>37</v>
      </c>
      <c r="E9" s="5"/>
      <c r="F9" s="20">
        <f>SUM(F5:F8)</f>
        <v>5.5</v>
      </c>
      <c r="G9" s="21"/>
      <c r="H9" s="20">
        <f>SUM(H5:H8)</f>
        <v>0</v>
      </c>
      <c r="I9" s="22">
        <f t="shared" si="0"/>
        <v>0</v>
      </c>
    </row>
  </sheetData>
  <mergeCells count="12">
    <mergeCell ref="D8:E8"/>
    <mergeCell ref="A9:C9"/>
    <mergeCell ref="D9:E9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6876-1ED5-49C4-BFB4-279E890E7D9D}">
  <dimension ref="A1:I9"/>
  <sheetViews>
    <sheetView tabSelected="1" zoomScaleNormal="100" workbookViewId="0">
      <selection activeCell="D10" sqref="D1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21</v>
      </c>
      <c r="C5" s="14" t="s">
        <v>22</v>
      </c>
      <c r="D5" s="15" t="s">
        <v>22</v>
      </c>
      <c r="E5" s="16" t="s">
        <v>22</v>
      </c>
      <c r="F5" s="17">
        <v>2.4</v>
      </c>
      <c r="G5" s="17"/>
      <c r="H5" s="17"/>
      <c r="I5" s="19">
        <f t="shared" ref="I5:I9" si="0">H5/F5</f>
        <v>0</v>
      </c>
    </row>
    <row r="6" spans="1:9" ht="15.6" customHeight="1" x14ac:dyDescent="0.25">
      <c r="A6" s="13">
        <v>2</v>
      </c>
      <c r="B6" s="14" t="s">
        <v>23</v>
      </c>
      <c r="C6" s="14" t="s">
        <v>24</v>
      </c>
      <c r="D6" s="15" t="s">
        <v>24</v>
      </c>
      <c r="E6" s="16" t="s">
        <v>24</v>
      </c>
      <c r="F6" s="17">
        <v>3.7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25</v>
      </c>
      <c r="C7" s="14" t="s">
        <v>26</v>
      </c>
      <c r="D7" s="15" t="s">
        <v>26</v>
      </c>
      <c r="E7" s="16" t="s">
        <v>26</v>
      </c>
      <c r="F7" s="17">
        <v>1.8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27</v>
      </c>
      <c r="C8" s="14" t="s">
        <v>28</v>
      </c>
      <c r="D8" s="15" t="s">
        <v>28</v>
      </c>
      <c r="E8" s="16" t="s">
        <v>28</v>
      </c>
      <c r="F8" s="17">
        <v>2.2000000000000002</v>
      </c>
      <c r="G8" s="17"/>
      <c r="H8" s="17"/>
      <c r="I8" s="19">
        <f t="shared" si="0"/>
        <v>0</v>
      </c>
    </row>
    <row r="9" spans="1:9" ht="16.8" customHeight="1" x14ac:dyDescent="0.25">
      <c r="A9" s="5" t="s">
        <v>34</v>
      </c>
      <c r="B9" s="5"/>
      <c r="C9" s="5"/>
      <c r="D9" s="5" t="s">
        <v>37</v>
      </c>
      <c r="E9" s="5"/>
      <c r="F9" s="20">
        <f>SUM(F5:F8)</f>
        <v>10.1</v>
      </c>
      <c r="G9" s="21"/>
      <c r="H9" s="20">
        <f>SUM(H5:H8)</f>
        <v>0</v>
      </c>
      <c r="I9" s="22">
        <f t="shared" si="0"/>
        <v>0</v>
      </c>
    </row>
  </sheetData>
  <mergeCells count="12">
    <mergeCell ref="D6:E6"/>
    <mergeCell ref="D7:E7"/>
    <mergeCell ref="D8:E8"/>
    <mergeCell ref="A9:C9"/>
    <mergeCell ref="D9:E9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Inv__Ujitjes_Kamez</vt:lpstr>
      <vt:lpstr>Rezervuar</vt:lpstr>
      <vt:lpstr>Stacion Pompimi</vt:lpstr>
      <vt:lpstr>Lume dhe te tjera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2026-10-07T10:56:40Z</dcterms:created>
  <dcterms:modified xsi:type="dcterms:W3CDTF">2026-10-07T10:59:58Z</dcterms:modified>
</cp:coreProperties>
</file>