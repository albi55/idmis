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2C2F484-7B5D-46D0-BB5C-F2B474266717}" xr6:coauthVersionLast="47" xr6:coauthVersionMax="47" xr10:uidLastSave="{00000000-0000-0000-0000-000000000000}"/>
  <bookViews>
    <workbookView xWindow="-28920" yWindow="-1470" windowWidth="29040" windowHeight="15720" activeTab="4" xr2:uid="{DADFE8F6-41C8-4298-96C3-4769D00E420D}"/>
  </bookViews>
  <sheets>
    <sheet name="Inv__Ujitjes_Konispol" sheetId="1" r:id="rId1"/>
    <sheet name="Rezervuar" sheetId="2" r:id="rId2"/>
    <sheet name="Stacion Pompimi" sheetId="3" r:id="rId3"/>
    <sheet name="Lu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I7" i="5" s="1"/>
  <c r="F7" i="5"/>
  <c r="I6" i="5"/>
  <c r="H6" i="4"/>
  <c r="F6" i="4"/>
  <c r="I6" i="4" s="1"/>
  <c r="I5" i="4"/>
  <c r="H7" i="3"/>
  <c r="F7" i="3"/>
  <c r="I6" i="3"/>
  <c r="I5" i="3"/>
  <c r="H6" i="2"/>
  <c r="F6" i="2"/>
  <c r="I5" i="2"/>
  <c r="H16" i="1"/>
  <c r="I16" i="1" s="1"/>
  <c r="F16" i="1"/>
  <c r="I15" i="1"/>
  <c r="H9" i="1"/>
  <c r="I9" i="1" s="1"/>
  <c r="F9" i="1"/>
  <c r="I8" i="1"/>
  <c r="I7" i="1"/>
  <c r="I6" i="1"/>
  <c r="I5" i="1"/>
  <c r="I7" i="3" l="1"/>
  <c r="I6" i="2"/>
</calcChain>
</file>

<file path=xl/sharedStrings.xml><?xml version="1.0" encoding="utf-8"?>
<sst xmlns="http://schemas.openxmlformats.org/spreadsheetml/2006/main" count="118" uniqueCount="32">
  <si>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</si>
  <si>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</si>
  <si>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</si>
  <si>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</si>
  <si>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</si>
  <si>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</si>
  <si>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</si>
  <si>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</si>
  <si>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</si>
  <si>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</si>
  <si>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</si>
  <si>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SRU - 2</t>
  </si>
  <si>
    <t>Bezhani</t>
  </si>
  <si>
    <t>Lume Pavlla</t>
  </si>
  <si>
    <t>SRU - 12</t>
  </si>
  <si>
    <t>Verves Reservoir</t>
  </si>
  <si>
    <t xml:space="preserve">Rezervuar  </t>
  </si>
  <si>
    <t>SRU - 15</t>
  </si>
  <si>
    <t>Ciflik stacion pompimi 1 &amp; 2</t>
  </si>
  <si>
    <t>Stp.</t>
  </si>
  <si>
    <t>SRU - 16</t>
  </si>
  <si>
    <t>Shkalle stacion pompimi</t>
  </si>
  <si>
    <t>Stp</t>
  </si>
  <si>
    <t>Total</t>
  </si>
  <si>
    <t>4 Skema</t>
  </si>
  <si>
    <t>Skema të pjesërisht të transferuara</t>
  </si>
  <si>
    <t>Vetëm Kanale të Dyta në Km</t>
  </si>
  <si>
    <t>SRU - 1</t>
  </si>
  <si>
    <t>Janjari</t>
  </si>
  <si>
    <t>Rezervuar + Stp</t>
  </si>
  <si>
    <t>1 Skeme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</si>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</sst>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7F351CA4-A376-40E1-A5FB-DF6443395565}"/>
    <cellStyle name="Percent 4" xfId="2" xr:uid="{3ED49D3B-F0D8-4E97-A9B8-61CE9CE58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3B94-7853-48C2-BBEE-0DF9A74A42E6}">
  <dimension ref="A1:I16"/>
  <sheetViews>
    <sheetView zoomScaleNormal="100" workbookViewId="0">
      <selection activeCell="B29" sqref="B2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51.900000000000006</v>
      </c>
      <c r="G5" s="18"/>
      <c r="H5" s="18"/>
      <c r="I5" s="19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1.3</v>
      </c>
      <c r="G6" s="18"/>
      <c r="H6" s="18"/>
      <c r="I6" s="19">
        <f>H6/F6</f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1.2</v>
      </c>
      <c r="G7" s="17"/>
      <c r="H7" s="17"/>
      <c r="I7" s="19">
        <f>H7/F7</f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1.1000000000000001</v>
      </c>
      <c r="G8" s="18"/>
      <c r="H8" s="18"/>
      <c r="I8" s="19">
        <f>H8/F8</f>
        <v>0</v>
      </c>
    </row>
    <row r="9" spans="1:9" ht="16.8" customHeight="1" x14ac:dyDescent="0.25">
      <c r="A9" s="5" t="s">
        <v>23</v>
      </c>
      <c r="B9" s="5"/>
      <c r="C9" s="5"/>
      <c r="D9" s="5" t="s">
        <v>24</v>
      </c>
      <c r="E9" s="5"/>
      <c r="F9" s="20">
        <f>SUM(F5:F8)</f>
        <v>55.500000000000007</v>
      </c>
      <c r="G9" s="21"/>
      <c r="H9" s="20">
        <f>SUM(H5:H8)</f>
        <v>0</v>
      </c>
      <c r="I9" s="22">
        <f>H9/F9</f>
        <v>0</v>
      </c>
    </row>
    <row r="11" spans="1:9" ht="15" x14ac:dyDescent="0.25">
      <c r="A11" s="1" t="s">
        <v>25</v>
      </c>
    </row>
    <row r="13" spans="1:9" s="24" customFormat="1" ht="17.399999999999999" customHeight="1" x14ac:dyDescent="0.25">
      <c r="A13" s="5" t="s">
        <v>1</v>
      </c>
      <c r="B13" s="23" t="s">
        <v>2</v>
      </c>
      <c r="C13" s="23"/>
      <c r="D13" s="7" t="s">
        <v>3</v>
      </c>
      <c r="E13" s="8"/>
      <c r="F13" s="23" t="s">
        <v>26</v>
      </c>
      <c r="G13" s="6" t="s">
        <v>5</v>
      </c>
      <c r="H13" s="5" t="s">
        <v>6</v>
      </c>
      <c r="I13" s="5"/>
    </row>
    <row r="14" spans="1:9" s="24" customFormat="1" ht="17.399999999999999" customHeight="1" x14ac:dyDescent="0.25">
      <c r="A14" s="5"/>
      <c r="B14" s="10" t="s">
        <v>7</v>
      </c>
      <c r="C14" s="10" t="s">
        <v>8</v>
      </c>
      <c r="D14" s="11"/>
      <c r="E14" s="12"/>
      <c r="F14" s="23"/>
      <c r="G14" s="6"/>
      <c r="H14" s="10" t="s">
        <v>9</v>
      </c>
      <c r="I14" s="10" t="s">
        <v>10</v>
      </c>
    </row>
    <row r="15" spans="1:9" ht="16.2" customHeight="1" x14ac:dyDescent="0.25">
      <c r="A15" s="25">
        <v>1</v>
      </c>
      <c r="B15" s="26" t="s">
        <v>27</v>
      </c>
      <c r="C15" s="27" t="s">
        <v>28</v>
      </c>
      <c r="D15" s="28" t="s">
        <v>29</v>
      </c>
      <c r="E15" s="29" t="s">
        <v>29</v>
      </c>
      <c r="F15" s="30">
        <v>30</v>
      </c>
      <c r="G15" s="18"/>
      <c r="H15" s="18"/>
      <c r="I15" s="19">
        <f>H15/F15</f>
        <v>0</v>
      </c>
    </row>
    <row r="16" spans="1:9" ht="16.8" customHeight="1" x14ac:dyDescent="0.25">
      <c r="A16" s="5" t="s">
        <v>23</v>
      </c>
      <c r="B16" s="5"/>
      <c r="C16" s="5"/>
      <c r="D16" s="5" t="s">
        <v>30</v>
      </c>
      <c r="E16" s="5"/>
      <c r="F16" s="20">
        <f>SUM(F15:F15)</f>
        <v>30</v>
      </c>
      <c r="G16" s="21"/>
      <c r="H16" s="20">
        <f>SUM(H15:H15)</f>
        <v>0</v>
      </c>
      <c r="I16" s="22">
        <f>H16/F16</f>
        <v>0</v>
      </c>
    </row>
  </sheetData>
  <mergeCells count="21">
    <mergeCell ref="D15:E15"/>
    <mergeCell ref="A16:C16"/>
    <mergeCell ref="D16:E16"/>
    <mergeCell ref="A13:A14"/>
    <mergeCell ref="B13:C13"/>
    <mergeCell ref="D13:E14"/>
    <mergeCell ref="F13:F14"/>
    <mergeCell ref="G13:G14"/>
    <mergeCell ref="H13:I13"/>
    <mergeCell ref="D5:E5"/>
    <mergeCell ref="D6:E6"/>
    <mergeCell ref="D7:E7"/>
    <mergeCell ref="D8:E8"/>
    <mergeCell ref="A9:C9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7D59-D72E-44C2-8A90-408345FA751D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1.3</v>
      </c>
      <c r="G5" s="18"/>
      <c r="H5" s="18"/>
      <c r="I5" s="19">
        <f>H5/F5</f>
        <v>0</v>
      </c>
    </row>
    <row r="6" spans="1:9" ht="16.8" customHeight="1" x14ac:dyDescent="0.25">
      <c r="A6" s="5" t="s">
        <v>23</v>
      </c>
      <c r="B6" s="5"/>
      <c r="C6" s="5"/>
      <c r="D6" s="5" t="s">
        <v>30</v>
      </c>
      <c r="E6" s="5"/>
      <c r="F6" s="20">
        <f>SUM(F5:F5)</f>
        <v>1.3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CBCB-C0B4-4D03-9762-EFD160D96B14}">
  <dimension ref="A1:I7"/>
  <sheetViews>
    <sheetView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17</v>
      </c>
      <c r="C5" s="14" t="s">
        <v>18</v>
      </c>
      <c r="D5" s="15" t="s">
        <v>19</v>
      </c>
      <c r="E5" s="16" t="s">
        <v>19</v>
      </c>
      <c r="F5" s="17">
        <v>1.2</v>
      </c>
      <c r="G5" s="17"/>
      <c r="H5" s="17"/>
      <c r="I5" s="19">
        <f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22</v>
      </c>
      <c r="E6" s="16" t="s">
        <v>22</v>
      </c>
      <c r="F6" s="17">
        <v>1.1000000000000001</v>
      </c>
      <c r="G6" s="18"/>
      <c r="H6" s="18"/>
      <c r="I6" s="19">
        <f>H6/F6</f>
        <v>0</v>
      </c>
    </row>
    <row r="7" spans="1:9" ht="16.8" customHeight="1" x14ac:dyDescent="0.25">
      <c r="A7" s="5" t="s">
        <v>23</v>
      </c>
      <c r="B7" s="5"/>
      <c r="C7" s="5"/>
      <c r="D7" s="5" t="s">
        <v>31</v>
      </c>
      <c r="E7" s="5"/>
      <c r="F7" s="20">
        <f>SUM(F5:F6)</f>
        <v>2.2999999999999998</v>
      </c>
      <c r="G7" s="21"/>
      <c r="H7" s="20">
        <f>SUM(H5:H6)</f>
        <v>0</v>
      </c>
      <c r="I7" s="22">
        <f>H7/F7</f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7572-A932-4FA7-B520-BE30E4B786E0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51.900000000000006</v>
      </c>
      <c r="G5" s="18"/>
      <c r="H5" s="18"/>
      <c r="I5" s="19">
        <f>H5/F5</f>
        <v>0</v>
      </c>
    </row>
    <row r="6" spans="1:9" ht="16.8" customHeight="1" x14ac:dyDescent="0.25">
      <c r="A6" s="5" t="s">
        <v>23</v>
      </c>
      <c r="B6" s="5"/>
      <c r="C6" s="5"/>
      <c r="D6" s="5" t="s">
        <v>30</v>
      </c>
      <c r="E6" s="5"/>
      <c r="F6" s="20">
        <f>SUM(F5:F5)</f>
        <v>51.900000000000006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90C9-5FC3-4677-8F79-FA42543AAF2A}">
  <dimension ref="A2:I7"/>
  <sheetViews>
    <sheetView tabSelected="1" zoomScaleNormal="100" workbookViewId="0">
      <selection activeCell="C19" sqref="C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25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26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27</v>
      </c>
      <c r="C6" s="27" t="s">
        <v>28</v>
      </c>
      <c r="D6" s="28" t="s">
        <v>29</v>
      </c>
      <c r="E6" s="29" t="s">
        <v>29</v>
      </c>
      <c r="F6" s="30">
        <v>30</v>
      </c>
      <c r="G6" s="18"/>
      <c r="H6" s="18"/>
      <c r="I6" s="19">
        <f>H6/F6</f>
        <v>0</v>
      </c>
    </row>
    <row r="7" spans="1:9" ht="16.8" customHeight="1" x14ac:dyDescent="0.25">
      <c r="A7" s="5" t="s">
        <v>23</v>
      </c>
      <c r="B7" s="5"/>
      <c r="C7" s="5"/>
      <c r="D7" s="5" t="s">
        <v>30</v>
      </c>
      <c r="E7" s="5"/>
      <c r="F7" s="20">
        <f>SUM(F6:F6)</f>
        <v>30</v>
      </c>
      <c r="G7" s="21"/>
      <c r="H7" s="20">
        <f>SUM(H6:H6)</f>
        <v>0</v>
      </c>
      <c r="I7" s="22">
        <f>H7/F7</f>
        <v>0</v>
      </c>
    </row>
  </sheetData>
  <mergeCells count="9">
    <mergeCell ref="D6:E6"/>
    <mergeCell ref="A7:C7"/>
    <mergeCell ref="D7:E7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Inv__Ujitjes_Konispol</vt:lpstr>
      <vt:lpstr>Rezervuar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2026-10-07T12:12:37Z</dcterms:created>
  <dcterms:modified xsi:type="dcterms:W3CDTF">2026-10-07T12:14:35Z</dcterms:modified>
</cp:coreProperties>
</file>