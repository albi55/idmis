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0773F34C-8465-4837-8534-98A693DDCB33}" xr6:coauthVersionLast="47" xr6:coauthVersionMax="47" xr10:uidLastSave="{00000000-0000-0000-0000-000000000000}"/>
  <bookViews>
    <workbookView xWindow="-28920" yWindow="-1470" windowWidth="29040" windowHeight="15720" activeTab="3" xr2:uid="{A4F04ABB-287A-49CA-95F5-5C3F8D558E44}"/>
  </bookViews>
  <sheets>
    <sheet name="Inv__Ujitjes_Dropull" sheetId="1" r:id="rId1"/>
    <sheet name="Rezervuar" sheetId="2" r:id="rId2"/>
    <sheet name="Lume &amp; Perrua" sheetId="3" r:id="rId3"/>
    <sheet name="Skema Pjeserisht te transferua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4" l="1"/>
  <c r="H7" i="4"/>
  <c r="F7" i="4"/>
  <c r="I6" i="4"/>
  <c r="H7" i="3"/>
  <c r="F7" i="3"/>
  <c r="I6" i="3"/>
  <c r="I5" i="3"/>
  <c r="H9" i="2"/>
  <c r="F9" i="2"/>
  <c r="I8" i="2"/>
  <c r="I7" i="2"/>
  <c r="I6" i="2"/>
  <c r="I5" i="2"/>
  <c r="I18" i="1"/>
  <c r="H18" i="1"/>
  <c r="F18" i="1"/>
  <c r="I17" i="1"/>
  <c r="I11" i="1"/>
  <c r="H11" i="1"/>
  <c r="F11" i="1"/>
  <c r="I10" i="1"/>
  <c r="I9" i="1"/>
  <c r="I8" i="1"/>
  <c r="I7" i="1"/>
  <c r="I6" i="1"/>
  <c r="I5" i="1"/>
  <c r="I7" i="3" l="1"/>
  <c r="I9" i="2"/>
</calcChain>
</file>

<file path=xl/sharedStrings.xml><?xml version="1.0" encoding="utf-8"?>
<sst xmlns="http://schemas.openxmlformats.org/spreadsheetml/2006/main" count="117" uniqueCount="38">
  <si>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</si>
  <si>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</si>
  <si>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</si>
  <si>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</si>
  <si>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</si>
  <si>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</si>
  <si>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</si>
  <si>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</si>
  <si>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</si>
  <si>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</si>
  <si>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</si>
  <si>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GJU 3</t>
  </si>
  <si>
    <t>Dropull Siperm, Pepel</t>
  </si>
  <si>
    <t>Rezervuar</t>
  </si>
  <si>
    <t>GJU 7</t>
  </si>
  <si>
    <t>Castie</t>
  </si>
  <si>
    <t>GJU 10</t>
  </si>
  <si>
    <t>Dropull Siperm, Selo, Llongo</t>
  </si>
  <si>
    <t>R,Selo+R.Klishar</t>
  </si>
  <si>
    <t>GJU 11</t>
  </si>
  <si>
    <t>Dropull Siperm Radat, Peshkepi</t>
  </si>
  <si>
    <t>R.Radat I +R.Radat 2</t>
  </si>
  <si>
    <t>GJU 14</t>
  </si>
  <si>
    <t>Pogon - Suhe</t>
  </si>
  <si>
    <t>Prroi Kakome</t>
  </si>
  <si>
    <t>GJU 12</t>
  </si>
  <si>
    <t>Hllomo</t>
  </si>
  <si>
    <t>R.Hllomo</t>
  </si>
  <si>
    <t>Total</t>
  </si>
  <si>
    <t>6 Skema</t>
  </si>
  <si>
    <t>Skema të pjesërisht të transferuara</t>
  </si>
  <si>
    <t>Vetëm Kanale të Dyta në Km</t>
  </si>
  <si>
    <t>GJU 1</t>
  </si>
  <si>
    <t>Dropull Poshtem R.Dofti</t>
  </si>
  <si>
    <t>ReLume + Stp.p</t>
  </si>
  <si>
    <t>1 Skeme</t>
  </si>
  <si>
    <t>4 Skema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</si>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</sst>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1" xfId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526DA264-01A8-44A3-A1C4-C88E663C997E}"/>
    <cellStyle name="Percent 2" xfId="2" xr:uid="{C81277DE-4DC1-44E0-A6C5-E131A0AC5A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4896-9AC9-4C03-BF5E-CE5F976F0D8A}">
  <sheetPr codeName="Sheet21"/>
  <dimension ref="A1:I18"/>
  <sheetViews>
    <sheetView zoomScaleNormal="100" workbookViewId="0">
      <selection activeCell="D25" sqref="D2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50.8</v>
      </c>
      <c r="G5" s="17"/>
      <c r="H5" s="17"/>
      <c r="I5" s="18">
        <f t="shared" ref="I5:I1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/>
      <c r="E6" s="16"/>
      <c r="F6" s="17">
        <v>22.5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18</v>
      </c>
      <c r="E7" s="16" t="s">
        <v>18</v>
      </c>
      <c r="F7" s="17">
        <v>13.5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17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24</v>
      </c>
      <c r="E9" s="16" t="s">
        <v>24</v>
      </c>
      <c r="F9" s="17">
        <v>9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27</v>
      </c>
      <c r="E10" s="16" t="s">
        <v>27</v>
      </c>
      <c r="F10" s="17">
        <v>2</v>
      </c>
      <c r="G10" s="19"/>
      <c r="H10" s="19"/>
      <c r="I10" s="18">
        <f t="shared" si="0"/>
        <v>0</v>
      </c>
    </row>
    <row r="11" spans="1:9" ht="16.8" customHeight="1" x14ac:dyDescent="0.25">
      <c r="A11" s="5" t="s">
        <v>28</v>
      </c>
      <c r="B11" s="5"/>
      <c r="C11" s="5"/>
      <c r="D11" s="5" t="s">
        <v>29</v>
      </c>
      <c r="E11" s="5"/>
      <c r="F11" s="20">
        <f>SUM(F5:F10)</f>
        <v>114.8</v>
      </c>
      <c r="G11" s="21"/>
      <c r="H11" s="20">
        <f>SUM(H5:H10)</f>
        <v>0</v>
      </c>
      <c r="I11" s="22">
        <f t="shared" si="0"/>
        <v>0</v>
      </c>
    </row>
    <row r="13" spans="1:9" ht="15" x14ac:dyDescent="0.25">
      <c r="A13" s="1" t="s">
        <v>30</v>
      </c>
    </row>
    <row r="15" spans="1:9" s="24" customFormat="1" ht="17.399999999999999" customHeight="1" x14ac:dyDescent="0.25">
      <c r="A15" s="5" t="s">
        <v>1</v>
      </c>
      <c r="B15" s="23" t="s">
        <v>2</v>
      </c>
      <c r="C15" s="23"/>
      <c r="D15" s="7" t="s">
        <v>3</v>
      </c>
      <c r="E15" s="8"/>
      <c r="F15" s="23" t="s">
        <v>31</v>
      </c>
      <c r="G15" s="6" t="s">
        <v>5</v>
      </c>
      <c r="H15" s="5" t="s">
        <v>6</v>
      </c>
      <c r="I15" s="5"/>
    </row>
    <row r="16" spans="1:9" s="24" customFormat="1" ht="17.399999999999999" customHeight="1" x14ac:dyDescent="0.25">
      <c r="A16" s="5"/>
      <c r="B16" s="10" t="s">
        <v>7</v>
      </c>
      <c r="C16" s="10" t="s">
        <v>8</v>
      </c>
      <c r="D16" s="11"/>
      <c r="E16" s="12"/>
      <c r="F16" s="23"/>
      <c r="G16" s="6"/>
      <c r="H16" s="10" t="s">
        <v>9</v>
      </c>
      <c r="I16" s="10" t="s">
        <v>10</v>
      </c>
    </row>
    <row r="17" spans="1:9" ht="16.2" customHeight="1" x14ac:dyDescent="0.25">
      <c r="A17" s="25">
        <v>1</v>
      </c>
      <c r="B17" s="26" t="s">
        <v>32</v>
      </c>
      <c r="C17" s="27" t="s">
        <v>33</v>
      </c>
      <c r="D17" s="28" t="s">
        <v>34</v>
      </c>
      <c r="E17" s="29" t="s">
        <v>34</v>
      </c>
      <c r="F17" s="30">
        <v>71</v>
      </c>
      <c r="G17" s="17"/>
      <c r="H17" s="17"/>
      <c r="I17" s="18">
        <f>H17/F17</f>
        <v>0</v>
      </c>
    </row>
    <row r="18" spans="1:9" ht="16.8" customHeight="1" x14ac:dyDescent="0.25">
      <c r="A18" s="5" t="s">
        <v>28</v>
      </c>
      <c r="B18" s="5"/>
      <c r="C18" s="5"/>
      <c r="D18" s="5" t="s">
        <v>35</v>
      </c>
      <c r="E18" s="5"/>
      <c r="F18" s="20">
        <f>SUM(F17:F17)</f>
        <v>71</v>
      </c>
      <c r="G18" s="21"/>
      <c r="H18" s="20">
        <f>SUM(H17:H17)</f>
        <v>0</v>
      </c>
      <c r="I18" s="22">
        <f>H18/F18</f>
        <v>0</v>
      </c>
    </row>
  </sheetData>
  <mergeCells count="23">
    <mergeCell ref="G15:G16"/>
    <mergeCell ref="H15:I15"/>
    <mergeCell ref="D17:E17"/>
    <mergeCell ref="A18:C18"/>
    <mergeCell ref="D18:E18"/>
    <mergeCell ref="A11:C11"/>
    <mergeCell ref="D11:E11"/>
    <mergeCell ref="A15:A16"/>
    <mergeCell ref="B15:C15"/>
    <mergeCell ref="D15:E16"/>
    <mergeCell ref="F15:F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6520-01C3-4C94-B9F6-8A948EB52608}">
  <sheetPr codeName="Sheet22"/>
  <dimension ref="A1:I9"/>
  <sheetViews>
    <sheetView zoomScaleNormal="100" workbookViewId="0">
      <selection activeCell="C30" sqref="C3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50.8</v>
      </c>
      <c r="G5" s="17"/>
      <c r="H5" s="17"/>
      <c r="I5" s="18">
        <f t="shared" ref="I5:I9" si="0">H5/F5</f>
        <v>0</v>
      </c>
    </row>
    <row r="6" spans="1:9" ht="15.6" customHeight="1" x14ac:dyDescent="0.25">
      <c r="A6" s="13">
        <v>2</v>
      </c>
      <c r="B6" s="14" t="s">
        <v>16</v>
      </c>
      <c r="C6" s="14" t="s">
        <v>17</v>
      </c>
      <c r="D6" s="15" t="s">
        <v>18</v>
      </c>
      <c r="E6" s="16" t="s">
        <v>18</v>
      </c>
      <c r="F6" s="17">
        <v>13.5</v>
      </c>
      <c r="G6" s="19"/>
      <c r="H6" s="19"/>
      <c r="I6" s="18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21</v>
      </c>
      <c r="E7" s="16" t="s">
        <v>21</v>
      </c>
      <c r="F7" s="17">
        <v>17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25</v>
      </c>
      <c r="C8" s="14" t="s">
        <v>26</v>
      </c>
      <c r="D8" s="15" t="s">
        <v>27</v>
      </c>
      <c r="E8" s="16" t="s">
        <v>27</v>
      </c>
      <c r="F8" s="17">
        <v>2</v>
      </c>
      <c r="G8" s="19"/>
      <c r="H8" s="19"/>
      <c r="I8" s="18">
        <f t="shared" si="0"/>
        <v>0</v>
      </c>
    </row>
    <row r="9" spans="1:9" ht="16.8" customHeight="1" x14ac:dyDescent="0.25">
      <c r="A9" s="5" t="s">
        <v>28</v>
      </c>
      <c r="B9" s="5"/>
      <c r="C9" s="5"/>
      <c r="D9" s="5" t="s">
        <v>36</v>
      </c>
      <c r="E9" s="5"/>
      <c r="F9" s="20">
        <f>SUM(F5:F8)</f>
        <v>83.3</v>
      </c>
      <c r="G9" s="21"/>
      <c r="H9" s="20">
        <f>SUM(H5:H8)</f>
        <v>0</v>
      </c>
      <c r="I9" s="22">
        <f t="shared" si="0"/>
        <v>0</v>
      </c>
    </row>
  </sheetData>
  <mergeCells count="12">
    <mergeCell ref="A9:C9"/>
    <mergeCell ref="D9:E9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ED03-F21A-4FEB-9EE1-04927556725D}">
  <sheetPr codeName="Sheet23"/>
  <dimension ref="A1:I7"/>
  <sheetViews>
    <sheetView zoomScaleNormal="100" workbookViewId="0">
      <selection activeCell="A9" sqref="A9:XFD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/>
      <c r="E5" s="16"/>
      <c r="F5" s="17">
        <v>22.5</v>
      </c>
      <c r="G5" s="17"/>
      <c r="H5" s="17"/>
      <c r="I5" s="18">
        <f t="shared" ref="I5:I7" si="0">H5/F5</f>
        <v>0</v>
      </c>
    </row>
    <row r="6" spans="1:9" ht="15.6" customHeight="1" x14ac:dyDescent="0.25">
      <c r="A6" s="13">
        <v>2</v>
      </c>
      <c r="B6" s="14" t="s">
        <v>22</v>
      </c>
      <c r="C6" s="14" t="s">
        <v>23</v>
      </c>
      <c r="D6" s="15" t="s">
        <v>24</v>
      </c>
      <c r="E6" s="16" t="s">
        <v>24</v>
      </c>
      <c r="F6" s="17">
        <v>9</v>
      </c>
      <c r="G6" s="17"/>
      <c r="H6" s="17"/>
      <c r="I6" s="18">
        <f t="shared" si="0"/>
        <v>0</v>
      </c>
    </row>
    <row r="7" spans="1:9" ht="16.8" customHeight="1" x14ac:dyDescent="0.25">
      <c r="A7" s="5" t="s">
        <v>28</v>
      </c>
      <c r="B7" s="5"/>
      <c r="C7" s="5"/>
      <c r="D7" s="5" t="s">
        <v>37</v>
      </c>
      <c r="E7" s="5"/>
      <c r="F7" s="20">
        <f>SUM(F5:F6)</f>
        <v>31.5</v>
      </c>
      <c r="G7" s="21"/>
      <c r="H7" s="20">
        <f>SUM(H5:H6)</f>
        <v>0</v>
      </c>
      <c r="I7" s="22">
        <f t="shared" si="0"/>
        <v>0</v>
      </c>
    </row>
  </sheetData>
  <mergeCells count="10">
    <mergeCell ref="A7:C7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7E2B-60C1-41B6-ABCA-400F277751C8}">
  <sheetPr codeName="Sheet24"/>
  <dimension ref="A2:I7"/>
  <sheetViews>
    <sheetView tabSelected="1" zoomScaleNormal="100" workbookViewId="0">
      <selection activeCell="D32" sqref="D3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30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31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26" t="s">
        <v>32</v>
      </c>
      <c r="C6" s="27" t="s">
        <v>33</v>
      </c>
      <c r="D6" s="28" t="s">
        <v>34</v>
      </c>
      <c r="E6" s="29" t="s">
        <v>34</v>
      </c>
      <c r="F6" s="30">
        <v>71</v>
      </c>
      <c r="G6" s="17"/>
      <c r="H6" s="17"/>
      <c r="I6" s="18">
        <f>H6/F6</f>
        <v>0</v>
      </c>
    </row>
    <row r="7" spans="1:9" ht="16.8" customHeight="1" x14ac:dyDescent="0.25">
      <c r="A7" s="5" t="s">
        <v>28</v>
      </c>
      <c r="B7" s="5"/>
      <c r="C7" s="5"/>
      <c r="D7" s="5" t="s">
        <v>35</v>
      </c>
      <c r="E7" s="5"/>
      <c r="F7" s="20">
        <f>SUM(F6:F6)</f>
        <v>71</v>
      </c>
      <c r="G7" s="21"/>
      <c r="H7" s="20">
        <f>SUM(H6:H6)</f>
        <v>0</v>
      </c>
      <c r="I7" s="22">
        <f>H7/F7</f>
        <v>0</v>
      </c>
    </row>
  </sheetData>
  <mergeCells count="9">
    <mergeCell ref="G4:G5"/>
    <mergeCell ref="H4:I4"/>
    <mergeCell ref="D6:E6"/>
    <mergeCell ref="A7:C7"/>
    <mergeCell ref="D7:E7"/>
    <mergeCell ref="A4:A5"/>
    <mergeCell ref="B4:C4"/>
    <mergeCell ref="D4:E5"/>
    <mergeCell ref="F4:F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Inv__Ujitjes_Dropull</vt:lpstr>
      <vt:lpstr>Rezervuar</vt:lpstr>
      <vt:lpstr>Lume &amp; Perrua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2026-10-06T10:45:23Z</dcterms:created>
  <dcterms:modified xsi:type="dcterms:W3CDTF">2026-10-06T10:47:21Z</dcterms:modified>
</cp:coreProperties>
</file>