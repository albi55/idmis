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E903BBF0-8445-4055-A93C-DB04EAD95E63}" xr6:coauthVersionLast="47" xr6:coauthVersionMax="47" xr10:uidLastSave="{00000000-0000-0000-0000-000000000000}"/>
  <bookViews>
    <workbookView xWindow="-28920" yWindow="-1470" windowWidth="29040" windowHeight="15720" activeTab="3" xr2:uid="{BE33271E-258F-4A80-BBDB-DF9B862E4D30}"/>
  </bookViews>
  <sheets>
    <sheet name="Inv__Ujitjes_Kolonje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4" l="1"/>
  <c r="F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14" i="3"/>
  <c r="F14" i="3"/>
  <c r="I13" i="3"/>
  <c r="I12" i="3"/>
  <c r="I11" i="3"/>
  <c r="I10" i="3"/>
  <c r="I9" i="3"/>
  <c r="I8" i="3"/>
  <c r="I7" i="3"/>
  <c r="I6" i="3"/>
  <c r="I5" i="3"/>
  <c r="H31" i="2"/>
  <c r="F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6" i="1"/>
  <c r="H56" i="1"/>
  <c r="F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21" i="4" l="1"/>
  <c r="I14" i="3"/>
  <c r="I31" i="2"/>
</calcChain>
</file>

<file path=xl/sharedStrings.xml><?xml version="1.0" encoding="utf-8"?>
<sst xmlns="http://schemas.openxmlformats.org/spreadsheetml/2006/main" count="432" uniqueCount="122">
  <si>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</si>
  <si>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</si>
  <si>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</si>
  <si>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</si>
  <si>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</si>
  <si>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</si>
  <si>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</si>
  <si>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</si>
  <si>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</si>
  <si>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</si>
  <si>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</si>
  <si>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ERU - V1</t>
  </si>
  <si>
    <t>Rez. Gjonc</t>
  </si>
  <si>
    <t>Rezervuar</t>
  </si>
  <si>
    <t>ERU - V2</t>
  </si>
  <si>
    <t>Shtike</t>
  </si>
  <si>
    <t>ERU - V3</t>
  </si>
  <si>
    <t>Kabash</t>
  </si>
  <si>
    <t>ERU - V4</t>
  </si>
  <si>
    <t>Kaltanj</t>
  </si>
  <si>
    <t>ERU - V5</t>
  </si>
  <si>
    <t>Pepellash</t>
  </si>
  <si>
    <t>ERU - V6</t>
  </si>
  <si>
    <t>Piskal</t>
  </si>
  <si>
    <t>ERU - V7</t>
  </si>
  <si>
    <t>Radanj 1</t>
  </si>
  <si>
    <t>ERU - V8</t>
  </si>
  <si>
    <t>Selenice e Pishes</t>
  </si>
  <si>
    <t>ERU - V9</t>
  </si>
  <si>
    <t>Starje</t>
  </si>
  <si>
    <t>ERU - V10</t>
  </si>
  <si>
    <t>Zharkanj 1</t>
  </si>
  <si>
    <t>ERU - V11</t>
  </si>
  <si>
    <t>Orgocke</t>
  </si>
  <si>
    <t>ERU - V12</t>
  </si>
  <si>
    <t>Rez. Barmash</t>
  </si>
  <si>
    <t>ERU - V13</t>
  </si>
  <si>
    <t>Rez. Borove</t>
  </si>
  <si>
    <t>ERU - V14</t>
  </si>
  <si>
    <t>Rez. Boshanj</t>
  </si>
  <si>
    <t>ERU - V15</t>
  </si>
  <si>
    <t>Rez.Erseke</t>
  </si>
  <si>
    <t>ERU - V16</t>
  </si>
  <si>
    <t>Rez. Helmes</t>
  </si>
  <si>
    <t>ERU - V17</t>
  </si>
  <si>
    <t xml:space="preserve">Rez. Kagjinas </t>
  </si>
  <si>
    <t>ERU - V18</t>
  </si>
  <si>
    <t>Kabash Leskovik</t>
  </si>
  <si>
    <t>ERU - V19</t>
  </si>
  <si>
    <t>Rez.Leshnje</t>
  </si>
  <si>
    <t>ERU - V20</t>
  </si>
  <si>
    <t>Rez. Luaras</t>
  </si>
  <si>
    <t>ERU - V21</t>
  </si>
  <si>
    <t>Rez. Makerz</t>
  </si>
  <si>
    <t>ERU - V22</t>
  </si>
  <si>
    <t>Radanj 2</t>
  </si>
  <si>
    <t>ERU - V23</t>
  </si>
  <si>
    <t>Gostivisht</t>
  </si>
  <si>
    <t>ERU - V24</t>
  </si>
  <si>
    <t>Hollm Vodice</t>
  </si>
  <si>
    <t>ERU - V25</t>
  </si>
  <si>
    <t>Zharkanj 2</t>
  </si>
  <si>
    <t>ERU - V48-1</t>
  </si>
  <si>
    <t>Lencke</t>
  </si>
  <si>
    <t>ERU - V48-2</t>
  </si>
  <si>
    <t>Boshanj st.pomp</t>
  </si>
  <si>
    <t>ERU - V26</t>
  </si>
  <si>
    <t>Kanali ujites Kozel (perroi Kozelit)</t>
  </si>
  <si>
    <t>Perrua</t>
  </si>
  <si>
    <t>ERU - V27</t>
  </si>
  <si>
    <t>K. ujites Kagjinas</t>
  </si>
  <si>
    <t>ERU - V28</t>
  </si>
  <si>
    <t>K.Llank - Leskovik</t>
  </si>
  <si>
    <t>ERU - V29</t>
  </si>
  <si>
    <t>K. ujites Shtike</t>
  </si>
  <si>
    <t>ERU - V30</t>
  </si>
  <si>
    <t>K.perroi Qinam  (perroi Qinam)</t>
  </si>
  <si>
    <t>ERU - V31</t>
  </si>
  <si>
    <t>K.ujites Kreshove  ( lumi)</t>
  </si>
  <si>
    <t>ERU - V32</t>
  </si>
  <si>
    <t>K.Kodras- Kabash</t>
  </si>
  <si>
    <t>ERU - V33</t>
  </si>
  <si>
    <t>K.Vishanj – Tac (  perroi)</t>
  </si>
  <si>
    <t>ERU - V34</t>
  </si>
  <si>
    <t>K.ujites Lengez  (perroi)</t>
  </si>
  <si>
    <t>ERU - V35</t>
  </si>
  <si>
    <t>K.ujites Starje  (perroi)</t>
  </si>
  <si>
    <t>ERU - V36</t>
  </si>
  <si>
    <t>K.perroi Gjonc  (perroi)</t>
  </si>
  <si>
    <t>ERU - V37</t>
  </si>
  <si>
    <t>K.ujites Lashove</t>
  </si>
  <si>
    <t>ERU - V38</t>
  </si>
  <si>
    <t>K.ujites Skorovot  (perroi)</t>
  </si>
  <si>
    <t>ERU - V39</t>
  </si>
  <si>
    <t>K.ujites Qafezez   (perroi)</t>
  </si>
  <si>
    <t>ERU - V40</t>
  </si>
  <si>
    <t>Ymeline st.pomp</t>
  </si>
  <si>
    <t>ERU - V41</t>
  </si>
  <si>
    <t>Radanj st.pomp</t>
  </si>
  <si>
    <t>ERU - V42</t>
  </si>
  <si>
    <t>Erseke st.pomp</t>
  </si>
  <si>
    <t>ERU - V43</t>
  </si>
  <si>
    <t>Mesicke st.pomp</t>
  </si>
  <si>
    <t>perroi Mesicke</t>
  </si>
  <si>
    <t>ERU - V44</t>
  </si>
  <si>
    <t>Gostivisht st.pomp</t>
  </si>
  <si>
    <t>perroi Gostivisht</t>
  </si>
  <si>
    <t>ERU - V45</t>
  </si>
  <si>
    <t>Shtike st.pomp</t>
  </si>
  <si>
    <t>ERU - V46</t>
  </si>
  <si>
    <t>Helmes 1,2,3 st.pomp</t>
  </si>
  <si>
    <t>ERU - V47</t>
  </si>
  <si>
    <t>Qafzez st.pomp</t>
  </si>
  <si>
    <t>perroi Qafzezit</t>
  </si>
  <si>
    <t>ERU - V48</t>
  </si>
  <si>
    <t>ERU - V49</t>
  </si>
  <si>
    <t>Skema individuale kooperative</t>
  </si>
  <si>
    <t>Total</t>
  </si>
  <si>
    <t>51 Skema</t>
  </si>
  <si>
    <t>26 Skema</t>
  </si>
  <si>
    <t>9 Skema</t>
  </si>
  <si>
    <t>16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</si>
</sst>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746B3853-A31D-458F-89C9-38C782D34EE7}"/>
    <cellStyle name="Percent 2" xfId="2" xr:uid="{EFD60BCA-D118-4886-8FD2-4D8DFA5D2E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7B5A-E959-4F42-AFEA-35200C37EE19}">
  <sheetPr codeName="Sheet29"/>
  <dimension ref="A1:I56"/>
  <sheetViews>
    <sheetView topLeftCell="A16" zoomScaleNormal="100" workbookViewId="0">
      <selection activeCell="J49" sqref="J4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14</v>
      </c>
      <c r="G5" s="18"/>
      <c r="H5" s="18"/>
      <c r="I5" s="19">
        <f t="shared" ref="I5:I54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3.5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1.4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7">
        <v>1.1000000000000001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7">
        <v>1.6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7">
        <v>1.5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 t="s">
        <v>13</v>
      </c>
      <c r="E11" s="16" t="s">
        <v>13</v>
      </c>
      <c r="F11" s="17">
        <v>3.5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 t="s">
        <v>13</v>
      </c>
      <c r="E12" s="16" t="s">
        <v>13</v>
      </c>
      <c r="F12" s="17">
        <v>2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 t="s">
        <v>13</v>
      </c>
      <c r="E13" s="16" t="s">
        <v>13</v>
      </c>
      <c r="F13" s="17">
        <v>1.8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30</v>
      </c>
      <c r="C14" s="14" t="s">
        <v>31</v>
      </c>
      <c r="D14" s="15" t="s">
        <v>13</v>
      </c>
      <c r="E14" s="16" t="s">
        <v>13</v>
      </c>
      <c r="F14" s="17">
        <v>1.1000000000000001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32</v>
      </c>
      <c r="C15" s="14" t="s">
        <v>33</v>
      </c>
      <c r="D15" s="15" t="s">
        <v>13</v>
      </c>
      <c r="E15" s="16" t="s">
        <v>13</v>
      </c>
      <c r="F15" s="17">
        <v>1.2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34</v>
      </c>
      <c r="C16" s="14" t="s">
        <v>35</v>
      </c>
      <c r="D16" s="15" t="s">
        <v>13</v>
      </c>
      <c r="E16" s="16" t="s">
        <v>13</v>
      </c>
      <c r="F16" s="17">
        <v>2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36</v>
      </c>
      <c r="C17" s="14" t="s">
        <v>37</v>
      </c>
      <c r="D17" s="15" t="s">
        <v>13</v>
      </c>
      <c r="E17" s="16" t="s">
        <v>13</v>
      </c>
      <c r="F17" s="17">
        <v>4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38</v>
      </c>
      <c r="C18" s="14" t="s">
        <v>39</v>
      </c>
      <c r="D18" s="15" t="s">
        <v>13</v>
      </c>
      <c r="E18" s="16" t="s">
        <v>13</v>
      </c>
      <c r="F18" s="17">
        <v>5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40</v>
      </c>
      <c r="C19" s="14" t="s">
        <v>41</v>
      </c>
      <c r="D19" s="15" t="s">
        <v>13</v>
      </c>
      <c r="E19" s="16" t="s">
        <v>13</v>
      </c>
      <c r="F19" s="17">
        <v>8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42</v>
      </c>
      <c r="C20" s="14" t="s">
        <v>43</v>
      </c>
      <c r="D20" s="15" t="s">
        <v>13</v>
      </c>
      <c r="E20" s="16" t="s">
        <v>13</v>
      </c>
      <c r="F20" s="17">
        <v>5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44</v>
      </c>
      <c r="C21" s="14" t="s">
        <v>45</v>
      </c>
      <c r="D21" s="15" t="s">
        <v>13</v>
      </c>
      <c r="E21" s="16" t="s">
        <v>13</v>
      </c>
      <c r="F21" s="20">
        <v>8.5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46</v>
      </c>
      <c r="C22" s="14" t="s">
        <v>47</v>
      </c>
      <c r="D22" s="15" t="s">
        <v>13</v>
      </c>
      <c r="E22" s="16" t="s">
        <v>13</v>
      </c>
      <c r="F22" s="17">
        <v>21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48</v>
      </c>
      <c r="C23" s="14" t="s">
        <v>49</v>
      </c>
      <c r="D23" s="15" t="s">
        <v>13</v>
      </c>
      <c r="E23" s="16" t="s">
        <v>13</v>
      </c>
      <c r="F23" s="17">
        <v>1.5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50</v>
      </c>
      <c r="C24" s="14" t="s">
        <v>51</v>
      </c>
      <c r="D24" s="15" t="s">
        <v>13</v>
      </c>
      <c r="E24" s="16" t="s">
        <v>13</v>
      </c>
      <c r="F24" s="17">
        <v>5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52</v>
      </c>
      <c r="C25" s="14" t="s">
        <v>53</v>
      </c>
      <c r="D25" s="15" t="s">
        <v>13</v>
      </c>
      <c r="E25" s="16" t="s">
        <v>13</v>
      </c>
      <c r="F25" s="17">
        <v>11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54</v>
      </c>
      <c r="C26" s="14" t="s">
        <v>55</v>
      </c>
      <c r="D26" s="15" t="s">
        <v>13</v>
      </c>
      <c r="E26" s="16" t="s">
        <v>13</v>
      </c>
      <c r="F26" s="17">
        <v>1.4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56</v>
      </c>
      <c r="C27" s="14" t="s">
        <v>57</v>
      </c>
      <c r="D27" s="15" t="s">
        <v>13</v>
      </c>
      <c r="E27" s="16" t="s">
        <v>13</v>
      </c>
      <c r="F27" s="17">
        <v>1.5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58</v>
      </c>
      <c r="C28" s="14" t="s">
        <v>59</v>
      </c>
      <c r="D28" s="15" t="s">
        <v>13</v>
      </c>
      <c r="E28" s="16" t="s">
        <v>13</v>
      </c>
      <c r="F28" s="17">
        <v>1.8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60</v>
      </c>
      <c r="C29" s="14" t="s">
        <v>61</v>
      </c>
      <c r="D29" s="15" t="s">
        <v>13</v>
      </c>
      <c r="E29" s="16" t="s">
        <v>13</v>
      </c>
      <c r="F29" s="17">
        <v>1.7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62</v>
      </c>
      <c r="C30" s="14" t="s">
        <v>63</v>
      </c>
      <c r="D30" s="15" t="s">
        <v>13</v>
      </c>
      <c r="E30" s="16" t="s">
        <v>13</v>
      </c>
      <c r="F30" s="17">
        <v>0</v>
      </c>
      <c r="G30" s="18"/>
      <c r="H30" s="18"/>
      <c r="I30" s="19" t="e">
        <f t="shared" si="0"/>
        <v>#DIV/0!</v>
      </c>
    </row>
    <row r="31" spans="1:9" ht="15.6" customHeight="1" x14ac:dyDescent="0.25">
      <c r="A31" s="13">
        <v>27</v>
      </c>
      <c r="B31" s="14" t="s">
        <v>64</v>
      </c>
      <c r="C31" s="14" t="s">
        <v>65</v>
      </c>
      <c r="D31" s="15"/>
      <c r="E31" s="16"/>
      <c r="F31" s="17">
        <v>2.8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66</v>
      </c>
      <c r="C32" s="14" t="s">
        <v>67</v>
      </c>
      <c r="D32" s="15" t="s">
        <v>68</v>
      </c>
      <c r="E32" s="16" t="s">
        <v>68</v>
      </c>
      <c r="F32" s="17">
        <v>11.3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69</v>
      </c>
      <c r="C33" s="14" t="s">
        <v>70</v>
      </c>
      <c r="D33" s="15" t="s">
        <v>68</v>
      </c>
      <c r="E33" s="16" t="s">
        <v>68</v>
      </c>
      <c r="F33" s="17">
        <v>8.5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71</v>
      </c>
      <c r="C34" s="14" t="s">
        <v>72</v>
      </c>
      <c r="D34" s="15" t="s">
        <v>68</v>
      </c>
      <c r="E34" s="16" t="s">
        <v>68</v>
      </c>
      <c r="F34" s="17">
        <v>1.5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73</v>
      </c>
      <c r="C35" s="14" t="s">
        <v>74</v>
      </c>
      <c r="D35" s="15" t="s">
        <v>68</v>
      </c>
      <c r="E35" s="16" t="s">
        <v>68</v>
      </c>
      <c r="F35" s="17">
        <v>1.8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75</v>
      </c>
      <c r="C36" s="14" t="s">
        <v>76</v>
      </c>
      <c r="D36" s="15" t="s">
        <v>68</v>
      </c>
      <c r="E36" s="16" t="s">
        <v>68</v>
      </c>
      <c r="F36" s="17">
        <v>1.2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77</v>
      </c>
      <c r="C37" s="14" t="s">
        <v>78</v>
      </c>
      <c r="D37" s="15" t="s">
        <v>68</v>
      </c>
      <c r="E37" s="16" t="s">
        <v>68</v>
      </c>
      <c r="F37" s="17">
        <v>1.3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79</v>
      </c>
      <c r="C38" s="14" t="s">
        <v>80</v>
      </c>
      <c r="D38" s="15" t="s">
        <v>68</v>
      </c>
      <c r="E38" s="16" t="s">
        <v>68</v>
      </c>
      <c r="F38" s="17">
        <v>8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81</v>
      </c>
      <c r="C39" s="14" t="s">
        <v>82</v>
      </c>
      <c r="D39" s="15" t="s">
        <v>68</v>
      </c>
      <c r="E39" s="16" t="s">
        <v>68</v>
      </c>
      <c r="F39" s="17">
        <v>1.7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83</v>
      </c>
      <c r="C40" s="14" t="s">
        <v>84</v>
      </c>
      <c r="D40" s="15" t="s">
        <v>68</v>
      </c>
      <c r="E40" s="16" t="s">
        <v>68</v>
      </c>
      <c r="F40" s="17">
        <v>2.5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85</v>
      </c>
      <c r="C41" s="14" t="s">
        <v>86</v>
      </c>
      <c r="D41" s="15" t="s">
        <v>68</v>
      </c>
      <c r="E41" s="16" t="s">
        <v>68</v>
      </c>
      <c r="F41" s="17">
        <v>1.5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87</v>
      </c>
      <c r="C42" s="14" t="s">
        <v>88</v>
      </c>
      <c r="D42" s="15" t="s">
        <v>68</v>
      </c>
      <c r="E42" s="16" t="s">
        <v>68</v>
      </c>
      <c r="F42" s="17">
        <v>1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89</v>
      </c>
      <c r="C43" s="14" t="s">
        <v>90</v>
      </c>
      <c r="D43" s="15" t="s">
        <v>68</v>
      </c>
      <c r="E43" s="16" t="s">
        <v>68</v>
      </c>
      <c r="F43" s="17">
        <v>1.5</v>
      </c>
      <c r="G43" s="18"/>
      <c r="H43" s="18"/>
      <c r="I43" s="19">
        <f t="shared" si="0"/>
        <v>0</v>
      </c>
    </row>
    <row r="44" spans="1:9" ht="15.6" customHeight="1" x14ac:dyDescent="0.25">
      <c r="A44" s="13">
        <v>40</v>
      </c>
      <c r="B44" s="14" t="s">
        <v>91</v>
      </c>
      <c r="C44" s="14" t="s">
        <v>92</v>
      </c>
      <c r="D44" s="15" t="s">
        <v>68</v>
      </c>
      <c r="E44" s="16" t="s">
        <v>68</v>
      </c>
      <c r="F44" s="17">
        <v>1.5</v>
      </c>
      <c r="G44" s="18"/>
      <c r="H44" s="18"/>
      <c r="I44" s="19">
        <f t="shared" si="0"/>
        <v>0</v>
      </c>
    </row>
    <row r="45" spans="1:9" ht="15.6" customHeight="1" x14ac:dyDescent="0.25">
      <c r="A45" s="13">
        <v>41</v>
      </c>
      <c r="B45" s="14" t="s">
        <v>93</v>
      </c>
      <c r="C45" s="14" t="s">
        <v>94</v>
      </c>
      <c r="D45" s="15" t="s">
        <v>68</v>
      </c>
      <c r="E45" s="16" t="s">
        <v>68</v>
      </c>
      <c r="F45" s="17">
        <v>2.2000000000000002</v>
      </c>
      <c r="G45" s="18"/>
      <c r="H45" s="18"/>
      <c r="I45" s="19">
        <f t="shared" si="0"/>
        <v>0</v>
      </c>
    </row>
    <row r="46" spans="1:9" ht="15.6" customHeight="1" x14ac:dyDescent="0.25">
      <c r="A46" s="13">
        <v>42</v>
      </c>
      <c r="B46" s="14" t="s">
        <v>95</v>
      </c>
      <c r="C46" s="14" t="s">
        <v>96</v>
      </c>
      <c r="D46" s="15"/>
      <c r="E46" s="16"/>
      <c r="F46" s="17">
        <v>23.3</v>
      </c>
      <c r="G46" s="18"/>
      <c r="H46" s="18"/>
      <c r="I46" s="19">
        <f t="shared" si="0"/>
        <v>0</v>
      </c>
    </row>
    <row r="47" spans="1:9" ht="15.6" customHeight="1" x14ac:dyDescent="0.25">
      <c r="A47" s="13">
        <v>43</v>
      </c>
      <c r="B47" s="14" t="s">
        <v>97</v>
      </c>
      <c r="C47" s="14" t="s">
        <v>98</v>
      </c>
      <c r="D47" s="15"/>
      <c r="E47" s="16"/>
      <c r="F47" s="17">
        <v>0</v>
      </c>
      <c r="G47" s="18"/>
      <c r="H47" s="18"/>
      <c r="I47" s="19" t="e">
        <f t="shared" si="0"/>
        <v>#DIV/0!</v>
      </c>
    </row>
    <row r="48" spans="1:9" ht="15.6" customHeight="1" x14ac:dyDescent="0.25">
      <c r="A48" s="13">
        <v>44</v>
      </c>
      <c r="B48" s="14" t="s">
        <v>99</v>
      </c>
      <c r="C48" s="14" t="s">
        <v>100</v>
      </c>
      <c r="D48" s="15"/>
      <c r="E48" s="16"/>
      <c r="F48" s="17">
        <v>0</v>
      </c>
      <c r="G48" s="18"/>
      <c r="H48" s="18"/>
      <c r="I48" s="19" t="e">
        <f t="shared" si="0"/>
        <v>#DIV/0!</v>
      </c>
    </row>
    <row r="49" spans="1:9" ht="15.6" customHeight="1" x14ac:dyDescent="0.25">
      <c r="A49" s="13">
        <v>45</v>
      </c>
      <c r="B49" s="14" t="s">
        <v>101</v>
      </c>
      <c r="C49" s="14" t="s">
        <v>102</v>
      </c>
      <c r="D49" s="15" t="s">
        <v>103</v>
      </c>
      <c r="E49" s="16" t="s">
        <v>103</v>
      </c>
      <c r="F49" s="17">
        <v>1.5</v>
      </c>
      <c r="G49" s="18"/>
      <c r="H49" s="18"/>
      <c r="I49" s="19">
        <f t="shared" si="0"/>
        <v>0</v>
      </c>
    </row>
    <row r="50" spans="1:9" ht="15.6" customHeight="1" x14ac:dyDescent="0.25">
      <c r="A50" s="13">
        <v>46</v>
      </c>
      <c r="B50" s="14" t="s">
        <v>104</v>
      </c>
      <c r="C50" s="14" t="s">
        <v>105</v>
      </c>
      <c r="D50" s="15" t="s">
        <v>106</v>
      </c>
      <c r="E50" s="16" t="s">
        <v>106</v>
      </c>
      <c r="F50" s="17">
        <v>2</v>
      </c>
      <c r="G50" s="18"/>
      <c r="H50" s="18"/>
      <c r="I50" s="19">
        <f t="shared" si="0"/>
        <v>0</v>
      </c>
    </row>
    <row r="51" spans="1:9" ht="15.6" customHeight="1" x14ac:dyDescent="0.25">
      <c r="A51" s="13">
        <v>47</v>
      </c>
      <c r="B51" s="14" t="s">
        <v>107</v>
      </c>
      <c r="C51" s="14" t="s">
        <v>108</v>
      </c>
      <c r="D51" s="15"/>
      <c r="E51" s="16"/>
      <c r="F51" s="17">
        <v>1.2</v>
      </c>
      <c r="G51" s="18"/>
      <c r="H51" s="18"/>
      <c r="I51" s="19">
        <f t="shared" si="0"/>
        <v>0</v>
      </c>
    </row>
    <row r="52" spans="1:9" ht="15.6" customHeight="1" x14ac:dyDescent="0.25">
      <c r="A52" s="13">
        <v>48</v>
      </c>
      <c r="B52" s="14" t="s">
        <v>109</v>
      </c>
      <c r="C52" s="14" t="s">
        <v>110</v>
      </c>
      <c r="D52" s="15"/>
      <c r="E52" s="16"/>
      <c r="F52" s="17">
        <v>6.8</v>
      </c>
      <c r="G52" s="18"/>
      <c r="H52" s="18"/>
      <c r="I52" s="19">
        <f t="shared" si="0"/>
        <v>0</v>
      </c>
    </row>
    <row r="53" spans="1:9" ht="15.6" customHeight="1" x14ac:dyDescent="0.25">
      <c r="A53" s="13">
        <v>49</v>
      </c>
      <c r="B53" s="14" t="s">
        <v>111</v>
      </c>
      <c r="C53" s="14" t="s">
        <v>112</v>
      </c>
      <c r="D53" s="15" t="s">
        <v>113</v>
      </c>
      <c r="E53" s="16" t="s">
        <v>113</v>
      </c>
      <c r="F53" s="17">
        <v>2</v>
      </c>
      <c r="G53" s="18"/>
      <c r="H53" s="18"/>
      <c r="I53" s="19">
        <f t="shared" si="0"/>
        <v>0</v>
      </c>
    </row>
    <row r="54" spans="1:9" ht="15.6" customHeight="1" x14ac:dyDescent="0.25">
      <c r="A54" s="13">
        <v>50</v>
      </c>
      <c r="B54" s="14" t="s">
        <v>114</v>
      </c>
      <c r="C54" s="14" t="s">
        <v>94</v>
      </c>
      <c r="D54" s="15" t="s">
        <v>68</v>
      </c>
      <c r="E54" s="16" t="s">
        <v>68</v>
      </c>
      <c r="F54" s="17">
        <v>2.2000000000000002</v>
      </c>
      <c r="G54" s="18"/>
      <c r="H54" s="18"/>
      <c r="I54" s="19">
        <f t="shared" si="0"/>
        <v>0</v>
      </c>
    </row>
    <row r="55" spans="1:9" ht="15.6" customHeight="1" x14ac:dyDescent="0.25">
      <c r="A55" s="13">
        <v>51</v>
      </c>
      <c r="B55" s="14" t="s">
        <v>115</v>
      </c>
      <c r="C55" s="14" t="s">
        <v>116</v>
      </c>
      <c r="D55" s="15"/>
      <c r="E55" s="16"/>
      <c r="F55" s="17">
        <v>0</v>
      </c>
      <c r="G55" s="18"/>
      <c r="H55" s="18"/>
      <c r="I55" s="19" t="e">
        <f>H55/F55</f>
        <v>#DIV/0!</v>
      </c>
    </row>
    <row r="56" spans="1:9" ht="16.8" customHeight="1" x14ac:dyDescent="0.25">
      <c r="A56" s="5" t="s">
        <v>117</v>
      </c>
      <c r="B56" s="5"/>
      <c r="C56" s="5"/>
      <c r="D56" s="5" t="s">
        <v>118</v>
      </c>
      <c r="E56" s="5"/>
      <c r="F56" s="21">
        <f>SUM(F5:F55)</f>
        <v>197.39999999999998</v>
      </c>
      <c r="G56" s="22"/>
      <c r="H56" s="21">
        <f>SUM(H5:H55)</f>
        <v>0</v>
      </c>
      <c r="I56" s="23">
        <f>H56/F56</f>
        <v>0</v>
      </c>
    </row>
  </sheetData>
  <mergeCells count="59">
    <mergeCell ref="D53:E53"/>
    <mergeCell ref="D54:E54"/>
    <mergeCell ref="D55:E55"/>
    <mergeCell ref="A56:C56"/>
    <mergeCell ref="D56:E56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81E9-A851-4D08-9396-4AB8F1A6D595}">
  <sheetPr codeName="Sheet30"/>
  <dimension ref="A1:I31"/>
  <sheetViews>
    <sheetView topLeftCell="A4" zoomScaleNormal="100" workbookViewId="0">
      <selection activeCell="D32" sqref="D3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14</v>
      </c>
      <c r="G5" s="18"/>
      <c r="H5" s="18"/>
      <c r="I5" s="19">
        <f t="shared" ref="I5:I30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3.5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13</v>
      </c>
      <c r="E7" s="16" t="s">
        <v>13</v>
      </c>
      <c r="F7" s="17">
        <v>1.4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 t="s">
        <v>13</v>
      </c>
      <c r="E8" s="16" t="s">
        <v>13</v>
      </c>
      <c r="F8" s="17">
        <v>1.1000000000000001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 t="s">
        <v>13</v>
      </c>
      <c r="E9" s="16" t="s">
        <v>13</v>
      </c>
      <c r="F9" s="17">
        <v>1.6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 t="s">
        <v>13</v>
      </c>
      <c r="E10" s="16" t="s">
        <v>13</v>
      </c>
      <c r="F10" s="17">
        <v>1.5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 t="s">
        <v>13</v>
      </c>
      <c r="E11" s="16" t="s">
        <v>13</v>
      </c>
      <c r="F11" s="17">
        <v>3.5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 t="s">
        <v>13</v>
      </c>
      <c r="E12" s="16" t="s">
        <v>13</v>
      </c>
      <c r="F12" s="17">
        <v>2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 t="s">
        <v>13</v>
      </c>
      <c r="E13" s="16" t="s">
        <v>13</v>
      </c>
      <c r="F13" s="17">
        <v>1.8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30</v>
      </c>
      <c r="C14" s="14" t="s">
        <v>31</v>
      </c>
      <c r="D14" s="15" t="s">
        <v>13</v>
      </c>
      <c r="E14" s="16" t="s">
        <v>13</v>
      </c>
      <c r="F14" s="17">
        <v>1.1000000000000001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32</v>
      </c>
      <c r="C15" s="14" t="s">
        <v>33</v>
      </c>
      <c r="D15" s="15" t="s">
        <v>13</v>
      </c>
      <c r="E15" s="16" t="s">
        <v>13</v>
      </c>
      <c r="F15" s="17">
        <v>1.2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34</v>
      </c>
      <c r="C16" s="14" t="s">
        <v>35</v>
      </c>
      <c r="D16" s="15" t="s">
        <v>13</v>
      </c>
      <c r="E16" s="16" t="s">
        <v>13</v>
      </c>
      <c r="F16" s="17">
        <v>2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36</v>
      </c>
      <c r="C17" s="14" t="s">
        <v>37</v>
      </c>
      <c r="D17" s="15" t="s">
        <v>13</v>
      </c>
      <c r="E17" s="16" t="s">
        <v>13</v>
      </c>
      <c r="F17" s="17">
        <v>4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38</v>
      </c>
      <c r="C18" s="14" t="s">
        <v>39</v>
      </c>
      <c r="D18" s="15" t="s">
        <v>13</v>
      </c>
      <c r="E18" s="16" t="s">
        <v>13</v>
      </c>
      <c r="F18" s="17">
        <v>5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40</v>
      </c>
      <c r="C19" s="14" t="s">
        <v>41</v>
      </c>
      <c r="D19" s="15" t="s">
        <v>13</v>
      </c>
      <c r="E19" s="16" t="s">
        <v>13</v>
      </c>
      <c r="F19" s="17">
        <v>8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42</v>
      </c>
      <c r="C20" s="14" t="s">
        <v>43</v>
      </c>
      <c r="D20" s="15" t="s">
        <v>13</v>
      </c>
      <c r="E20" s="16" t="s">
        <v>13</v>
      </c>
      <c r="F20" s="17">
        <v>5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44</v>
      </c>
      <c r="C21" s="14" t="s">
        <v>45</v>
      </c>
      <c r="D21" s="15" t="s">
        <v>13</v>
      </c>
      <c r="E21" s="16" t="s">
        <v>13</v>
      </c>
      <c r="F21" s="20">
        <v>8.5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46</v>
      </c>
      <c r="C22" s="14" t="s">
        <v>47</v>
      </c>
      <c r="D22" s="15" t="s">
        <v>13</v>
      </c>
      <c r="E22" s="16" t="s">
        <v>13</v>
      </c>
      <c r="F22" s="17">
        <v>21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48</v>
      </c>
      <c r="C23" s="14" t="s">
        <v>49</v>
      </c>
      <c r="D23" s="15" t="s">
        <v>13</v>
      </c>
      <c r="E23" s="16" t="s">
        <v>13</v>
      </c>
      <c r="F23" s="17">
        <v>1.5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50</v>
      </c>
      <c r="C24" s="14" t="s">
        <v>51</v>
      </c>
      <c r="D24" s="15" t="s">
        <v>13</v>
      </c>
      <c r="E24" s="16" t="s">
        <v>13</v>
      </c>
      <c r="F24" s="17">
        <v>5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52</v>
      </c>
      <c r="C25" s="14" t="s">
        <v>53</v>
      </c>
      <c r="D25" s="15" t="s">
        <v>13</v>
      </c>
      <c r="E25" s="16" t="s">
        <v>13</v>
      </c>
      <c r="F25" s="17">
        <v>11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54</v>
      </c>
      <c r="C26" s="14" t="s">
        <v>55</v>
      </c>
      <c r="D26" s="15" t="s">
        <v>13</v>
      </c>
      <c r="E26" s="16" t="s">
        <v>13</v>
      </c>
      <c r="F26" s="17">
        <v>1.4</v>
      </c>
      <c r="G26" s="18"/>
      <c r="H26" s="18"/>
      <c r="I26" s="19">
        <f t="shared" si="0"/>
        <v>0</v>
      </c>
    </row>
    <row r="27" spans="1:9" ht="15.6" customHeight="1" x14ac:dyDescent="0.25">
      <c r="A27" s="13">
        <v>23</v>
      </c>
      <c r="B27" s="14" t="s">
        <v>56</v>
      </c>
      <c r="C27" s="14" t="s">
        <v>57</v>
      </c>
      <c r="D27" s="15" t="s">
        <v>13</v>
      </c>
      <c r="E27" s="16" t="s">
        <v>13</v>
      </c>
      <c r="F27" s="17">
        <v>1.5</v>
      </c>
      <c r="G27" s="18"/>
      <c r="H27" s="18"/>
      <c r="I27" s="19">
        <f t="shared" si="0"/>
        <v>0</v>
      </c>
    </row>
    <row r="28" spans="1:9" ht="15.6" customHeight="1" x14ac:dyDescent="0.25">
      <c r="A28" s="13">
        <v>24</v>
      </c>
      <c r="B28" s="14" t="s">
        <v>58</v>
      </c>
      <c r="C28" s="14" t="s">
        <v>59</v>
      </c>
      <c r="D28" s="15" t="s">
        <v>13</v>
      </c>
      <c r="E28" s="16" t="s">
        <v>13</v>
      </c>
      <c r="F28" s="17">
        <v>1.8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60</v>
      </c>
      <c r="C29" s="14" t="s">
        <v>61</v>
      </c>
      <c r="D29" s="15" t="s">
        <v>13</v>
      </c>
      <c r="E29" s="16" t="s">
        <v>13</v>
      </c>
      <c r="F29" s="17">
        <v>1.7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62</v>
      </c>
      <c r="C30" s="14" t="s">
        <v>63</v>
      </c>
      <c r="D30" s="15" t="s">
        <v>13</v>
      </c>
      <c r="E30" s="16" t="s">
        <v>13</v>
      </c>
      <c r="F30" s="17">
        <v>0</v>
      </c>
      <c r="G30" s="18"/>
      <c r="H30" s="18"/>
      <c r="I30" s="19" t="e">
        <f t="shared" si="0"/>
        <v>#DIV/0!</v>
      </c>
    </row>
    <row r="31" spans="1:9" ht="16.8" customHeight="1" x14ac:dyDescent="0.25">
      <c r="A31" s="5" t="s">
        <v>117</v>
      </c>
      <c r="B31" s="5"/>
      <c r="C31" s="5"/>
      <c r="D31" s="5" t="s">
        <v>119</v>
      </c>
      <c r="E31" s="5"/>
      <c r="F31" s="21">
        <f>SUM(F5:F30)</f>
        <v>110.10000000000001</v>
      </c>
      <c r="G31" s="22"/>
      <c r="H31" s="21">
        <f>SUM(H5:H30)</f>
        <v>0</v>
      </c>
      <c r="I31" s="23">
        <f>H31/F31</f>
        <v>0</v>
      </c>
    </row>
  </sheetData>
  <mergeCells count="34">
    <mergeCell ref="A31:C31"/>
    <mergeCell ref="D31:E31"/>
    <mergeCell ref="D29:E29"/>
    <mergeCell ref="D30:E30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3C18-59D5-4C5E-992C-CB4731134881}">
  <sheetPr codeName="Sheet31"/>
  <dimension ref="A1:I14"/>
  <sheetViews>
    <sheetView zoomScaleNormal="100" workbookViewId="0">
      <selection activeCell="D15" sqref="D1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64</v>
      </c>
      <c r="C5" s="14" t="s">
        <v>65</v>
      </c>
      <c r="D5" s="15"/>
      <c r="E5" s="16"/>
      <c r="F5" s="17">
        <v>2.8</v>
      </c>
      <c r="G5" s="18"/>
      <c r="H5" s="18"/>
      <c r="I5" s="19">
        <f t="shared" ref="I5:I13" si="0">H5/F5</f>
        <v>0</v>
      </c>
    </row>
    <row r="6" spans="1:9" ht="15.6" customHeight="1" x14ac:dyDescent="0.25">
      <c r="A6" s="13">
        <v>2</v>
      </c>
      <c r="B6" s="14" t="s">
        <v>95</v>
      </c>
      <c r="C6" s="14" t="s">
        <v>96</v>
      </c>
      <c r="D6" s="15"/>
      <c r="E6" s="16"/>
      <c r="F6" s="17">
        <v>23.3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97</v>
      </c>
      <c r="C7" s="14" t="s">
        <v>98</v>
      </c>
      <c r="D7" s="15"/>
      <c r="E7" s="16"/>
      <c r="F7" s="17">
        <v>0</v>
      </c>
      <c r="G7" s="18"/>
      <c r="H7" s="18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99</v>
      </c>
      <c r="C8" s="14" t="s">
        <v>100</v>
      </c>
      <c r="D8" s="15"/>
      <c r="E8" s="16"/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101</v>
      </c>
      <c r="C9" s="14" t="s">
        <v>102</v>
      </c>
      <c r="D9" s="15" t="s">
        <v>103</v>
      </c>
      <c r="E9" s="16" t="s">
        <v>103</v>
      </c>
      <c r="F9" s="17">
        <v>1.5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104</v>
      </c>
      <c r="C10" s="14" t="s">
        <v>105</v>
      </c>
      <c r="D10" s="15" t="s">
        <v>106</v>
      </c>
      <c r="E10" s="16" t="s">
        <v>106</v>
      </c>
      <c r="F10" s="17">
        <v>2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107</v>
      </c>
      <c r="C11" s="14" t="s">
        <v>108</v>
      </c>
      <c r="D11" s="15"/>
      <c r="E11" s="16"/>
      <c r="F11" s="17">
        <v>1.2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109</v>
      </c>
      <c r="C12" s="14" t="s">
        <v>110</v>
      </c>
      <c r="D12" s="15"/>
      <c r="E12" s="16"/>
      <c r="F12" s="17">
        <v>6.8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111</v>
      </c>
      <c r="C13" s="14" t="s">
        <v>112</v>
      </c>
      <c r="D13" s="15" t="s">
        <v>113</v>
      </c>
      <c r="E13" s="16" t="s">
        <v>113</v>
      </c>
      <c r="F13" s="17">
        <v>2</v>
      </c>
      <c r="G13" s="18"/>
      <c r="H13" s="18"/>
      <c r="I13" s="19">
        <f t="shared" si="0"/>
        <v>0</v>
      </c>
    </row>
    <row r="14" spans="1:9" ht="16.8" customHeight="1" x14ac:dyDescent="0.25">
      <c r="A14" s="5" t="s">
        <v>117</v>
      </c>
      <c r="B14" s="5"/>
      <c r="C14" s="5"/>
      <c r="D14" s="5" t="s">
        <v>120</v>
      </c>
      <c r="E14" s="5"/>
      <c r="F14" s="21">
        <f>SUM(F5:F13)</f>
        <v>39.6</v>
      </c>
      <c r="G14" s="22"/>
      <c r="H14" s="21">
        <f>SUM(H5:H13)</f>
        <v>0</v>
      </c>
      <c r="I14" s="23">
        <f>H14/F14</f>
        <v>0</v>
      </c>
    </row>
  </sheetData>
  <mergeCells count="17">
    <mergeCell ref="D13:E13"/>
    <mergeCell ref="A14:C14"/>
    <mergeCell ref="D14:E14"/>
    <mergeCell ref="D7:E7"/>
    <mergeCell ref="D8:E8"/>
    <mergeCell ref="D9:E9"/>
    <mergeCell ref="D10:E10"/>
    <mergeCell ref="D11:E11"/>
    <mergeCell ref="D12:E12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8477-5A01-4F34-949E-B8017F956A6A}">
  <sheetPr codeName="Sheet32"/>
  <dimension ref="A1:I21"/>
  <sheetViews>
    <sheetView tabSelected="1" zoomScaleNormal="100" workbookViewId="0">
      <selection activeCell="D22" sqref="D2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66</v>
      </c>
      <c r="C5" s="14" t="s">
        <v>67</v>
      </c>
      <c r="D5" s="15" t="s">
        <v>68</v>
      </c>
      <c r="E5" s="16" t="s">
        <v>68</v>
      </c>
      <c r="F5" s="17">
        <v>11.3</v>
      </c>
      <c r="G5" s="18"/>
      <c r="H5" s="18"/>
      <c r="I5" s="19">
        <f t="shared" ref="I5:I19" si="0">H5/F5</f>
        <v>0</v>
      </c>
    </row>
    <row r="6" spans="1:9" ht="15.6" customHeight="1" x14ac:dyDescent="0.25">
      <c r="A6" s="13">
        <v>2</v>
      </c>
      <c r="B6" s="14" t="s">
        <v>69</v>
      </c>
      <c r="C6" s="14" t="s">
        <v>70</v>
      </c>
      <c r="D6" s="15" t="s">
        <v>68</v>
      </c>
      <c r="E6" s="16" t="s">
        <v>68</v>
      </c>
      <c r="F6" s="17">
        <v>8.5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71</v>
      </c>
      <c r="C7" s="14" t="s">
        <v>72</v>
      </c>
      <c r="D7" s="15" t="s">
        <v>68</v>
      </c>
      <c r="E7" s="16" t="s">
        <v>68</v>
      </c>
      <c r="F7" s="17">
        <v>1.5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73</v>
      </c>
      <c r="C8" s="14" t="s">
        <v>74</v>
      </c>
      <c r="D8" s="15" t="s">
        <v>68</v>
      </c>
      <c r="E8" s="16" t="s">
        <v>68</v>
      </c>
      <c r="F8" s="17">
        <v>1.8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75</v>
      </c>
      <c r="C9" s="14" t="s">
        <v>76</v>
      </c>
      <c r="D9" s="15" t="s">
        <v>68</v>
      </c>
      <c r="E9" s="16" t="s">
        <v>68</v>
      </c>
      <c r="F9" s="17">
        <v>1.2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77</v>
      </c>
      <c r="C10" s="14" t="s">
        <v>78</v>
      </c>
      <c r="D10" s="15" t="s">
        <v>68</v>
      </c>
      <c r="E10" s="16" t="s">
        <v>68</v>
      </c>
      <c r="F10" s="17">
        <v>1.3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79</v>
      </c>
      <c r="C11" s="14" t="s">
        <v>80</v>
      </c>
      <c r="D11" s="15" t="s">
        <v>68</v>
      </c>
      <c r="E11" s="16" t="s">
        <v>68</v>
      </c>
      <c r="F11" s="17">
        <v>8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81</v>
      </c>
      <c r="C12" s="14" t="s">
        <v>82</v>
      </c>
      <c r="D12" s="15" t="s">
        <v>68</v>
      </c>
      <c r="E12" s="16" t="s">
        <v>68</v>
      </c>
      <c r="F12" s="17">
        <v>1.7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83</v>
      </c>
      <c r="C13" s="14" t="s">
        <v>84</v>
      </c>
      <c r="D13" s="15" t="s">
        <v>68</v>
      </c>
      <c r="E13" s="16" t="s">
        <v>68</v>
      </c>
      <c r="F13" s="17">
        <v>2.5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85</v>
      </c>
      <c r="C14" s="14" t="s">
        <v>86</v>
      </c>
      <c r="D14" s="15" t="s">
        <v>68</v>
      </c>
      <c r="E14" s="16" t="s">
        <v>68</v>
      </c>
      <c r="F14" s="17">
        <v>1.5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87</v>
      </c>
      <c r="C15" s="14" t="s">
        <v>88</v>
      </c>
      <c r="D15" s="15" t="s">
        <v>68</v>
      </c>
      <c r="E15" s="16" t="s">
        <v>68</v>
      </c>
      <c r="F15" s="17">
        <v>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89</v>
      </c>
      <c r="C16" s="14" t="s">
        <v>90</v>
      </c>
      <c r="D16" s="15" t="s">
        <v>68</v>
      </c>
      <c r="E16" s="16" t="s">
        <v>68</v>
      </c>
      <c r="F16" s="17">
        <v>1.5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91</v>
      </c>
      <c r="C17" s="14" t="s">
        <v>92</v>
      </c>
      <c r="D17" s="15" t="s">
        <v>68</v>
      </c>
      <c r="E17" s="16" t="s">
        <v>68</v>
      </c>
      <c r="F17" s="17">
        <v>1.5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93</v>
      </c>
      <c r="C18" s="14" t="s">
        <v>94</v>
      </c>
      <c r="D18" s="15" t="s">
        <v>68</v>
      </c>
      <c r="E18" s="16" t="s">
        <v>68</v>
      </c>
      <c r="F18" s="17">
        <v>2.2000000000000002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114</v>
      </c>
      <c r="C19" s="14" t="s">
        <v>94</v>
      </c>
      <c r="D19" s="15" t="s">
        <v>68</v>
      </c>
      <c r="E19" s="16" t="s">
        <v>68</v>
      </c>
      <c r="F19" s="17">
        <v>2.2000000000000002</v>
      </c>
      <c r="G19" s="18"/>
      <c r="H19" s="18"/>
      <c r="I19" s="19">
        <f t="shared" si="0"/>
        <v>0</v>
      </c>
    </row>
    <row r="20" spans="1:9" ht="15.6" customHeight="1" x14ac:dyDescent="0.25">
      <c r="A20" s="13">
        <v>16</v>
      </c>
      <c r="B20" s="14" t="s">
        <v>115</v>
      </c>
      <c r="C20" s="14" t="s">
        <v>116</v>
      </c>
      <c r="D20" s="15"/>
      <c r="E20" s="16"/>
      <c r="F20" s="17">
        <v>0</v>
      </c>
      <c r="G20" s="18"/>
      <c r="H20" s="18"/>
      <c r="I20" s="19" t="e">
        <f>H20/F20</f>
        <v>#DIV/0!</v>
      </c>
    </row>
    <row r="21" spans="1:9" ht="16.8" customHeight="1" x14ac:dyDescent="0.25">
      <c r="A21" s="5" t="s">
        <v>117</v>
      </c>
      <c r="B21" s="5"/>
      <c r="C21" s="5"/>
      <c r="D21" s="5" t="s">
        <v>121</v>
      </c>
      <c r="E21" s="5"/>
      <c r="F21" s="21">
        <f>SUM(F5:F20)</f>
        <v>47.70000000000001</v>
      </c>
      <c r="G21" s="22"/>
      <c r="H21" s="21">
        <f>SUM(H5:H20)</f>
        <v>0</v>
      </c>
      <c r="I21" s="23">
        <f>H21/F21</f>
        <v>0</v>
      </c>
    </row>
  </sheetData>
  <mergeCells count="24">
    <mergeCell ref="D19:E19"/>
    <mergeCell ref="D20:E20"/>
    <mergeCell ref="A21:C21"/>
    <mergeCell ref="D21:E21"/>
    <mergeCell ref="D14:E14"/>
    <mergeCell ref="D15:E15"/>
    <mergeCell ref="D16:E16"/>
    <mergeCell ref="D17:E17"/>
    <mergeCell ref="D18:E18"/>
    <mergeCell ref="D8:E8"/>
    <mergeCell ref="D9:E9"/>
    <mergeCell ref="D10:E10"/>
    <mergeCell ref="D11:E11"/>
    <mergeCell ref="D12:E12"/>
    <mergeCell ref="D13:E13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Inv__Ujitjes_Kolonje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2026-10-06T12:36:14Z</dcterms:created>
  <dcterms:modified xsi:type="dcterms:W3CDTF">2026-10-06T12:39:36Z</dcterms:modified>
</cp:coreProperties>
</file>