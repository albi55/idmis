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E919D234-2B2E-4E16-9804-65977AB0B255}" xr6:coauthVersionLast="47" xr6:coauthVersionMax="47" xr10:uidLastSave="{00000000-0000-0000-0000-000000000000}"/>
  <bookViews>
    <workbookView xWindow="-28920" yWindow="-1470" windowWidth="29040" windowHeight="15720" activeTab="4" xr2:uid="{EE2A00E6-AF80-4C00-AFEA-D18A0637E7D6}"/>
  </bookViews>
  <sheets>
    <sheet name="Inv__Ujitjes_Kurbin" sheetId="1" r:id="rId1"/>
    <sheet name="Rezervuar" sheetId="2" r:id="rId2"/>
    <sheet name="Stacion Pompimi" sheetId="3" r:id="rId3"/>
    <sheet name="Lume" sheetId="4" r:id="rId4"/>
    <sheet name="Skema pjeserisht te transferuar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5" l="1"/>
  <c r="I7" i="5" s="1"/>
  <c r="F7" i="5"/>
  <c r="I6" i="5"/>
  <c r="H10" i="4"/>
  <c r="I10" i="4" s="1"/>
  <c r="F10" i="4"/>
  <c r="I9" i="4"/>
  <c r="I8" i="4"/>
  <c r="I7" i="4"/>
  <c r="I6" i="4"/>
  <c r="I5" i="4"/>
  <c r="H10" i="3"/>
  <c r="F10" i="3"/>
  <c r="I9" i="3"/>
  <c r="I8" i="3"/>
  <c r="I7" i="3"/>
  <c r="I6" i="3"/>
  <c r="I5" i="3"/>
  <c r="H7" i="2"/>
  <c r="F7" i="2"/>
  <c r="I6" i="2"/>
  <c r="I5" i="2"/>
  <c r="H24" i="1"/>
  <c r="I24" i="1" s="1"/>
  <c r="F24" i="1"/>
  <c r="I23" i="1"/>
  <c r="I17" i="1"/>
  <c r="H17" i="1"/>
  <c r="F17" i="1"/>
  <c r="I16" i="1"/>
  <c r="I15" i="1"/>
  <c r="I14" i="1"/>
  <c r="I13" i="1"/>
  <c r="I12" i="1"/>
  <c r="I11" i="1"/>
  <c r="I10" i="1"/>
  <c r="I9" i="1"/>
  <c r="I8" i="1"/>
  <c r="I7" i="1"/>
  <c r="I6" i="1"/>
  <c r="I5" i="1"/>
  <c r="I10" i="3" l="1"/>
  <c r="I7" i="2"/>
</calcChain>
</file>

<file path=xl/sharedStrings.xml><?xml version="1.0" encoding="utf-8"?>
<sst xmlns="http://schemas.openxmlformats.org/spreadsheetml/2006/main" count="182" uniqueCount="49">
  <si>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</si>
  <si>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</si>
  <si>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</si>
  <si>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</si>
  <si>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</si>
  <si>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</si>
  <si>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</si>
  <si>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</si>
  <si>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</si>
  <si>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</si>
  <si>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</si>
  <si>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LAU - 2</t>
  </si>
  <si>
    <t xml:space="preserve">Zheje </t>
  </si>
  <si>
    <t>Rezervuar</t>
  </si>
  <si>
    <t>LAU - 6</t>
  </si>
  <si>
    <t>Zheje Pst</t>
  </si>
  <si>
    <t>kanal ( U - 1 )</t>
  </si>
  <si>
    <t>LAU - 3</t>
  </si>
  <si>
    <t>Mamurras Pst</t>
  </si>
  <si>
    <t>LAU - 4</t>
  </si>
  <si>
    <t>Lac pst</t>
  </si>
  <si>
    <t>LAU - 5</t>
  </si>
  <si>
    <t>Gjonem Pst</t>
  </si>
  <si>
    <t>LAU - 7</t>
  </si>
  <si>
    <t>Vinjolle 3</t>
  </si>
  <si>
    <t>Lume</t>
  </si>
  <si>
    <t>LAU - 8</t>
  </si>
  <si>
    <t>Gallate 3</t>
  </si>
  <si>
    <t>LAU - 9</t>
  </si>
  <si>
    <t>Gernac 3</t>
  </si>
  <si>
    <t>LAU - 10</t>
  </si>
  <si>
    <t>Skuraj</t>
  </si>
  <si>
    <t>LAU - 11</t>
  </si>
  <si>
    <t>Zheje</t>
  </si>
  <si>
    <t>LAU - 12</t>
  </si>
  <si>
    <t>Burime hauze</t>
  </si>
  <si>
    <t>LAU - 13</t>
  </si>
  <si>
    <t xml:space="preserve">Gallate </t>
  </si>
  <si>
    <t>stp</t>
  </si>
  <si>
    <t>Total</t>
  </si>
  <si>
    <t>12 Skema</t>
  </si>
  <si>
    <t>Skema të pjesërisht të transferuara</t>
  </si>
  <si>
    <t>Vetëm Kanale të Dyta në Km</t>
  </si>
  <si>
    <t>LAU - 1</t>
  </si>
  <si>
    <t>Thumana, Droje, Shllinza</t>
  </si>
  <si>
    <t>Lumi Mat, stp</t>
  </si>
  <si>
    <t>1 Skeme</t>
  </si>
  <si>
    <t>2 Skema</t>
  </si>
  <si>
    <t>5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</si>
</sst>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</cellXfs>
  <cellStyles count="3">
    <cellStyle name="Normal" xfId="0" builtinId="0"/>
    <cellStyle name="Normal 2" xfId="1" xr:uid="{4E330574-2ED3-47E4-86F9-1D327719BD3E}"/>
    <cellStyle name="Percent 3" xfId="2" xr:uid="{039B8D6A-B7D6-4AB6-AA14-8193BFF6A5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5B5E5-780F-487C-B1A8-51D62847052C}">
  <sheetPr codeName="Sheet36"/>
  <dimension ref="A1:I24"/>
  <sheetViews>
    <sheetView zoomScaleNormal="100" workbookViewId="0">
      <selection activeCell="C45" sqref="C45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4.2</v>
      </c>
      <c r="G5" s="18"/>
      <c r="H5" s="18"/>
      <c r="I5" s="19">
        <f t="shared" ref="I5:I17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16</v>
      </c>
      <c r="E6" s="16" t="s">
        <v>16</v>
      </c>
      <c r="F6" s="17">
        <v>4.5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17</v>
      </c>
      <c r="C7" s="14" t="s">
        <v>18</v>
      </c>
      <c r="D7" s="15" t="s">
        <v>16</v>
      </c>
      <c r="E7" s="16" t="s">
        <v>16</v>
      </c>
      <c r="F7" s="17">
        <v>2.4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19</v>
      </c>
      <c r="C8" s="14" t="s">
        <v>20</v>
      </c>
      <c r="D8" s="15" t="s">
        <v>16</v>
      </c>
      <c r="E8" s="16" t="s">
        <v>16</v>
      </c>
      <c r="F8" s="17">
        <v>1.9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21</v>
      </c>
      <c r="C9" s="14" t="s">
        <v>22</v>
      </c>
      <c r="D9" s="15" t="s">
        <v>16</v>
      </c>
      <c r="E9" s="16" t="s">
        <v>16</v>
      </c>
      <c r="F9" s="17">
        <v>3.1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23</v>
      </c>
      <c r="C10" s="14" t="s">
        <v>24</v>
      </c>
      <c r="D10" s="15" t="s">
        <v>25</v>
      </c>
      <c r="E10" s="16" t="s">
        <v>25</v>
      </c>
      <c r="F10" s="17">
        <v>4.2</v>
      </c>
      <c r="G10" s="17"/>
      <c r="H10" s="17"/>
      <c r="I10" s="19">
        <f t="shared" si="0"/>
        <v>0</v>
      </c>
    </row>
    <row r="11" spans="1:9" ht="15.6" customHeight="1" x14ac:dyDescent="0.25">
      <c r="A11" s="13">
        <v>7</v>
      </c>
      <c r="B11" s="14" t="s">
        <v>26</v>
      </c>
      <c r="C11" s="14" t="s">
        <v>27</v>
      </c>
      <c r="D11" s="15" t="s">
        <v>25</v>
      </c>
      <c r="E11" s="16" t="s">
        <v>25</v>
      </c>
      <c r="F11" s="17">
        <v>3.6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28</v>
      </c>
      <c r="C12" s="14" t="s">
        <v>29</v>
      </c>
      <c r="D12" s="15" t="s">
        <v>25</v>
      </c>
      <c r="E12" s="16" t="s">
        <v>25</v>
      </c>
      <c r="F12" s="17">
        <v>2.4</v>
      </c>
      <c r="G12" s="18"/>
      <c r="H12" s="18"/>
      <c r="I12" s="19">
        <f t="shared" si="0"/>
        <v>0</v>
      </c>
    </row>
    <row r="13" spans="1:9" ht="15.6" customHeight="1" x14ac:dyDescent="0.25">
      <c r="A13" s="13">
        <v>9</v>
      </c>
      <c r="B13" s="14" t="s">
        <v>30</v>
      </c>
      <c r="C13" s="14" t="s">
        <v>31</v>
      </c>
      <c r="D13" s="15" t="s">
        <v>25</v>
      </c>
      <c r="E13" s="16" t="s">
        <v>25</v>
      </c>
      <c r="F13" s="17">
        <v>3.1</v>
      </c>
      <c r="G13" s="17"/>
      <c r="H13" s="17"/>
      <c r="I13" s="19">
        <f t="shared" si="0"/>
        <v>0</v>
      </c>
    </row>
    <row r="14" spans="1:9" ht="15.6" customHeight="1" x14ac:dyDescent="0.25">
      <c r="A14" s="13">
        <v>10</v>
      </c>
      <c r="B14" s="14" t="s">
        <v>32</v>
      </c>
      <c r="C14" s="14" t="s">
        <v>33</v>
      </c>
      <c r="D14" s="15" t="s">
        <v>25</v>
      </c>
      <c r="E14" s="16" t="s">
        <v>25</v>
      </c>
      <c r="F14" s="17">
        <v>2.7</v>
      </c>
      <c r="G14" s="18"/>
      <c r="H14" s="18"/>
      <c r="I14" s="19">
        <f t="shared" si="0"/>
        <v>0</v>
      </c>
    </row>
    <row r="15" spans="1:9" ht="15.6" customHeight="1" x14ac:dyDescent="0.25">
      <c r="A15" s="13">
        <v>11</v>
      </c>
      <c r="B15" s="14" t="s">
        <v>34</v>
      </c>
      <c r="C15" s="14" t="s">
        <v>35</v>
      </c>
      <c r="D15" s="15" t="s">
        <v>13</v>
      </c>
      <c r="E15" s="16" t="s">
        <v>13</v>
      </c>
      <c r="F15" s="17">
        <v>1.1000000000000001</v>
      </c>
      <c r="G15" s="18"/>
      <c r="H15" s="18"/>
      <c r="I15" s="19">
        <f t="shared" si="0"/>
        <v>0</v>
      </c>
    </row>
    <row r="16" spans="1:9" ht="15.6" customHeight="1" x14ac:dyDescent="0.25">
      <c r="A16" s="13">
        <v>12</v>
      </c>
      <c r="B16" s="14" t="s">
        <v>36</v>
      </c>
      <c r="C16" s="14" t="s">
        <v>37</v>
      </c>
      <c r="D16" s="15" t="s">
        <v>38</v>
      </c>
      <c r="E16" s="16" t="s">
        <v>38</v>
      </c>
      <c r="F16" s="17">
        <v>1.6</v>
      </c>
      <c r="G16" s="17"/>
      <c r="H16" s="17"/>
      <c r="I16" s="19">
        <f t="shared" si="0"/>
        <v>0</v>
      </c>
    </row>
    <row r="17" spans="1:9" ht="16.8" customHeight="1" x14ac:dyDescent="0.25">
      <c r="A17" s="5" t="s">
        <v>39</v>
      </c>
      <c r="B17" s="5"/>
      <c r="C17" s="5"/>
      <c r="D17" s="5" t="s">
        <v>40</v>
      </c>
      <c r="E17" s="5"/>
      <c r="F17" s="20">
        <f>SUM(F5:F16)</f>
        <v>34.800000000000004</v>
      </c>
      <c r="G17" s="21"/>
      <c r="H17" s="20">
        <f>SUM(H5:H16)</f>
        <v>0</v>
      </c>
      <c r="I17" s="22">
        <f t="shared" si="0"/>
        <v>0</v>
      </c>
    </row>
    <row r="19" spans="1:9" ht="15" x14ac:dyDescent="0.25">
      <c r="A19" s="1" t="s">
        <v>41</v>
      </c>
    </row>
    <row r="21" spans="1:9" s="24" customFormat="1" ht="17.399999999999999" customHeight="1" x14ac:dyDescent="0.25">
      <c r="A21" s="5" t="s">
        <v>1</v>
      </c>
      <c r="B21" s="23" t="s">
        <v>2</v>
      </c>
      <c r="C21" s="23"/>
      <c r="D21" s="7" t="s">
        <v>3</v>
      </c>
      <c r="E21" s="8"/>
      <c r="F21" s="23" t="s">
        <v>42</v>
      </c>
      <c r="G21" s="6" t="s">
        <v>5</v>
      </c>
      <c r="H21" s="5" t="s">
        <v>6</v>
      </c>
      <c r="I21" s="5"/>
    </row>
    <row r="22" spans="1:9" s="24" customFormat="1" ht="17.399999999999999" customHeight="1" x14ac:dyDescent="0.25">
      <c r="A22" s="5"/>
      <c r="B22" s="10" t="s">
        <v>7</v>
      </c>
      <c r="C22" s="10" t="s">
        <v>8</v>
      </c>
      <c r="D22" s="11"/>
      <c r="E22" s="12"/>
      <c r="F22" s="23"/>
      <c r="G22" s="6"/>
      <c r="H22" s="10" t="s">
        <v>9</v>
      </c>
      <c r="I22" s="10" t="s">
        <v>10</v>
      </c>
    </row>
    <row r="23" spans="1:9" ht="16.2" customHeight="1" x14ac:dyDescent="0.25">
      <c r="A23" s="25">
        <v>1</v>
      </c>
      <c r="B23" s="26" t="s">
        <v>43</v>
      </c>
      <c r="C23" s="27" t="s">
        <v>44</v>
      </c>
      <c r="D23" s="28" t="s">
        <v>45</v>
      </c>
      <c r="E23" s="29" t="s">
        <v>45</v>
      </c>
      <c r="F23" s="30">
        <v>107</v>
      </c>
      <c r="G23" s="18"/>
      <c r="H23" s="18"/>
      <c r="I23" s="19">
        <f>H23/F23</f>
        <v>0</v>
      </c>
    </row>
    <row r="24" spans="1:9" ht="16.8" customHeight="1" x14ac:dyDescent="0.25">
      <c r="A24" s="5" t="s">
        <v>39</v>
      </c>
      <c r="B24" s="5"/>
      <c r="C24" s="5"/>
      <c r="D24" s="5" t="s">
        <v>46</v>
      </c>
      <c r="E24" s="5"/>
      <c r="F24" s="20">
        <f>SUM(F23:F23)</f>
        <v>107</v>
      </c>
      <c r="G24" s="21"/>
      <c r="H24" s="20">
        <f>SUM(H23:H23)</f>
        <v>0</v>
      </c>
      <c r="I24" s="22">
        <f>H24/F24</f>
        <v>0</v>
      </c>
    </row>
  </sheetData>
  <mergeCells count="29">
    <mergeCell ref="G21:G22"/>
    <mergeCell ref="H21:I21"/>
    <mergeCell ref="D23:E23"/>
    <mergeCell ref="A24:C24"/>
    <mergeCell ref="D24:E24"/>
    <mergeCell ref="A17:C17"/>
    <mergeCell ref="D17:E17"/>
    <mergeCell ref="A21:A22"/>
    <mergeCell ref="B21:C21"/>
    <mergeCell ref="D21:E22"/>
    <mergeCell ref="F21:F22"/>
    <mergeCell ref="D11:E11"/>
    <mergeCell ref="D12:E12"/>
    <mergeCell ref="D13:E13"/>
    <mergeCell ref="D14:E14"/>
    <mergeCell ref="D15:E15"/>
    <mergeCell ref="D16:E16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3EE10-8300-4C90-9399-9BFB5164A4E5}">
  <sheetPr codeName="Sheet37"/>
  <dimension ref="A1:I7"/>
  <sheetViews>
    <sheetView zoomScaleNormal="100" workbookViewId="0">
      <selection activeCell="A7" sqref="A7:C7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4.2</v>
      </c>
      <c r="G5" s="18"/>
      <c r="H5" s="18"/>
      <c r="I5" s="19">
        <f t="shared" ref="I5:I7" si="0">H5/F5</f>
        <v>0</v>
      </c>
    </row>
    <row r="6" spans="1:9" ht="15.6" customHeight="1" x14ac:dyDescent="0.25">
      <c r="A6" s="13">
        <v>2</v>
      </c>
      <c r="B6" s="14" t="s">
        <v>34</v>
      </c>
      <c r="C6" s="14" t="s">
        <v>35</v>
      </c>
      <c r="D6" s="15" t="s">
        <v>13</v>
      </c>
      <c r="E6" s="16" t="s">
        <v>13</v>
      </c>
      <c r="F6" s="17">
        <v>1.1000000000000001</v>
      </c>
      <c r="G6" s="18"/>
      <c r="H6" s="18"/>
      <c r="I6" s="19">
        <f t="shared" si="0"/>
        <v>0</v>
      </c>
    </row>
    <row r="7" spans="1:9" ht="16.8" customHeight="1" x14ac:dyDescent="0.25">
      <c r="A7" s="5" t="s">
        <v>39</v>
      </c>
      <c r="B7" s="5"/>
      <c r="C7" s="5"/>
      <c r="D7" s="5" t="s">
        <v>47</v>
      </c>
      <c r="E7" s="5"/>
      <c r="F7" s="20">
        <f>SUM(F5:F6)</f>
        <v>5.3000000000000007</v>
      </c>
      <c r="G7" s="21"/>
      <c r="H7" s="20">
        <f>SUM(H5:H6)</f>
        <v>0</v>
      </c>
      <c r="I7" s="22">
        <f t="shared" si="0"/>
        <v>0</v>
      </c>
    </row>
  </sheetData>
  <mergeCells count="10">
    <mergeCell ref="A7:C7"/>
    <mergeCell ref="D7:E7"/>
    <mergeCell ref="D6:E6"/>
    <mergeCell ref="D5:E5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7A714-6A02-48F4-B4B7-7358EDF59D7B}">
  <sheetPr codeName="Sheet38"/>
  <dimension ref="A1:I10"/>
  <sheetViews>
    <sheetView zoomScaleNormal="100" workbookViewId="0">
      <selection activeCell="D11" sqref="D11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14</v>
      </c>
      <c r="C5" s="14" t="s">
        <v>15</v>
      </c>
      <c r="D5" s="15" t="s">
        <v>16</v>
      </c>
      <c r="E5" s="16" t="s">
        <v>16</v>
      </c>
      <c r="F5" s="17">
        <v>4.5</v>
      </c>
      <c r="G5" s="18"/>
      <c r="H5" s="18"/>
      <c r="I5" s="19">
        <f t="shared" ref="I5:I10" si="0">H5/F5</f>
        <v>0</v>
      </c>
    </row>
    <row r="6" spans="1:9" ht="15.6" customHeight="1" x14ac:dyDescent="0.25">
      <c r="A6" s="13">
        <v>2</v>
      </c>
      <c r="B6" s="14" t="s">
        <v>17</v>
      </c>
      <c r="C6" s="14" t="s">
        <v>18</v>
      </c>
      <c r="D6" s="15" t="s">
        <v>16</v>
      </c>
      <c r="E6" s="16" t="s">
        <v>16</v>
      </c>
      <c r="F6" s="17">
        <v>2.4</v>
      </c>
      <c r="G6" s="17"/>
      <c r="H6" s="17"/>
      <c r="I6" s="19">
        <f t="shared" si="0"/>
        <v>0</v>
      </c>
    </row>
    <row r="7" spans="1:9" ht="15.6" customHeight="1" x14ac:dyDescent="0.25">
      <c r="A7" s="13">
        <v>3</v>
      </c>
      <c r="B7" s="14" t="s">
        <v>19</v>
      </c>
      <c r="C7" s="14" t="s">
        <v>20</v>
      </c>
      <c r="D7" s="15" t="s">
        <v>16</v>
      </c>
      <c r="E7" s="16" t="s">
        <v>16</v>
      </c>
      <c r="F7" s="17">
        <v>1.9</v>
      </c>
      <c r="G7" s="18"/>
      <c r="H7" s="18"/>
      <c r="I7" s="19">
        <f t="shared" si="0"/>
        <v>0</v>
      </c>
    </row>
    <row r="8" spans="1:9" ht="15.6" customHeight="1" x14ac:dyDescent="0.25">
      <c r="A8" s="13">
        <v>4</v>
      </c>
      <c r="B8" s="14" t="s">
        <v>21</v>
      </c>
      <c r="C8" s="14" t="s">
        <v>22</v>
      </c>
      <c r="D8" s="15" t="s">
        <v>16</v>
      </c>
      <c r="E8" s="16" t="s">
        <v>16</v>
      </c>
      <c r="F8" s="17">
        <v>3.1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36</v>
      </c>
      <c r="C9" s="14" t="s">
        <v>37</v>
      </c>
      <c r="D9" s="15" t="s">
        <v>38</v>
      </c>
      <c r="E9" s="16" t="s">
        <v>38</v>
      </c>
      <c r="F9" s="17">
        <v>1.6</v>
      </c>
      <c r="G9" s="17"/>
      <c r="H9" s="17"/>
      <c r="I9" s="19">
        <f t="shared" si="0"/>
        <v>0</v>
      </c>
    </row>
    <row r="10" spans="1:9" ht="16.8" customHeight="1" x14ac:dyDescent="0.25">
      <c r="A10" s="5" t="s">
        <v>39</v>
      </c>
      <c r="B10" s="5"/>
      <c r="C10" s="5"/>
      <c r="D10" s="5" t="s">
        <v>48</v>
      </c>
      <c r="E10" s="5"/>
      <c r="F10" s="20">
        <f>SUM(F5:F9)</f>
        <v>13.5</v>
      </c>
      <c r="G10" s="21"/>
      <c r="H10" s="20">
        <f>SUM(H5:H9)</f>
        <v>0</v>
      </c>
      <c r="I10" s="22">
        <f t="shared" si="0"/>
        <v>0</v>
      </c>
    </row>
  </sheetData>
  <mergeCells count="13">
    <mergeCell ref="A10:C10"/>
    <mergeCell ref="D10:E10"/>
    <mergeCell ref="D9:E9"/>
    <mergeCell ref="D5:E5"/>
    <mergeCell ref="D6:E6"/>
    <mergeCell ref="D7:E7"/>
    <mergeCell ref="D8:E8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8DB-36BF-4EE4-A933-D0DC752E74DE}">
  <sheetPr codeName="Sheet39"/>
  <dimension ref="A1:I10"/>
  <sheetViews>
    <sheetView zoomScaleNormal="100" workbookViewId="0">
      <selection activeCell="C22" sqref="C22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23</v>
      </c>
      <c r="C5" s="14" t="s">
        <v>24</v>
      </c>
      <c r="D5" s="15" t="s">
        <v>25</v>
      </c>
      <c r="E5" s="16" t="s">
        <v>25</v>
      </c>
      <c r="F5" s="17">
        <v>4.2</v>
      </c>
      <c r="G5" s="17"/>
      <c r="H5" s="17"/>
      <c r="I5" s="19">
        <f t="shared" ref="I5:I10" si="0">H5/F5</f>
        <v>0</v>
      </c>
    </row>
    <row r="6" spans="1:9" ht="15.6" customHeight="1" x14ac:dyDescent="0.25">
      <c r="A6" s="13">
        <v>2</v>
      </c>
      <c r="B6" s="14" t="s">
        <v>26</v>
      </c>
      <c r="C6" s="14" t="s">
        <v>27</v>
      </c>
      <c r="D6" s="15" t="s">
        <v>25</v>
      </c>
      <c r="E6" s="16" t="s">
        <v>25</v>
      </c>
      <c r="F6" s="17">
        <v>3.6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28</v>
      </c>
      <c r="C7" s="14" t="s">
        <v>29</v>
      </c>
      <c r="D7" s="15" t="s">
        <v>25</v>
      </c>
      <c r="E7" s="16" t="s">
        <v>25</v>
      </c>
      <c r="F7" s="17">
        <v>2.4</v>
      </c>
      <c r="G7" s="18"/>
      <c r="H7" s="18"/>
      <c r="I7" s="19">
        <f t="shared" si="0"/>
        <v>0</v>
      </c>
    </row>
    <row r="8" spans="1:9" ht="15.6" customHeight="1" x14ac:dyDescent="0.25">
      <c r="A8" s="13">
        <v>4</v>
      </c>
      <c r="B8" s="14" t="s">
        <v>30</v>
      </c>
      <c r="C8" s="14" t="s">
        <v>31</v>
      </c>
      <c r="D8" s="15" t="s">
        <v>25</v>
      </c>
      <c r="E8" s="16" t="s">
        <v>25</v>
      </c>
      <c r="F8" s="17">
        <v>3.1</v>
      </c>
      <c r="G8" s="17"/>
      <c r="H8" s="17"/>
      <c r="I8" s="19">
        <f t="shared" si="0"/>
        <v>0</v>
      </c>
    </row>
    <row r="9" spans="1:9" ht="15.6" customHeight="1" x14ac:dyDescent="0.25">
      <c r="A9" s="13">
        <v>5</v>
      </c>
      <c r="B9" s="14" t="s">
        <v>32</v>
      </c>
      <c r="C9" s="14" t="s">
        <v>33</v>
      </c>
      <c r="D9" s="15" t="s">
        <v>25</v>
      </c>
      <c r="E9" s="16" t="s">
        <v>25</v>
      </c>
      <c r="F9" s="17">
        <v>2.7</v>
      </c>
      <c r="G9" s="18"/>
      <c r="H9" s="18"/>
      <c r="I9" s="19">
        <f t="shared" si="0"/>
        <v>0</v>
      </c>
    </row>
    <row r="10" spans="1:9" ht="16.8" customHeight="1" x14ac:dyDescent="0.25">
      <c r="A10" s="5" t="s">
        <v>39</v>
      </c>
      <c r="B10" s="5"/>
      <c r="C10" s="5"/>
      <c r="D10" s="5" t="s">
        <v>48</v>
      </c>
      <c r="E10" s="5"/>
      <c r="F10" s="20">
        <f>SUM(F5:F9)</f>
        <v>16</v>
      </c>
      <c r="G10" s="21"/>
      <c r="H10" s="20">
        <f>SUM(H5:H9)</f>
        <v>0</v>
      </c>
      <c r="I10" s="22">
        <f t="shared" si="0"/>
        <v>0</v>
      </c>
    </row>
  </sheetData>
  <mergeCells count="13">
    <mergeCell ref="A10:C10"/>
    <mergeCell ref="D10:E10"/>
    <mergeCell ref="D6:E6"/>
    <mergeCell ref="D7:E7"/>
    <mergeCell ref="D8:E8"/>
    <mergeCell ref="D9:E9"/>
    <mergeCell ref="D5:E5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992F1-9248-46F3-A65A-D54309762388}">
  <sheetPr codeName="Sheet40"/>
  <dimension ref="A2:I7"/>
  <sheetViews>
    <sheetView tabSelected="1" zoomScaleNormal="100" workbookViewId="0">
      <selection activeCell="C12" sqref="C12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2" spans="1:9" ht="15" x14ac:dyDescent="0.25">
      <c r="A2" s="1" t="s">
        <v>41</v>
      </c>
    </row>
    <row r="4" spans="1:9" s="24" customFormat="1" ht="17.399999999999999" customHeight="1" x14ac:dyDescent="0.25">
      <c r="A4" s="5" t="s">
        <v>1</v>
      </c>
      <c r="B4" s="23" t="s">
        <v>2</v>
      </c>
      <c r="C4" s="23"/>
      <c r="D4" s="7" t="s">
        <v>3</v>
      </c>
      <c r="E4" s="8"/>
      <c r="F4" s="23" t="s">
        <v>42</v>
      </c>
      <c r="G4" s="6" t="s">
        <v>5</v>
      </c>
      <c r="H4" s="5" t="s">
        <v>6</v>
      </c>
      <c r="I4" s="5"/>
    </row>
    <row r="5" spans="1:9" s="24" customFormat="1" ht="17.399999999999999" customHeight="1" x14ac:dyDescent="0.25">
      <c r="A5" s="5"/>
      <c r="B5" s="10" t="s">
        <v>7</v>
      </c>
      <c r="C5" s="10" t="s">
        <v>8</v>
      </c>
      <c r="D5" s="11"/>
      <c r="E5" s="12"/>
      <c r="F5" s="23"/>
      <c r="G5" s="6"/>
      <c r="H5" s="10" t="s">
        <v>9</v>
      </c>
      <c r="I5" s="10" t="s">
        <v>10</v>
      </c>
    </row>
    <row r="6" spans="1:9" ht="16.2" customHeight="1" x14ac:dyDescent="0.25">
      <c r="A6" s="25">
        <v>1</v>
      </c>
      <c r="B6" s="26" t="s">
        <v>43</v>
      </c>
      <c r="C6" s="27" t="s">
        <v>44</v>
      </c>
      <c r="D6" s="28" t="s">
        <v>45</v>
      </c>
      <c r="E6" s="29" t="s">
        <v>45</v>
      </c>
      <c r="F6" s="30">
        <v>107</v>
      </c>
      <c r="G6" s="18"/>
      <c r="H6" s="18"/>
      <c r="I6" s="19">
        <f>H6/F6</f>
        <v>0</v>
      </c>
    </row>
    <row r="7" spans="1:9" ht="16.8" customHeight="1" x14ac:dyDescent="0.25">
      <c r="A7" s="5" t="s">
        <v>39</v>
      </c>
      <c r="B7" s="5"/>
      <c r="C7" s="5"/>
      <c r="D7" s="5" t="s">
        <v>46</v>
      </c>
      <c r="E7" s="5"/>
      <c r="F7" s="20">
        <f>SUM(F6:F6)</f>
        <v>107</v>
      </c>
      <c r="G7" s="21"/>
      <c r="H7" s="20">
        <f>SUM(H6:H6)</f>
        <v>0</v>
      </c>
      <c r="I7" s="22">
        <f>H7/F7</f>
        <v>0</v>
      </c>
    </row>
  </sheetData>
  <mergeCells count="9">
    <mergeCell ref="G4:G5"/>
    <mergeCell ref="H4:I4"/>
    <mergeCell ref="D6:E6"/>
    <mergeCell ref="A7:C7"/>
    <mergeCell ref="D7:E7"/>
    <mergeCell ref="A4:A5"/>
    <mergeCell ref="B4:C4"/>
    <mergeCell ref="D4:E5"/>
    <mergeCell ref="F4:F5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Inv__Ujitjes_Kurbin</vt:lpstr>
      <vt:lpstr>Rezervuar</vt:lpstr>
      <vt:lpstr>Stacion Pompimi</vt:lpstr>
      <vt:lpstr>Lume</vt:lpstr>
      <vt:lpstr>Skema pjeserisht te transferuar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2026-10-06T13:13:54Z</dcterms:created>
  <dcterms:modified xsi:type="dcterms:W3CDTF">2026-10-06T13:16:50Z</dcterms:modified>
</cp:coreProperties>
</file>