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2EA1933-8C05-470A-ADBB-FEEF7BEA1A73}" xr6:coauthVersionLast="47" xr6:coauthVersionMax="47" xr10:uidLastSave="{00000000-0000-0000-0000-000000000000}"/>
  <bookViews>
    <workbookView xWindow="-28920" yWindow="-1470" windowWidth="29040" windowHeight="15720" xr2:uid="{0D101B44-9502-4AFF-8EA2-0F06E02D82FE}"/>
  </bookViews>
  <sheets>
    <sheet name="Inv__Ujitjes_Vlore" sheetId="1" r:id="rId1"/>
    <sheet name="Rezervuar" sheetId="2" r:id="rId2"/>
    <sheet name="Stacion Pompimi" sheetId="3" r:id="rId3"/>
    <sheet name="Lu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I7" i="5" s="1"/>
  <c r="F7" i="5"/>
  <c r="I6" i="5"/>
  <c r="H8" i="4"/>
  <c r="F8" i="4"/>
  <c r="I7" i="4"/>
  <c r="I6" i="4"/>
  <c r="I5" i="4"/>
  <c r="H11" i="3"/>
  <c r="F11" i="3"/>
  <c r="I10" i="3"/>
  <c r="I9" i="3"/>
  <c r="I8" i="3"/>
  <c r="I7" i="3"/>
  <c r="I6" i="3"/>
  <c r="I5" i="3"/>
  <c r="H11" i="2"/>
  <c r="F11" i="2"/>
  <c r="I10" i="2"/>
  <c r="I9" i="2"/>
  <c r="I8" i="2"/>
  <c r="I7" i="2"/>
  <c r="I6" i="2"/>
  <c r="I5" i="2"/>
  <c r="H27" i="1"/>
  <c r="I27" i="1" s="1"/>
  <c r="F27" i="1"/>
  <c r="I26" i="1"/>
  <c r="H20" i="1"/>
  <c r="I20" i="1" s="1"/>
  <c r="F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8" i="4" l="1"/>
  <c r="I11" i="3"/>
  <c r="I11" i="2"/>
</calcChain>
</file>

<file path=xl/sharedStrings.xml><?xml version="1.0" encoding="utf-8"?>
<sst xmlns="http://schemas.openxmlformats.org/spreadsheetml/2006/main" count="202" uniqueCount="63">
  <si>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</si>
  <si>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</si>
  <si>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</si>
  <si>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</si>
  <si>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</si>
  <si>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</si>
  <si>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</si>
  <si>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</si>
  <si>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</si>
  <si>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</si>
  <si>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</si>
  <si>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VLU - 10</t>
  </si>
  <si>
    <t>Kallafet reservoir</t>
  </si>
  <si>
    <t>Rezervuar ( Kallafet )</t>
  </si>
  <si>
    <t>VLU - 9</t>
  </si>
  <si>
    <t>Babice reservoir</t>
  </si>
  <si>
    <t>Rezervuar ( Babice )</t>
  </si>
  <si>
    <t>VLU - 2</t>
  </si>
  <si>
    <t>Myzeqe e Vlores</t>
  </si>
  <si>
    <t>Stp. Mifol Nr.2, Panaja, Zvernec, Bestrove</t>
  </si>
  <si>
    <t>VLU - 57</t>
  </si>
  <si>
    <t>Jonufer kanal</t>
  </si>
  <si>
    <t>Lume ( Izvor )</t>
  </si>
  <si>
    <t>VLU - 1</t>
  </si>
  <si>
    <t>Stp. Mifol Nr.1</t>
  </si>
  <si>
    <t>VLU - 6</t>
  </si>
  <si>
    <t>Dukat - Tragjas</t>
  </si>
  <si>
    <t>Lum + stp</t>
  </si>
  <si>
    <t>VLU - 8</t>
  </si>
  <si>
    <t>Bunavis reservoir</t>
  </si>
  <si>
    <t>Rezervuar ( Bunavis )</t>
  </si>
  <si>
    <t>VLU - 11</t>
  </si>
  <si>
    <t>Kanine reservoir 1</t>
  </si>
  <si>
    <t>Rezervuar ( Kanine 1 )</t>
  </si>
  <si>
    <t>VLU - 12</t>
  </si>
  <si>
    <t>Kanine reservoir 2</t>
  </si>
  <si>
    <t>Rezervuar. ( Kanine 2 )</t>
  </si>
  <si>
    <t>VLU - 17</t>
  </si>
  <si>
    <t>Bestrove</t>
  </si>
  <si>
    <t>Reservuar</t>
  </si>
  <si>
    <t>VLU - 48</t>
  </si>
  <si>
    <t>Sherisht stacion pompimi</t>
  </si>
  <si>
    <t>Lume ( Kallafet )</t>
  </si>
  <si>
    <t>VLU - 49</t>
  </si>
  <si>
    <t>Risili  stacion pompimi</t>
  </si>
  <si>
    <t>Kanal. ( Penkov )</t>
  </si>
  <si>
    <t>VLU - 52</t>
  </si>
  <si>
    <t>Izvor stacion pompimi</t>
  </si>
  <si>
    <t>VLU - 53</t>
  </si>
  <si>
    <t>Jonufer stacion pompimi 4</t>
  </si>
  <si>
    <t>Kanal. ( Jonufer )</t>
  </si>
  <si>
    <t>VLU -V4</t>
  </si>
  <si>
    <t xml:space="preserve">Ekonomite </t>
  </si>
  <si>
    <t>Total</t>
  </si>
  <si>
    <t>15 Skema</t>
  </si>
  <si>
    <t>Skema të pjesërisht të transferuara</t>
  </si>
  <si>
    <t>Vetëm Kanale të Dyta në Km</t>
  </si>
  <si>
    <t>VLU - 3</t>
  </si>
  <si>
    <t>Llakatund - Selenice</t>
  </si>
  <si>
    <t>Lume Shushica + stp</t>
  </si>
  <si>
    <t>1 Skeme</t>
  </si>
  <si>
    <t>6 Skema</t>
  </si>
  <si>
    <t>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</si>
</sst>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00718063-36DE-40DF-9075-E3C37D61188E}"/>
    <cellStyle name="Percent 4" xfId="2" xr:uid="{F6A2A41F-AAB3-4BA3-897C-E2090D44D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9570-DAAE-44E5-8350-CAA1B3A550ED}">
  <sheetPr codeName="Sheet91"/>
  <dimension ref="A1:I27"/>
  <sheetViews>
    <sheetView tabSelected="1" zoomScaleNormal="100" workbookViewId="0">
      <selection activeCell="J21" sqref="J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34</v>
      </c>
      <c r="G5" s="17"/>
      <c r="H5" s="17"/>
      <c r="I5" s="18">
        <f t="shared" ref="I5:I2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>
        <v>43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4">
        <v>85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4">
        <v>8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18</v>
      </c>
      <c r="D9" s="15" t="s">
        <v>24</v>
      </c>
      <c r="E9" s="16" t="s">
        <v>24</v>
      </c>
      <c r="F9" s="14">
        <v>208.3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27</v>
      </c>
      <c r="E10" s="16" t="s">
        <v>27</v>
      </c>
      <c r="F10" s="14">
        <v>71.099999999999994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5" t="s">
        <v>30</v>
      </c>
      <c r="E11" s="16" t="s">
        <v>30</v>
      </c>
      <c r="F11" s="14">
        <v>7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31</v>
      </c>
      <c r="C12" s="14" t="s">
        <v>32</v>
      </c>
      <c r="D12" s="15" t="s">
        <v>33</v>
      </c>
      <c r="E12" s="16" t="s">
        <v>33</v>
      </c>
      <c r="F12" s="14">
        <v>3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34</v>
      </c>
      <c r="C13" s="14" t="s">
        <v>35</v>
      </c>
      <c r="D13" s="15" t="s">
        <v>36</v>
      </c>
      <c r="E13" s="16" t="s">
        <v>36</v>
      </c>
      <c r="F13" s="14">
        <v>2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37</v>
      </c>
      <c r="C14" s="14" t="s">
        <v>38</v>
      </c>
      <c r="D14" s="15" t="s">
        <v>39</v>
      </c>
      <c r="E14" s="16" t="s">
        <v>39</v>
      </c>
      <c r="F14" s="14">
        <v>9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5" t="s">
        <v>42</v>
      </c>
      <c r="E15" s="16" t="s">
        <v>42</v>
      </c>
      <c r="F15" s="14">
        <v>6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43</v>
      </c>
      <c r="C16" s="14" t="s">
        <v>44</v>
      </c>
      <c r="D16" s="15" t="s">
        <v>45</v>
      </c>
      <c r="E16" s="16" t="s">
        <v>45</v>
      </c>
      <c r="F16" s="14">
        <v>9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5" t="s">
        <v>22</v>
      </c>
      <c r="E17" s="16" t="s">
        <v>22</v>
      </c>
      <c r="F17" s="14">
        <v>2.8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48</v>
      </c>
      <c r="C18" s="14" t="s">
        <v>49</v>
      </c>
      <c r="D18" s="15" t="s">
        <v>50</v>
      </c>
      <c r="E18" s="16" t="s">
        <v>50</v>
      </c>
      <c r="F18" s="14">
        <v>1.2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51</v>
      </c>
      <c r="C19" s="14" t="s">
        <v>52</v>
      </c>
      <c r="D19" s="15"/>
      <c r="E19" s="16"/>
      <c r="F19" s="14">
        <v>25</v>
      </c>
      <c r="G19" s="14"/>
      <c r="H19" s="14"/>
      <c r="I19" s="18">
        <f t="shared" si="0"/>
        <v>0</v>
      </c>
    </row>
    <row r="20" spans="1:9" ht="16.8" customHeight="1" x14ac:dyDescent="0.25">
      <c r="A20" s="5" t="s">
        <v>53</v>
      </c>
      <c r="B20" s="5"/>
      <c r="C20" s="5"/>
      <c r="D20" s="5" t="s">
        <v>54</v>
      </c>
      <c r="E20" s="5"/>
      <c r="F20" s="19">
        <f>SUM(F5:F19)</f>
        <v>514.4</v>
      </c>
      <c r="G20" s="20"/>
      <c r="H20" s="19">
        <f>SUM(H5:H19)</f>
        <v>0</v>
      </c>
      <c r="I20" s="21">
        <f t="shared" si="0"/>
        <v>0</v>
      </c>
    </row>
    <row r="22" spans="1:9" ht="15" x14ac:dyDescent="0.25">
      <c r="A22" s="1" t="s">
        <v>55</v>
      </c>
    </row>
    <row r="24" spans="1:9" s="23" customFormat="1" ht="17.399999999999999" customHeight="1" x14ac:dyDescent="0.25">
      <c r="A24" s="5" t="s">
        <v>1</v>
      </c>
      <c r="B24" s="22" t="s">
        <v>2</v>
      </c>
      <c r="C24" s="22"/>
      <c r="D24" s="7" t="s">
        <v>3</v>
      </c>
      <c r="E24" s="8"/>
      <c r="F24" s="22" t="s">
        <v>56</v>
      </c>
      <c r="G24" s="6" t="s">
        <v>5</v>
      </c>
      <c r="H24" s="5" t="s">
        <v>6</v>
      </c>
      <c r="I24" s="5"/>
    </row>
    <row r="25" spans="1:9" s="23" customFormat="1" ht="17.399999999999999" customHeight="1" x14ac:dyDescent="0.25">
      <c r="A25" s="5"/>
      <c r="B25" s="10" t="s">
        <v>7</v>
      </c>
      <c r="C25" s="10" t="s">
        <v>8</v>
      </c>
      <c r="D25" s="11"/>
      <c r="E25" s="12"/>
      <c r="F25" s="22"/>
      <c r="G25" s="6"/>
      <c r="H25" s="10" t="s">
        <v>9</v>
      </c>
      <c r="I25" s="10" t="s">
        <v>10</v>
      </c>
    </row>
    <row r="26" spans="1:9" ht="16.2" customHeight="1" x14ac:dyDescent="0.25">
      <c r="A26" s="24">
        <v>1</v>
      </c>
      <c r="B26" s="25" t="s">
        <v>57</v>
      </c>
      <c r="C26" s="26" t="s">
        <v>58</v>
      </c>
      <c r="D26" s="27" t="s">
        <v>59</v>
      </c>
      <c r="E26" s="28" t="s">
        <v>59</v>
      </c>
      <c r="F26" s="29">
        <v>114</v>
      </c>
      <c r="G26" s="17"/>
      <c r="H26" s="17"/>
      <c r="I26" s="18">
        <f>H26/F26</f>
        <v>0</v>
      </c>
    </row>
    <row r="27" spans="1:9" ht="16.8" customHeight="1" x14ac:dyDescent="0.25">
      <c r="A27" s="5" t="s">
        <v>53</v>
      </c>
      <c r="B27" s="5"/>
      <c r="C27" s="5"/>
      <c r="D27" s="5" t="s">
        <v>60</v>
      </c>
      <c r="E27" s="5"/>
      <c r="F27" s="19">
        <f>SUM(F26:F26)</f>
        <v>114</v>
      </c>
      <c r="G27" s="20"/>
      <c r="H27" s="19">
        <f>SUM(H26:H26)</f>
        <v>0</v>
      </c>
      <c r="I27" s="21">
        <f>H27/F27</f>
        <v>0</v>
      </c>
    </row>
  </sheetData>
  <mergeCells count="32">
    <mergeCell ref="F24:F25"/>
    <mergeCell ref="G24:G25"/>
    <mergeCell ref="H24:I24"/>
    <mergeCell ref="D26:E26"/>
    <mergeCell ref="A27:C27"/>
    <mergeCell ref="D27:E27"/>
    <mergeCell ref="D17:E17"/>
    <mergeCell ref="D18:E18"/>
    <mergeCell ref="D19:E19"/>
    <mergeCell ref="A20:C20"/>
    <mergeCell ref="D20:E20"/>
    <mergeCell ref="A24:A25"/>
    <mergeCell ref="B24:C24"/>
    <mergeCell ref="D24:E25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44FD-1D31-4A1C-8CD1-B0C10414059F}">
  <sheetPr codeName="Sheet92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34</v>
      </c>
      <c r="G5" s="17"/>
      <c r="H5" s="17"/>
      <c r="I5" s="18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>
        <v>43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28</v>
      </c>
      <c r="C7" s="14" t="s">
        <v>29</v>
      </c>
      <c r="D7" s="15" t="s">
        <v>30</v>
      </c>
      <c r="E7" s="16" t="s">
        <v>30</v>
      </c>
      <c r="F7" s="14">
        <v>7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31</v>
      </c>
      <c r="C8" s="14" t="s">
        <v>32</v>
      </c>
      <c r="D8" s="15" t="s">
        <v>33</v>
      </c>
      <c r="E8" s="16" t="s">
        <v>33</v>
      </c>
      <c r="F8" s="14">
        <v>3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34</v>
      </c>
      <c r="C9" s="14" t="s">
        <v>35</v>
      </c>
      <c r="D9" s="15" t="s">
        <v>36</v>
      </c>
      <c r="E9" s="16" t="s">
        <v>36</v>
      </c>
      <c r="F9" s="14">
        <v>2</v>
      </c>
      <c r="G9" s="14"/>
      <c r="H9" s="14"/>
      <c r="I9" s="18">
        <f t="shared" si="0"/>
        <v>0</v>
      </c>
    </row>
    <row r="10" spans="1:9" ht="15.6" customHeight="1" x14ac:dyDescent="0.25">
      <c r="A10" s="13">
        <v>6</v>
      </c>
      <c r="B10" s="14" t="s">
        <v>37</v>
      </c>
      <c r="C10" s="14" t="s">
        <v>38</v>
      </c>
      <c r="D10" s="15" t="s">
        <v>39</v>
      </c>
      <c r="E10" s="16" t="s">
        <v>39</v>
      </c>
      <c r="F10" s="14">
        <v>9</v>
      </c>
      <c r="G10" s="17"/>
      <c r="H10" s="17"/>
      <c r="I10" s="18">
        <f t="shared" si="0"/>
        <v>0</v>
      </c>
    </row>
    <row r="11" spans="1:9" ht="16.8" customHeight="1" x14ac:dyDescent="0.25">
      <c r="A11" s="5" t="s">
        <v>53</v>
      </c>
      <c r="B11" s="5"/>
      <c r="C11" s="5"/>
      <c r="D11" s="5" t="s">
        <v>61</v>
      </c>
      <c r="E11" s="5"/>
      <c r="F11" s="19">
        <f>SUM(F5:F10)</f>
        <v>98</v>
      </c>
      <c r="G11" s="20"/>
      <c r="H11" s="19">
        <f>SUM(H5:H10)</f>
        <v>0</v>
      </c>
      <c r="I11" s="21">
        <f t="shared" si="0"/>
        <v>0</v>
      </c>
    </row>
  </sheetData>
  <mergeCells count="14">
    <mergeCell ref="A11:C11"/>
    <mergeCell ref="D11:E11"/>
    <mergeCell ref="D7:E7"/>
    <mergeCell ref="D8:E8"/>
    <mergeCell ref="D9:E9"/>
    <mergeCell ref="D10:E10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C9FF-C4B5-448B-8704-9E453F96500F}">
  <sheetPr codeName="Sheet93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23</v>
      </c>
      <c r="C5" s="14" t="s">
        <v>18</v>
      </c>
      <c r="D5" s="15" t="s">
        <v>24</v>
      </c>
      <c r="E5" s="16" t="s">
        <v>24</v>
      </c>
      <c r="F5" s="14">
        <v>208.3</v>
      </c>
      <c r="G5" s="17"/>
      <c r="H5" s="17"/>
      <c r="I5" s="18">
        <f t="shared" ref="I5:I11" si="0">H5/F5</f>
        <v>0</v>
      </c>
    </row>
    <row r="6" spans="1:9" ht="15.6" customHeight="1" x14ac:dyDescent="0.25">
      <c r="A6" s="13">
        <v>2</v>
      </c>
      <c r="B6" s="14" t="s">
        <v>25</v>
      </c>
      <c r="C6" s="14" t="s">
        <v>26</v>
      </c>
      <c r="D6" s="15" t="s">
        <v>27</v>
      </c>
      <c r="E6" s="16" t="s">
        <v>27</v>
      </c>
      <c r="F6" s="14">
        <v>71.099999999999994</v>
      </c>
      <c r="G6" s="14"/>
      <c r="H6" s="14"/>
      <c r="I6" s="18">
        <f t="shared" si="0"/>
        <v>0</v>
      </c>
    </row>
    <row r="7" spans="1:9" ht="15.6" customHeight="1" x14ac:dyDescent="0.25">
      <c r="A7" s="13">
        <v>3</v>
      </c>
      <c r="B7" s="14" t="s">
        <v>40</v>
      </c>
      <c r="C7" s="14" t="s">
        <v>41</v>
      </c>
      <c r="D7" s="15" t="s">
        <v>42</v>
      </c>
      <c r="E7" s="16" t="s">
        <v>42</v>
      </c>
      <c r="F7" s="14">
        <v>6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43</v>
      </c>
      <c r="C8" s="14" t="s">
        <v>44</v>
      </c>
      <c r="D8" s="15" t="s">
        <v>45</v>
      </c>
      <c r="E8" s="16" t="s">
        <v>45</v>
      </c>
      <c r="F8" s="14">
        <v>9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46</v>
      </c>
      <c r="C9" s="14" t="s">
        <v>47</v>
      </c>
      <c r="D9" s="15" t="s">
        <v>22</v>
      </c>
      <c r="E9" s="16" t="s">
        <v>22</v>
      </c>
      <c r="F9" s="14">
        <v>2.8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48</v>
      </c>
      <c r="C10" s="14" t="s">
        <v>49</v>
      </c>
      <c r="D10" s="15" t="s">
        <v>50</v>
      </c>
      <c r="E10" s="16" t="s">
        <v>50</v>
      </c>
      <c r="F10" s="14">
        <v>1.2</v>
      </c>
      <c r="G10" s="17"/>
      <c r="H10" s="17"/>
      <c r="I10" s="18">
        <f t="shared" si="0"/>
        <v>0</v>
      </c>
    </row>
    <row r="11" spans="1:9" ht="16.8" customHeight="1" x14ac:dyDescent="0.25">
      <c r="A11" s="5" t="s">
        <v>53</v>
      </c>
      <c r="B11" s="5"/>
      <c r="C11" s="5"/>
      <c r="D11" s="5" t="s">
        <v>61</v>
      </c>
      <c r="E11" s="5"/>
      <c r="F11" s="19">
        <f>SUM(F5:F10)</f>
        <v>298.39999999999998</v>
      </c>
      <c r="G11" s="20"/>
      <c r="H11" s="19">
        <f>SUM(H5:H10)</f>
        <v>0</v>
      </c>
      <c r="I11" s="21">
        <f t="shared" si="0"/>
        <v>0</v>
      </c>
    </row>
  </sheetData>
  <mergeCells count="14">
    <mergeCell ref="D9:E9"/>
    <mergeCell ref="D10:E10"/>
    <mergeCell ref="A11:C11"/>
    <mergeCell ref="D11:E11"/>
    <mergeCell ref="D7:E7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C0B9-7A02-46DD-95BB-5878804F5E65}">
  <sheetPr codeName="Sheet94"/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17</v>
      </c>
      <c r="C5" s="14" t="s">
        <v>18</v>
      </c>
      <c r="D5" s="15" t="s">
        <v>19</v>
      </c>
      <c r="E5" s="16" t="s">
        <v>19</v>
      </c>
      <c r="F5" s="14">
        <v>85</v>
      </c>
      <c r="G5" s="14"/>
      <c r="H5" s="14"/>
      <c r="I5" s="18">
        <f t="shared" ref="I5:I8" si="0"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22</v>
      </c>
      <c r="E6" s="16" t="s">
        <v>22</v>
      </c>
      <c r="F6" s="14">
        <v>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51</v>
      </c>
      <c r="C7" s="14" t="s">
        <v>52</v>
      </c>
      <c r="D7" s="15"/>
      <c r="E7" s="16"/>
      <c r="F7" s="14">
        <v>25</v>
      </c>
      <c r="G7" s="14"/>
      <c r="H7" s="14"/>
      <c r="I7" s="18">
        <f t="shared" si="0"/>
        <v>0</v>
      </c>
    </row>
    <row r="8" spans="1:9" ht="16.8" customHeight="1" x14ac:dyDescent="0.25">
      <c r="A8" s="5" t="s">
        <v>53</v>
      </c>
      <c r="B8" s="5"/>
      <c r="C8" s="5"/>
      <c r="D8" s="5" t="s">
        <v>62</v>
      </c>
      <c r="E8" s="5"/>
      <c r="F8" s="19">
        <f>SUM(F5:F7)</f>
        <v>118</v>
      </c>
      <c r="G8" s="20"/>
      <c r="H8" s="19">
        <f>SUM(H5:H7)</f>
        <v>0</v>
      </c>
      <c r="I8" s="21">
        <f t="shared" si="0"/>
        <v>0</v>
      </c>
    </row>
  </sheetData>
  <mergeCells count="11">
    <mergeCell ref="D7:E7"/>
    <mergeCell ref="A8:C8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623-009B-403E-B5BC-9C85A89A49EB}">
  <sheetPr codeName="Sheet95"/>
  <dimension ref="A2:I7"/>
  <sheetViews>
    <sheetView zoomScaleNormal="100" workbookViewId="0">
      <selection activeCell="D39" sqref="D3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55</v>
      </c>
    </row>
    <row r="4" spans="1:9" s="23" customFormat="1" ht="17.399999999999999" customHeight="1" x14ac:dyDescent="0.25">
      <c r="A4" s="5" t="s">
        <v>1</v>
      </c>
      <c r="B4" s="22" t="s">
        <v>2</v>
      </c>
      <c r="C4" s="22"/>
      <c r="D4" s="7" t="s">
        <v>3</v>
      </c>
      <c r="E4" s="8"/>
      <c r="F4" s="22" t="s">
        <v>56</v>
      </c>
      <c r="G4" s="6" t="s">
        <v>5</v>
      </c>
      <c r="H4" s="5" t="s">
        <v>6</v>
      </c>
      <c r="I4" s="5"/>
    </row>
    <row r="5" spans="1:9" s="23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2"/>
      <c r="G5" s="6"/>
      <c r="H5" s="10" t="s">
        <v>9</v>
      </c>
      <c r="I5" s="10" t="s">
        <v>10</v>
      </c>
    </row>
    <row r="6" spans="1:9" ht="16.2" customHeight="1" x14ac:dyDescent="0.25">
      <c r="A6" s="24">
        <v>1</v>
      </c>
      <c r="B6" s="25" t="s">
        <v>57</v>
      </c>
      <c r="C6" s="26" t="s">
        <v>58</v>
      </c>
      <c r="D6" s="27" t="s">
        <v>59</v>
      </c>
      <c r="E6" s="28" t="s">
        <v>59</v>
      </c>
      <c r="F6" s="29">
        <v>114</v>
      </c>
      <c r="G6" s="17"/>
      <c r="H6" s="17"/>
      <c r="I6" s="18">
        <f>H6/F6</f>
        <v>0</v>
      </c>
    </row>
    <row r="7" spans="1:9" ht="16.8" customHeight="1" x14ac:dyDescent="0.25">
      <c r="A7" s="5" t="s">
        <v>53</v>
      </c>
      <c r="B7" s="5"/>
      <c r="C7" s="5"/>
      <c r="D7" s="5" t="s">
        <v>60</v>
      </c>
      <c r="E7" s="5"/>
      <c r="F7" s="19">
        <f>SUM(F6:F6)</f>
        <v>114</v>
      </c>
      <c r="G7" s="20"/>
      <c r="H7" s="19">
        <f>SUM(H6:H6)</f>
        <v>0</v>
      </c>
      <c r="I7" s="21">
        <f>H7/F7</f>
        <v>0</v>
      </c>
    </row>
  </sheetData>
  <mergeCells count="9">
    <mergeCell ref="F4:F5"/>
    <mergeCell ref="G4:G5"/>
    <mergeCell ref="H4:I4"/>
    <mergeCell ref="D6:E6"/>
    <mergeCell ref="A7:C7"/>
    <mergeCell ref="D7:E7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Inv__Ujitjes_Vlore</vt:lpstr>
      <vt:lpstr>Rezervuar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2026-10-07T12:17:58Z</dcterms:created>
  <dcterms:modified xsi:type="dcterms:W3CDTF">2026-10-07T12:20:54Z</dcterms:modified>
</cp:coreProperties>
</file>