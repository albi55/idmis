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A5F9E3B8-4E09-4F04-A1A9-E7F6374218B1}" xr6:coauthVersionLast="47" xr6:coauthVersionMax="47" xr10:uidLastSave="{00000000-0000-0000-0000-000000000000}"/>
  <bookViews>
    <workbookView xWindow="-28920" yWindow="-1470" windowWidth="29040" windowHeight="15720" activeTab="3" xr2:uid="{8114F379-2672-457C-97B4-C6EE350A876E}"/>
  </bookViews>
  <sheets>
    <sheet name="Inv__Ujitjes_Prrenjas" sheetId="1" r:id="rId1"/>
    <sheet name="Rezervuar" sheetId="2" r:id="rId2"/>
    <sheet name="Stacion Pompimi" sheetId="3" r:id="rId3"/>
    <sheet name="Lu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4" l="1"/>
  <c r="F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7" i="3"/>
  <c r="I7" i="3" s="1"/>
  <c r="F7" i="3"/>
  <c r="I6" i="3"/>
  <c r="I5" i="3"/>
  <c r="H6" i="2"/>
  <c r="F6" i="2"/>
  <c r="I5" i="2"/>
  <c r="H28" i="1"/>
  <c r="I28" i="1" s="1"/>
  <c r="F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25" i="4" l="1"/>
  <c r="I6" i="2"/>
</calcChain>
</file>

<file path=xl/sharedStrings.xml><?xml version="1.0" encoding="utf-8"?>
<sst xmlns="http://schemas.openxmlformats.org/spreadsheetml/2006/main" count="236" uniqueCount="68">
  <si>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</si>
  <si>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</si>
  <si>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</si>
  <si>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</si>
  <si>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</si>
  <si>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</si>
  <si>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</si>
  <si>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</si>
  <si>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</si>
  <si>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</si>
  <si>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</si>
  <si>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LB-PR-U - 1</t>
  </si>
  <si>
    <t>Ujitja Fushes Perrenjas</t>
  </si>
  <si>
    <t>Burim Qafthane + Rezervuar</t>
  </si>
  <si>
    <t>LB-PI-U - 1</t>
  </si>
  <si>
    <t>Lingajce kanal</t>
  </si>
  <si>
    <t>Lum Shkumbin</t>
  </si>
  <si>
    <t>LB-PR-U - 6</t>
  </si>
  <si>
    <t xml:space="preserve">Kanal Rajce </t>
  </si>
  <si>
    <t>Burime</t>
  </si>
  <si>
    <t>LB-PR-U - 2</t>
  </si>
  <si>
    <t>Letove kanal</t>
  </si>
  <si>
    <t>LB-PR-U - 3</t>
  </si>
  <si>
    <t xml:space="preserve">Kanali Katjel </t>
  </si>
  <si>
    <t>LB-PR-U - 4</t>
  </si>
  <si>
    <t xml:space="preserve">Kanali Bushtrice </t>
  </si>
  <si>
    <t>LB-PR-U - 5</t>
  </si>
  <si>
    <t xml:space="preserve">Kanali Gjashte Lis </t>
  </si>
  <si>
    <t>LB-ST-U - 3</t>
  </si>
  <si>
    <t xml:space="preserve">Kanali Liras </t>
  </si>
  <si>
    <t>Perroi Liras</t>
  </si>
  <si>
    <t>LB-XH-U - 4</t>
  </si>
  <si>
    <t xml:space="preserve">Kanali Cecan </t>
  </si>
  <si>
    <t>Lume</t>
  </si>
  <si>
    <t>LB-Q-U - 5</t>
  </si>
  <si>
    <t xml:space="preserve">Kanali Q - Skenderbe </t>
  </si>
  <si>
    <t>LB-H-U - 1</t>
  </si>
  <si>
    <t xml:space="preserve">Kanali Frari </t>
  </si>
  <si>
    <t>LB-B- U - 1</t>
  </si>
  <si>
    <t xml:space="preserve">Kanali Stranik </t>
  </si>
  <si>
    <t>Perroi Stravaj</t>
  </si>
  <si>
    <t>LB-B- U - 4</t>
  </si>
  <si>
    <t xml:space="preserve">Kanali Berzeshte </t>
  </si>
  <si>
    <t>LB-B- U - 8</t>
  </si>
  <si>
    <t xml:space="preserve">Kanal Pishkash </t>
  </si>
  <si>
    <t>LB-B- U - 5</t>
  </si>
  <si>
    <t xml:space="preserve">Kanali Fanje </t>
  </si>
  <si>
    <t>LB-ST-U - 1</t>
  </si>
  <si>
    <t xml:space="preserve">Kanali Gjigjirome </t>
  </si>
  <si>
    <t>LB-SO-U - 3</t>
  </si>
  <si>
    <t xml:space="preserve">Kanali Bllamisht </t>
  </si>
  <si>
    <t>LB-Q-U - 3</t>
  </si>
  <si>
    <t>Kanali Skroske</t>
  </si>
  <si>
    <t>LB-Q-U - 4</t>
  </si>
  <si>
    <t xml:space="preserve">Kanali Q - Shkumbin </t>
  </si>
  <si>
    <t>LB-LE-U - 8</t>
  </si>
  <si>
    <t xml:space="preserve">Kanali Pocisht </t>
  </si>
  <si>
    <t>LB-Q-U - 1</t>
  </si>
  <si>
    <t xml:space="preserve">Kanali Qukes </t>
  </si>
  <si>
    <t>LB-PI-U - 2</t>
  </si>
  <si>
    <t>KU St.Pishkash Nr.1</t>
  </si>
  <si>
    <t>LB-PI-U - 3</t>
  </si>
  <si>
    <t>KU St.Pishkash Nr.2</t>
  </si>
  <si>
    <t>Total</t>
  </si>
  <si>
    <t>23 Skema</t>
  </si>
  <si>
    <t>1 Skeme</t>
  </si>
  <si>
    <t>2 Skema</t>
  </si>
  <si>
    <t>20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</si>
</sst>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B83320B-8F28-40B6-A048-FB82A4BB0C55}"/>
    <cellStyle name="Percent 2" xfId="2" xr:uid="{2007098E-3429-4825-8D89-52CA865FF0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F1ED-F6F4-44F6-9417-72B5C4502665}">
  <dimension ref="A1:I28"/>
  <sheetViews>
    <sheetView zoomScaleNormal="100" workbookViewId="0">
      <selection activeCell="K18" sqref="K1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6" t="s">
        <v>13</v>
      </c>
      <c r="E5" s="17" t="s">
        <v>13</v>
      </c>
      <c r="F5" s="15">
        <v>79.5</v>
      </c>
      <c r="G5" s="15"/>
      <c r="H5" s="15"/>
      <c r="I5" s="18">
        <f t="shared" ref="I5:I28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6" t="s">
        <v>16</v>
      </c>
      <c r="E6" s="17" t="s">
        <v>16</v>
      </c>
      <c r="F6" s="15">
        <v>2</v>
      </c>
      <c r="G6" s="15"/>
      <c r="H6" s="15"/>
      <c r="I6" s="18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5" t="s">
        <v>18</v>
      </c>
      <c r="D7" s="16" t="s">
        <v>19</v>
      </c>
      <c r="E7" s="17" t="s">
        <v>19</v>
      </c>
      <c r="F7" s="15">
        <v>2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5" t="s">
        <v>21</v>
      </c>
      <c r="D8" s="16" t="s">
        <v>19</v>
      </c>
      <c r="E8" s="17" t="s">
        <v>19</v>
      </c>
      <c r="F8" s="15">
        <v>0.5</v>
      </c>
      <c r="G8" s="15"/>
      <c r="H8" s="15"/>
      <c r="I8" s="18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6" t="s">
        <v>19</v>
      </c>
      <c r="E9" s="17" t="s">
        <v>19</v>
      </c>
      <c r="F9" s="15">
        <v>0.5</v>
      </c>
      <c r="G9" s="15"/>
      <c r="H9" s="15"/>
      <c r="I9" s="18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5" t="s">
        <v>25</v>
      </c>
      <c r="D10" s="16" t="s">
        <v>16</v>
      </c>
      <c r="E10" s="17" t="s">
        <v>16</v>
      </c>
      <c r="F10" s="15">
        <v>8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5" t="s">
        <v>27</v>
      </c>
      <c r="D11" s="16" t="s">
        <v>16</v>
      </c>
      <c r="E11" s="17" t="s">
        <v>16</v>
      </c>
      <c r="F11" s="15">
        <v>9</v>
      </c>
      <c r="G11" s="15"/>
      <c r="H11" s="15"/>
      <c r="I11" s="18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6" t="s">
        <v>30</v>
      </c>
      <c r="E12" s="17" t="s">
        <v>30</v>
      </c>
      <c r="F12" s="15">
        <v>4</v>
      </c>
      <c r="G12" s="15"/>
      <c r="H12" s="15"/>
      <c r="I12" s="18">
        <f t="shared" si="0"/>
        <v>0</v>
      </c>
    </row>
    <row r="13" spans="1:9" ht="15.6" customHeight="1" x14ac:dyDescent="0.25">
      <c r="A13" s="13">
        <v>9</v>
      </c>
      <c r="B13" s="14" t="s">
        <v>31</v>
      </c>
      <c r="C13" s="15" t="s">
        <v>32</v>
      </c>
      <c r="D13" s="16" t="s">
        <v>33</v>
      </c>
      <c r="E13" s="17" t="s">
        <v>33</v>
      </c>
      <c r="F13" s="15">
        <v>1.5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34</v>
      </c>
      <c r="C14" s="15" t="s">
        <v>35</v>
      </c>
      <c r="D14" s="16" t="s">
        <v>19</v>
      </c>
      <c r="E14" s="17" t="s">
        <v>19</v>
      </c>
      <c r="F14" s="15">
        <v>4</v>
      </c>
      <c r="G14" s="15"/>
      <c r="H14" s="15"/>
      <c r="I14" s="18">
        <f t="shared" si="0"/>
        <v>0</v>
      </c>
    </row>
    <row r="15" spans="1:9" ht="15.6" customHeight="1" x14ac:dyDescent="0.25">
      <c r="A15" s="13">
        <v>11</v>
      </c>
      <c r="B15" s="14" t="s">
        <v>36</v>
      </c>
      <c r="C15" s="14" t="s">
        <v>37</v>
      </c>
      <c r="D15" s="16" t="s">
        <v>19</v>
      </c>
      <c r="E15" s="17" t="s">
        <v>19</v>
      </c>
      <c r="F15" s="15">
        <v>6</v>
      </c>
      <c r="G15" s="15"/>
      <c r="H15" s="15"/>
      <c r="I15" s="18">
        <f t="shared" si="0"/>
        <v>0</v>
      </c>
    </row>
    <row r="16" spans="1:9" ht="15.6" customHeight="1" x14ac:dyDescent="0.25">
      <c r="A16" s="13">
        <v>12</v>
      </c>
      <c r="B16" s="14" t="s">
        <v>38</v>
      </c>
      <c r="C16" s="15" t="s">
        <v>39</v>
      </c>
      <c r="D16" s="16" t="s">
        <v>40</v>
      </c>
      <c r="E16" s="17" t="s">
        <v>40</v>
      </c>
      <c r="F16" s="15">
        <v>6</v>
      </c>
      <c r="G16" s="14"/>
      <c r="H16" s="14"/>
      <c r="I16" s="18">
        <f t="shared" si="0"/>
        <v>0</v>
      </c>
    </row>
    <row r="17" spans="1:9" ht="15.6" customHeight="1" x14ac:dyDescent="0.25">
      <c r="A17" s="13">
        <v>13</v>
      </c>
      <c r="B17" s="14" t="s">
        <v>41</v>
      </c>
      <c r="C17" s="15" t="s">
        <v>42</v>
      </c>
      <c r="D17" s="16" t="s">
        <v>19</v>
      </c>
      <c r="E17" s="17" t="s">
        <v>19</v>
      </c>
      <c r="F17" s="15">
        <v>4.4000000000000004</v>
      </c>
      <c r="G17" s="15"/>
      <c r="H17" s="15"/>
      <c r="I17" s="18">
        <f t="shared" si="0"/>
        <v>0</v>
      </c>
    </row>
    <row r="18" spans="1:9" ht="15.6" customHeight="1" x14ac:dyDescent="0.25">
      <c r="A18" s="13">
        <v>14</v>
      </c>
      <c r="B18" s="14" t="s">
        <v>43</v>
      </c>
      <c r="C18" s="14" t="s">
        <v>44</v>
      </c>
      <c r="D18" s="16" t="s">
        <v>16</v>
      </c>
      <c r="E18" s="17" t="s">
        <v>16</v>
      </c>
      <c r="F18" s="15">
        <v>11.85</v>
      </c>
      <c r="G18" s="15"/>
      <c r="H18" s="15"/>
      <c r="I18" s="18">
        <f t="shared" si="0"/>
        <v>0</v>
      </c>
    </row>
    <row r="19" spans="1:9" ht="15.6" customHeight="1" x14ac:dyDescent="0.25">
      <c r="A19" s="13">
        <v>15</v>
      </c>
      <c r="B19" s="14" t="s">
        <v>45</v>
      </c>
      <c r="C19" s="15" t="s">
        <v>46</v>
      </c>
      <c r="D19" s="16" t="s">
        <v>33</v>
      </c>
      <c r="E19" s="17" t="s">
        <v>33</v>
      </c>
      <c r="F19" s="15">
        <v>4.4000000000000004</v>
      </c>
      <c r="G19" s="14"/>
      <c r="H19" s="14"/>
      <c r="I19" s="18">
        <f t="shared" si="0"/>
        <v>0</v>
      </c>
    </row>
    <row r="20" spans="1:9" ht="15.6" customHeight="1" x14ac:dyDescent="0.25">
      <c r="A20" s="13">
        <v>16</v>
      </c>
      <c r="B20" s="14" t="s">
        <v>47</v>
      </c>
      <c r="C20" s="15" t="s">
        <v>48</v>
      </c>
      <c r="D20" s="16" t="s">
        <v>33</v>
      </c>
      <c r="E20" s="17" t="s">
        <v>33</v>
      </c>
      <c r="F20" s="15">
        <v>9</v>
      </c>
      <c r="G20" s="15"/>
      <c r="H20" s="15"/>
      <c r="I20" s="18">
        <f t="shared" si="0"/>
        <v>0</v>
      </c>
    </row>
    <row r="21" spans="1:9" ht="15.6" customHeight="1" x14ac:dyDescent="0.25">
      <c r="A21" s="13">
        <v>17</v>
      </c>
      <c r="B21" s="14" t="s">
        <v>49</v>
      </c>
      <c r="C21" s="14" t="s">
        <v>50</v>
      </c>
      <c r="D21" s="16" t="s">
        <v>19</v>
      </c>
      <c r="E21" s="17" t="s">
        <v>19</v>
      </c>
      <c r="F21" s="15">
        <v>1.2</v>
      </c>
      <c r="G21" s="15"/>
      <c r="H21" s="15"/>
      <c r="I21" s="18">
        <f t="shared" si="0"/>
        <v>0</v>
      </c>
    </row>
    <row r="22" spans="1:9" ht="15.6" customHeight="1" x14ac:dyDescent="0.25">
      <c r="A22" s="13">
        <v>18</v>
      </c>
      <c r="B22" s="14" t="s">
        <v>51</v>
      </c>
      <c r="C22" s="15" t="s">
        <v>52</v>
      </c>
      <c r="D22" s="16" t="s">
        <v>33</v>
      </c>
      <c r="E22" s="17" t="s">
        <v>33</v>
      </c>
      <c r="F22" s="15">
        <v>17</v>
      </c>
      <c r="G22" s="14"/>
      <c r="H22" s="14"/>
      <c r="I22" s="18">
        <f t="shared" si="0"/>
        <v>0</v>
      </c>
    </row>
    <row r="23" spans="1:9" ht="15.6" customHeight="1" x14ac:dyDescent="0.25">
      <c r="A23" s="13">
        <v>19</v>
      </c>
      <c r="B23" s="14" t="s">
        <v>53</v>
      </c>
      <c r="C23" s="15" t="s">
        <v>54</v>
      </c>
      <c r="D23" s="16" t="s">
        <v>33</v>
      </c>
      <c r="E23" s="17" t="s">
        <v>33</v>
      </c>
      <c r="F23" s="15">
        <v>0.5</v>
      </c>
      <c r="G23" s="15"/>
      <c r="H23" s="15"/>
      <c r="I23" s="18">
        <f t="shared" si="0"/>
        <v>0</v>
      </c>
    </row>
    <row r="24" spans="1:9" ht="15.6" customHeight="1" x14ac:dyDescent="0.25">
      <c r="A24" s="13">
        <v>20</v>
      </c>
      <c r="B24" s="14" t="s">
        <v>55</v>
      </c>
      <c r="C24" s="14" t="s">
        <v>56</v>
      </c>
      <c r="D24" s="16" t="s">
        <v>19</v>
      </c>
      <c r="E24" s="17" t="s">
        <v>19</v>
      </c>
      <c r="F24" s="15">
        <v>0.8</v>
      </c>
      <c r="G24" s="15"/>
      <c r="H24" s="15"/>
      <c r="I24" s="18">
        <f t="shared" si="0"/>
        <v>0</v>
      </c>
    </row>
    <row r="25" spans="1:9" ht="15.6" customHeight="1" x14ac:dyDescent="0.25">
      <c r="A25" s="13">
        <v>21</v>
      </c>
      <c r="B25" s="14" t="s">
        <v>57</v>
      </c>
      <c r="C25" s="15" t="s">
        <v>58</v>
      </c>
      <c r="D25" s="16" t="s">
        <v>33</v>
      </c>
      <c r="E25" s="17" t="s">
        <v>33</v>
      </c>
      <c r="F25" s="15">
        <v>1.5</v>
      </c>
      <c r="G25" s="14"/>
      <c r="H25" s="14"/>
      <c r="I25" s="18">
        <f t="shared" si="0"/>
        <v>0</v>
      </c>
    </row>
    <row r="26" spans="1:9" ht="15.6" customHeight="1" x14ac:dyDescent="0.25">
      <c r="A26" s="13">
        <v>22</v>
      </c>
      <c r="B26" s="14" t="s">
        <v>59</v>
      </c>
      <c r="C26" s="15" t="s">
        <v>60</v>
      </c>
      <c r="D26" s="16" t="s">
        <v>16</v>
      </c>
      <c r="E26" s="17" t="s">
        <v>16</v>
      </c>
      <c r="F26" s="15">
        <v>0.4</v>
      </c>
      <c r="G26" s="15"/>
      <c r="H26" s="15"/>
      <c r="I26" s="18">
        <f t="shared" si="0"/>
        <v>0</v>
      </c>
    </row>
    <row r="27" spans="1:9" ht="15.6" customHeight="1" x14ac:dyDescent="0.25">
      <c r="A27" s="13">
        <v>23</v>
      </c>
      <c r="B27" s="14" t="s">
        <v>61</v>
      </c>
      <c r="C27" s="14" t="s">
        <v>62</v>
      </c>
      <c r="D27" s="16" t="s">
        <v>16</v>
      </c>
      <c r="E27" s="17" t="s">
        <v>16</v>
      </c>
      <c r="F27" s="15">
        <v>3.2</v>
      </c>
      <c r="G27" s="15"/>
      <c r="H27" s="15"/>
      <c r="I27" s="18">
        <f t="shared" si="0"/>
        <v>0</v>
      </c>
    </row>
    <row r="28" spans="1:9" ht="16.8" customHeight="1" x14ac:dyDescent="0.25">
      <c r="A28" s="5" t="s">
        <v>63</v>
      </c>
      <c r="B28" s="5"/>
      <c r="C28" s="5"/>
      <c r="D28" s="5" t="s">
        <v>64</v>
      </c>
      <c r="E28" s="5"/>
      <c r="F28" s="19">
        <f>SUM(F5:F27)</f>
        <v>177.25</v>
      </c>
      <c r="G28" s="20"/>
      <c r="H28" s="19">
        <f>SUM(H5:H27)</f>
        <v>0</v>
      </c>
      <c r="I28" s="21">
        <f t="shared" si="0"/>
        <v>0</v>
      </c>
    </row>
  </sheetData>
  <mergeCells count="31">
    <mergeCell ref="D23:E23"/>
    <mergeCell ref="D24:E24"/>
    <mergeCell ref="D25:E25"/>
    <mergeCell ref="D26:E26"/>
    <mergeCell ref="D27:E27"/>
    <mergeCell ref="A28:C28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A6C6-A863-4522-9E7E-995239EB41AA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6" t="s">
        <v>13</v>
      </c>
      <c r="E5" s="17" t="s">
        <v>13</v>
      </c>
      <c r="F5" s="15">
        <v>79.5</v>
      </c>
      <c r="G5" s="15"/>
      <c r="H5" s="15"/>
      <c r="I5" s="18">
        <f t="shared" ref="I5:I6" si="0">H5/F5</f>
        <v>0</v>
      </c>
    </row>
    <row r="6" spans="1:9" ht="16.8" customHeight="1" x14ac:dyDescent="0.25">
      <c r="A6" s="5" t="s">
        <v>63</v>
      </c>
      <c r="B6" s="5"/>
      <c r="C6" s="5"/>
      <c r="D6" s="5" t="s">
        <v>65</v>
      </c>
      <c r="E6" s="5"/>
      <c r="F6" s="19">
        <f>SUM(F5:F5)</f>
        <v>79.5</v>
      </c>
      <c r="G6" s="20"/>
      <c r="H6" s="19">
        <f>SUM(H5:H5)</f>
        <v>0</v>
      </c>
      <c r="I6" s="21">
        <f t="shared" si="0"/>
        <v>0</v>
      </c>
    </row>
  </sheetData>
  <mergeCells count="9">
    <mergeCell ref="A6:C6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ACFD-63E7-42C3-A776-50181DBD1997}">
  <dimension ref="A1:I7"/>
  <sheetViews>
    <sheetView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59</v>
      </c>
      <c r="C5" s="15" t="s">
        <v>60</v>
      </c>
      <c r="D5" s="16" t="s">
        <v>16</v>
      </c>
      <c r="E5" s="17" t="s">
        <v>16</v>
      </c>
      <c r="F5" s="15">
        <v>0.4</v>
      </c>
      <c r="G5" s="15"/>
      <c r="H5" s="15"/>
      <c r="I5" s="18">
        <f t="shared" ref="I5:I7" si="0">H5/F5</f>
        <v>0</v>
      </c>
    </row>
    <row r="6" spans="1:9" ht="15.6" customHeight="1" x14ac:dyDescent="0.25">
      <c r="A6" s="13">
        <v>2</v>
      </c>
      <c r="B6" s="14" t="s">
        <v>61</v>
      </c>
      <c r="C6" s="14" t="s">
        <v>62</v>
      </c>
      <c r="D6" s="16" t="s">
        <v>16</v>
      </c>
      <c r="E6" s="17" t="s">
        <v>16</v>
      </c>
      <c r="F6" s="15">
        <v>3.2</v>
      </c>
      <c r="G6" s="15"/>
      <c r="H6" s="15"/>
      <c r="I6" s="18">
        <f t="shared" si="0"/>
        <v>0</v>
      </c>
    </row>
    <row r="7" spans="1:9" ht="16.8" customHeight="1" x14ac:dyDescent="0.25">
      <c r="A7" s="5" t="s">
        <v>63</v>
      </c>
      <c r="B7" s="5"/>
      <c r="C7" s="5"/>
      <c r="D7" s="5" t="s">
        <v>66</v>
      </c>
      <c r="E7" s="5"/>
      <c r="F7" s="19">
        <f>SUM(F5:F6)</f>
        <v>3.6</v>
      </c>
      <c r="G7" s="20"/>
      <c r="H7" s="19">
        <f>SUM(H5:H6)</f>
        <v>0</v>
      </c>
      <c r="I7" s="21">
        <f t="shared" si="0"/>
        <v>0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F67A-B849-4827-AF6C-46B7A2F715A8}">
  <dimension ref="A1:I25"/>
  <sheetViews>
    <sheetView tabSelected="1" topLeftCell="A4" zoomScaleNormal="100" workbookViewId="0">
      <selection activeCell="D26" sqref="D2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6" t="s">
        <v>16</v>
      </c>
      <c r="E5" s="17" t="s">
        <v>16</v>
      </c>
      <c r="F5" s="15">
        <v>2</v>
      </c>
      <c r="G5" s="15"/>
      <c r="H5" s="15"/>
      <c r="I5" s="18">
        <f t="shared" ref="I5:I25" si="0">H5/F5</f>
        <v>0</v>
      </c>
    </row>
    <row r="6" spans="1:9" ht="15.6" customHeight="1" x14ac:dyDescent="0.25">
      <c r="A6" s="13">
        <v>2</v>
      </c>
      <c r="B6" s="14" t="s">
        <v>17</v>
      </c>
      <c r="C6" s="15" t="s">
        <v>18</v>
      </c>
      <c r="D6" s="16" t="s">
        <v>19</v>
      </c>
      <c r="E6" s="17" t="s">
        <v>19</v>
      </c>
      <c r="F6" s="15">
        <v>2</v>
      </c>
      <c r="G6" s="14"/>
      <c r="H6" s="14"/>
      <c r="I6" s="18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5" t="s">
        <v>21</v>
      </c>
      <c r="D7" s="16" t="s">
        <v>19</v>
      </c>
      <c r="E7" s="17" t="s">
        <v>19</v>
      </c>
      <c r="F7" s="15">
        <v>0.5</v>
      </c>
      <c r="G7" s="15"/>
      <c r="H7" s="15"/>
      <c r="I7" s="18">
        <f t="shared" si="0"/>
        <v>0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6" t="s">
        <v>19</v>
      </c>
      <c r="E8" s="17" t="s">
        <v>19</v>
      </c>
      <c r="F8" s="15">
        <v>0.5</v>
      </c>
      <c r="G8" s="15"/>
      <c r="H8" s="15"/>
      <c r="I8" s="18">
        <f t="shared" si="0"/>
        <v>0</v>
      </c>
    </row>
    <row r="9" spans="1:9" ht="15.6" customHeight="1" x14ac:dyDescent="0.25">
      <c r="A9" s="13">
        <v>5</v>
      </c>
      <c r="B9" s="14" t="s">
        <v>24</v>
      </c>
      <c r="C9" s="15" t="s">
        <v>25</v>
      </c>
      <c r="D9" s="16" t="s">
        <v>16</v>
      </c>
      <c r="E9" s="17" t="s">
        <v>16</v>
      </c>
      <c r="F9" s="15">
        <v>8</v>
      </c>
      <c r="G9" s="14"/>
      <c r="H9" s="14"/>
      <c r="I9" s="18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5" t="s">
        <v>27</v>
      </c>
      <c r="D10" s="16" t="s">
        <v>16</v>
      </c>
      <c r="E10" s="17" t="s">
        <v>16</v>
      </c>
      <c r="F10" s="15">
        <v>9</v>
      </c>
      <c r="G10" s="15"/>
      <c r="H10" s="15"/>
      <c r="I10" s="18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6" t="s">
        <v>30</v>
      </c>
      <c r="E11" s="17" t="s">
        <v>30</v>
      </c>
      <c r="F11" s="15">
        <v>4</v>
      </c>
      <c r="G11" s="15"/>
      <c r="H11" s="15"/>
      <c r="I11" s="18">
        <f t="shared" si="0"/>
        <v>0</v>
      </c>
    </row>
    <row r="12" spans="1:9" ht="15.6" customHeight="1" x14ac:dyDescent="0.25">
      <c r="A12" s="13">
        <v>8</v>
      </c>
      <c r="B12" s="14" t="s">
        <v>31</v>
      </c>
      <c r="C12" s="15" t="s">
        <v>32</v>
      </c>
      <c r="D12" s="16" t="s">
        <v>33</v>
      </c>
      <c r="E12" s="17" t="s">
        <v>33</v>
      </c>
      <c r="F12" s="15">
        <v>1.5</v>
      </c>
      <c r="G12" s="14"/>
      <c r="H12" s="14"/>
      <c r="I12" s="18">
        <f t="shared" si="0"/>
        <v>0</v>
      </c>
    </row>
    <row r="13" spans="1:9" ht="15.6" customHeight="1" x14ac:dyDescent="0.25">
      <c r="A13" s="13">
        <v>9</v>
      </c>
      <c r="B13" s="14" t="s">
        <v>34</v>
      </c>
      <c r="C13" s="15" t="s">
        <v>35</v>
      </c>
      <c r="D13" s="16" t="s">
        <v>19</v>
      </c>
      <c r="E13" s="17" t="s">
        <v>19</v>
      </c>
      <c r="F13" s="15">
        <v>4</v>
      </c>
      <c r="G13" s="15"/>
      <c r="H13" s="15"/>
      <c r="I13" s="18">
        <f t="shared" si="0"/>
        <v>0</v>
      </c>
    </row>
    <row r="14" spans="1:9" ht="15.6" customHeight="1" x14ac:dyDescent="0.25">
      <c r="A14" s="13">
        <v>10</v>
      </c>
      <c r="B14" s="14" t="s">
        <v>36</v>
      </c>
      <c r="C14" s="14" t="s">
        <v>37</v>
      </c>
      <c r="D14" s="16" t="s">
        <v>19</v>
      </c>
      <c r="E14" s="17" t="s">
        <v>19</v>
      </c>
      <c r="F14" s="15">
        <v>6</v>
      </c>
      <c r="G14" s="15"/>
      <c r="H14" s="15"/>
      <c r="I14" s="18">
        <f t="shared" si="0"/>
        <v>0</v>
      </c>
    </row>
    <row r="15" spans="1:9" ht="15.6" customHeight="1" x14ac:dyDescent="0.25">
      <c r="A15" s="13">
        <v>11</v>
      </c>
      <c r="B15" s="14" t="s">
        <v>38</v>
      </c>
      <c r="C15" s="15" t="s">
        <v>39</v>
      </c>
      <c r="D15" s="16" t="s">
        <v>40</v>
      </c>
      <c r="E15" s="17" t="s">
        <v>40</v>
      </c>
      <c r="F15" s="15">
        <v>6</v>
      </c>
      <c r="G15" s="14"/>
      <c r="H15" s="14"/>
      <c r="I15" s="18">
        <f t="shared" si="0"/>
        <v>0</v>
      </c>
    </row>
    <row r="16" spans="1:9" ht="15.6" customHeight="1" x14ac:dyDescent="0.25">
      <c r="A16" s="13">
        <v>12</v>
      </c>
      <c r="B16" s="14" t="s">
        <v>41</v>
      </c>
      <c r="C16" s="15" t="s">
        <v>42</v>
      </c>
      <c r="D16" s="16" t="s">
        <v>19</v>
      </c>
      <c r="E16" s="17" t="s">
        <v>19</v>
      </c>
      <c r="F16" s="15">
        <v>4.4000000000000004</v>
      </c>
      <c r="G16" s="15"/>
      <c r="H16" s="15"/>
      <c r="I16" s="18">
        <f t="shared" si="0"/>
        <v>0</v>
      </c>
    </row>
    <row r="17" spans="1:9" ht="15.6" customHeight="1" x14ac:dyDescent="0.25">
      <c r="A17" s="13">
        <v>13</v>
      </c>
      <c r="B17" s="14" t="s">
        <v>43</v>
      </c>
      <c r="C17" s="14" t="s">
        <v>44</v>
      </c>
      <c r="D17" s="16" t="s">
        <v>16</v>
      </c>
      <c r="E17" s="17" t="s">
        <v>16</v>
      </c>
      <c r="F17" s="15">
        <v>11.85</v>
      </c>
      <c r="G17" s="15"/>
      <c r="H17" s="15"/>
      <c r="I17" s="18">
        <f t="shared" si="0"/>
        <v>0</v>
      </c>
    </row>
    <row r="18" spans="1:9" ht="15.6" customHeight="1" x14ac:dyDescent="0.25">
      <c r="A18" s="13">
        <v>14</v>
      </c>
      <c r="B18" s="14" t="s">
        <v>45</v>
      </c>
      <c r="C18" s="15" t="s">
        <v>46</v>
      </c>
      <c r="D18" s="16" t="s">
        <v>33</v>
      </c>
      <c r="E18" s="17" t="s">
        <v>33</v>
      </c>
      <c r="F18" s="15">
        <v>4.4000000000000004</v>
      </c>
      <c r="G18" s="14"/>
      <c r="H18" s="14"/>
      <c r="I18" s="18">
        <f t="shared" si="0"/>
        <v>0</v>
      </c>
    </row>
    <row r="19" spans="1:9" ht="15.6" customHeight="1" x14ac:dyDescent="0.25">
      <c r="A19" s="13">
        <v>15</v>
      </c>
      <c r="B19" s="14" t="s">
        <v>47</v>
      </c>
      <c r="C19" s="15" t="s">
        <v>48</v>
      </c>
      <c r="D19" s="16" t="s">
        <v>33</v>
      </c>
      <c r="E19" s="17" t="s">
        <v>33</v>
      </c>
      <c r="F19" s="15">
        <v>9</v>
      </c>
      <c r="G19" s="15"/>
      <c r="H19" s="15"/>
      <c r="I19" s="18">
        <f t="shared" si="0"/>
        <v>0</v>
      </c>
    </row>
    <row r="20" spans="1:9" ht="15.6" customHeight="1" x14ac:dyDescent="0.25">
      <c r="A20" s="13">
        <v>16</v>
      </c>
      <c r="B20" s="14" t="s">
        <v>49</v>
      </c>
      <c r="C20" s="14" t="s">
        <v>50</v>
      </c>
      <c r="D20" s="16" t="s">
        <v>19</v>
      </c>
      <c r="E20" s="17" t="s">
        <v>19</v>
      </c>
      <c r="F20" s="15">
        <v>1.2</v>
      </c>
      <c r="G20" s="15"/>
      <c r="H20" s="15"/>
      <c r="I20" s="18">
        <f t="shared" si="0"/>
        <v>0</v>
      </c>
    </row>
    <row r="21" spans="1:9" ht="15.6" customHeight="1" x14ac:dyDescent="0.25">
      <c r="A21" s="13">
        <v>17</v>
      </c>
      <c r="B21" s="14" t="s">
        <v>51</v>
      </c>
      <c r="C21" s="15" t="s">
        <v>52</v>
      </c>
      <c r="D21" s="16" t="s">
        <v>33</v>
      </c>
      <c r="E21" s="17" t="s">
        <v>33</v>
      </c>
      <c r="F21" s="15">
        <v>17</v>
      </c>
      <c r="G21" s="14"/>
      <c r="H21" s="14"/>
      <c r="I21" s="18">
        <f t="shared" si="0"/>
        <v>0</v>
      </c>
    </row>
    <row r="22" spans="1:9" ht="15.6" customHeight="1" x14ac:dyDescent="0.25">
      <c r="A22" s="13">
        <v>18</v>
      </c>
      <c r="B22" s="14" t="s">
        <v>53</v>
      </c>
      <c r="C22" s="15" t="s">
        <v>54</v>
      </c>
      <c r="D22" s="16" t="s">
        <v>33</v>
      </c>
      <c r="E22" s="17" t="s">
        <v>33</v>
      </c>
      <c r="F22" s="15">
        <v>0.5</v>
      </c>
      <c r="G22" s="15"/>
      <c r="H22" s="15"/>
      <c r="I22" s="18">
        <f t="shared" si="0"/>
        <v>0</v>
      </c>
    </row>
    <row r="23" spans="1:9" ht="15.6" customHeight="1" x14ac:dyDescent="0.25">
      <c r="A23" s="13">
        <v>19</v>
      </c>
      <c r="B23" s="14" t="s">
        <v>55</v>
      </c>
      <c r="C23" s="14" t="s">
        <v>56</v>
      </c>
      <c r="D23" s="16" t="s">
        <v>19</v>
      </c>
      <c r="E23" s="17" t="s">
        <v>19</v>
      </c>
      <c r="F23" s="15">
        <v>0.8</v>
      </c>
      <c r="G23" s="15"/>
      <c r="H23" s="15"/>
      <c r="I23" s="18">
        <f t="shared" si="0"/>
        <v>0</v>
      </c>
    </row>
    <row r="24" spans="1:9" ht="15.6" customHeight="1" x14ac:dyDescent="0.25">
      <c r="A24" s="13">
        <v>20</v>
      </c>
      <c r="B24" s="14" t="s">
        <v>57</v>
      </c>
      <c r="C24" s="15" t="s">
        <v>58</v>
      </c>
      <c r="D24" s="16" t="s">
        <v>33</v>
      </c>
      <c r="E24" s="17" t="s">
        <v>33</v>
      </c>
      <c r="F24" s="15">
        <v>1.5</v>
      </c>
      <c r="G24" s="14"/>
      <c r="H24" s="14"/>
      <c r="I24" s="18">
        <f t="shared" si="0"/>
        <v>0</v>
      </c>
    </row>
    <row r="25" spans="1:9" ht="16.8" customHeight="1" x14ac:dyDescent="0.25">
      <c r="A25" s="5" t="s">
        <v>63</v>
      </c>
      <c r="B25" s="5"/>
      <c r="C25" s="5"/>
      <c r="D25" s="5" t="s">
        <v>67</v>
      </c>
      <c r="E25" s="5"/>
      <c r="F25" s="19">
        <f>SUM(F5:F24)</f>
        <v>94.15</v>
      </c>
      <c r="G25" s="20"/>
      <c r="H25" s="19">
        <f>SUM(H5:H24)</f>
        <v>0</v>
      </c>
      <c r="I25" s="21">
        <f t="shared" si="0"/>
        <v>0</v>
      </c>
    </row>
  </sheetData>
  <mergeCells count="28">
    <mergeCell ref="D22:E22"/>
    <mergeCell ref="D23:E23"/>
    <mergeCell ref="D24:E24"/>
    <mergeCell ref="A25:C25"/>
    <mergeCell ref="D25:E25"/>
    <mergeCell ref="D16:E16"/>
    <mergeCell ref="D17:E17"/>
    <mergeCell ref="D18:E18"/>
    <mergeCell ref="D19:E19"/>
    <mergeCell ref="D20:E20"/>
    <mergeCell ref="D21:E21"/>
    <mergeCell ref="D10:E10"/>
    <mergeCell ref="D11:E11"/>
    <mergeCell ref="D12:E12"/>
    <mergeCell ref="D13:E13"/>
    <mergeCell ref="D14:E14"/>
    <mergeCell ref="D15:E15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Inv__Ujitjes_Prrenjas</vt:lpstr>
      <vt:lpstr>Rezervuar</vt:lpstr>
      <vt:lpstr>Stacion Pompimi</vt:lpstr>
      <vt:lpstr>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2026-10-06T10:27:41Z</dcterms:created>
  <dcterms:modified xsi:type="dcterms:W3CDTF">2026-10-06T10:29:52Z</dcterms:modified>
</cp:coreProperties>
</file>