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C2572F94-4ACB-4883-9DD5-2F8AE0ADF7B6}" xr6:coauthVersionLast="47" xr6:coauthVersionMax="47" xr10:uidLastSave="{00000000-0000-0000-0000-000000000000}"/>
  <bookViews>
    <workbookView xWindow="-28920" yWindow="-1470" windowWidth="29040" windowHeight="15720" xr2:uid="{58A17E29-3BD5-4F93-AAC7-18CDAE6738BC}"/>
  </bookViews>
  <sheets>
    <sheet name="Inv__Ujitjes_Tropoje" sheetId="1" r:id="rId1"/>
    <sheet name="Rezervuar" sheetId="2" r:id="rId2"/>
    <sheet name="Stacione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4" l="1"/>
  <c r="F11" i="4"/>
  <c r="I10" i="4"/>
  <c r="I9" i="4"/>
  <c r="I8" i="4"/>
  <c r="I7" i="4"/>
  <c r="I6" i="4"/>
  <c r="I5" i="4"/>
  <c r="H27" i="3"/>
  <c r="I27" i="3" s="1"/>
  <c r="F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14" i="2"/>
  <c r="F14" i="2"/>
  <c r="I13" i="2"/>
  <c r="I12" i="2"/>
  <c r="I11" i="2"/>
  <c r="I10" i="2"/>
  <c r="I9" i="2"/>
  <c r="I8" i="2"/>
  <c r="I7" i="2"/>
  <c r="I6" i="2"/>
  <c r="I5" i="2"/>
  <c r="H42" i="1"/>
  <c r="I42" i="1" s="1"/>
  <c r="F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1" i="4" l="1"/>
  <c r="I14" i="2"/>
</calcChain>
</file>

<file path=xl/sharedStrings.xml><?xml version="1.0" encoding="utf-8"?>
<sst xmlns="http://schemas.openxmlformats.org/spreadsheetml/2006/main" count="348" uniqueCount="95">
  <si>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</si>
  <si>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</si>
  <si>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</si>
  <si>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</si>
  <si>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</si>
  <si>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</si>
  <si>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</si>
  <si>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</si>
  <si>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</si>
  <si>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</si>
  <si>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</si>
  <si>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TPU - V11</t>
  </si>
  <si>
    <t>Bugova</t>
  </si>
  <si>
    <t>Kanal</t>
  </si>
  <si>
    <t>TPU - V12</t>
  </si>
  <si>
    <t>Llugaj</t>
  </si>
  <si>
    <t>TPU - V3</t>
  </si>
  <si>
    <t>Rez.Vladit</t>
  </si>
  <si>
    <t>Rezervuar</t>
  </si>
  <si>
    <t>TPU - V13</t>
  </si>
  <si>
    <t>Ahmataj - Sopot</t>
  </si>
  <si>
    <t>TPU - V4</t>
  </si>
  <si>
    <t>Rez.Deges</t>
  </si>
  <si>
    <t>TPU - V2</t>
  </si>
  <si>
    <t>Rez.Kasaje</t>
  </si>
  <si>
    <t>TPU - V6</t>
  </si>
  <si>
    <t>Rez. Zherkes nr.1</t>
  </si>
  <si>
    <t>TPU - V8</t>
  </si>
  <si>
    <t>Rez.Berishes nr.2</t>
  </si>
  <si>
    <t>TPU - V7</t>
  </si>
  <si>
    <t>Rez.Tropojes</t>
  </si>
  <si>
    <t>TPU - V9</t>
  </si>
  <si>
    <t>Rez.Zherkes nr.2</t>
  </si>
  <si>
    <t>TPU - V10</t>
  </si>
  <si>
    <t>Rez.Berishes nr.1</t>
  </si>
  <si>
    <t>TPU - V1</t>
  </si>
  <si>
    <t>Kanali ujites Krasniqe</t>
  </si>
  <si>
    <t>Lume Valbone</t>
  </si>
  <si>
    <t>TPU - V5</t>
  </si>
  <si>
    <t>Kanale ujites Pacit - Zogaj</t>
  </si>
  <si>
    <t xml:space="preserve">Lume  </t>
  </si>
  <si>
    <t>TPU - V14</t>
  </si>
  <si>
    <t>Kanali ujites  Begaj</t>
  </si>
  <si>
    <t>TPU - V15</t>
  </si>
  <si>
    <t>Rez.T'planit</t>
  </si>
  <si>
    <t>TPU - V16</t>
  </si>
  <si>
    <t>Stacioni  I  pompave  Cerrnice</t>
  </si>
  <si>
    <t>Stp</t>
  </si>
  <si>
    <t>TPU - V17</t>
  </si>
  <si>
    <t>Stacioni  I  pompave  Bujan</t>
  </si>
  <si>
    <t>TPU - V18</t>
  </si>
  <si>
    <t>Stacioni  I  pompave  Kasaj</t>
  </si>
  <si>
    <t>TPU - V19</t>
  </si>
  <si>
    <t>Stacioni  I  pomave    Llugaj</t>
  </si>
  <si>
    <t>TPU - V20</t>
  </si>
  <si>
    <t>Stacioni  I  pompave  Kocanaj</t>
  </si>
  <si>
    <t>TPU - V21</t>
  </si>
  <si>
    <t>Stacioni  I  pomave    Zan/Arvej</t>
  </si>
  <si>
    <t>TPU - V22</t>
  </si>
  <si>
    <t>Stacioni  I  pompave  Dushaj-Eper</t>
  </si>
  <si>
    <t>TPU - V23</t>
  </si>
  <si>
    <t>Stacioni  I  pompave  Dege</t>
  </si>
  <si>
    <t>TPU - V24</t>
  </si>
  <si>
    <t>Stacioni  I  pompave  Corraj</t>
  </si>
  <si>
    <t>TPU - V25</t>
  </si>
  <si>
    <t>Stacioni  I  pompave  Kepenek</t>
  </si>
  <si>
    <t>TPU - V26</t>
  </si>
  <si>
    <t xml:space="preserve">Stacioni  I  pompave  Zogaj </t>
  </si>
  <si>
    <t>TPU - V27</t>
  </si>
  <si>
    <t>Stacioni  I  pompave  Visoce</t>
  </si>
  <si>
    <t>TPU - V28</t>
  </si>
  <si>
    <t>Stacioni  I  pompave  Kucane</t>
  </si>
  <si>
    <t>TPU - V29</t>
  </si>
  <si>
    <t>Stacioni  I  pompave  Qender Tpla</t>
  </si>
  <si>
    <t>TPU - V30</t>
  </si>
  <si>
    <t>Stacioni  I  pompave  Kryekand</t>
  </si>
  <si>
    <t>TPU - V31</t>
  </si>
  <si>
    <t>Stacioni  I  pompave  Rrogam</t>
  </si>
  <si>
    <t>TPU - V32</t>
  </si>
  <si>
    <t>Stacioni  I  pompave  Kame</t>
  </si>
  <si>
    <t>TPU - V33</t>
  </si>
  <si>
    <t>Stacioni  I  pompave  Prifce</t>
  </si>
  <si>
    <t>TPU - V34</t>
  </si>
  <si>
    <t>Stacioni  I  pompave  Begaje</t>
  </si>
  <si>
    <t>TPU - V35</t>
  </si>
  <si>
    <t>Stacioni  I  pompave  Tropoje</t>
  </si>
  <si>
    <t>TPU - V36</t>
  </si>
  <si>
    <t>Stacioni  I  pompave  Shengjergje</t>
  </si>
  <si>
    <t>TPU - V37</t>
  </si>
  <si>
    <t>Stacioni  I  pompave  Deges</t>
  </si>
  <si>
    <t>Total</t>
  </si>
  <si>
    <t>37 Skema</t>
  </si>
  <si>
    <t>9 Skema</t>
  </si>
  <si>
    <t>22 Skema</t>
  </si>
  <si>
    <t>6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</si>
</sst>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61A70148-3EF8-42E4-AC80-C3D205D6594C}"/>
    <cellStyle name="Percent 3" xfId="2" xr:uid="{0A5B487A-BBD9-4F90-A76A-FA9B39624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1B1F-ABF1-4411-B2EC-4619FCF6CC59}">
  <sheetPr codeName="Sheet35"/>
  <dimension ref="A1:I42"/>
  <sheetViews>
    <sheetView tabSelected="1" zoomScaleNormal="100" workbookViewId="0">
      <selection activeCell="J30" sqref="J3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13</v>
      </c>
      <c r="G5" s="18"/>
      <c r="H5" s="18"/>
      <c r="I5" s="19">
        <f t="shared" ref="I5:I4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18</v>
      </c>
      <c r="E7" s="16" t="s">
        <v>18</v>
      </c>
      <c r="F7" s="17">
        <v>10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13</v>
      </c>
      <c r="E8" s="16" t="s">
        <v>13</v>
      </c>
      <c r="F8" s="17">
        <v>4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18</v>
      </c>
      <c r="E9" s="16" t="s">
        <v>18</v>
      </c>
      <c r="F9" s="17">
        <v>15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18</v>
      </c>
      <c r="E10" s="16" t="s">
        <v>18</v>
      </c>
      <c r="F10" s="17">
        <v>11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25</v>
      </c>
      <c r="C11" s="14" t="s">
        <v>26</v>
      </c>
      <c r="D11" s="15" t="s">
        <v>18</v>
      </c>
      <c r="E11" s="16" t="s">
        <v>18</v>
      </c>
      <c r="F11" s="17">
        <v>6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18</v>
      </c>
      <c r="E12" s="16" t="s">
        <v>18</v>
      </c>
      <c r="F12" s="17">
        <v>2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29</v>
      </c>
      <c r="C13" s="14" t="s">
        <v>30</v>
      </c>
      <c r="D13" s="15" t="s">
        <v>18</v>
      </c>
      <c r="E13" s="16" t="s">
        <v>18</v>
      </c>
      <c r="F13" s="17">
        <v>3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31</v>
      </c>
      <c r="C14" s="14" t="s">
        <v>32</v>
      </c>
      <c r="D14" s="15" t="s">
        <v>18</v>
      </c>
      <c r="E14" s="16" t="s">
        <v>18</v>
      </c>
      <c r="F14" s="17">
        <v>3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33</v>
      </c>
      <c r="C15" s="14" t="s">
        <v>34</v>
      </c>
      <c r="D15" s="15" t="s">
        <v>18</v>
      </c>
      <c r="E15" s="16" t="s">
        <v>18</v>
      </c>
      <c r="F15" s="17">
        <v>3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35</v>
      </c>
      <c r="C16" s="14" t="s">
        <v>36</v>
      </c>
      <c r="D16" s="15" t="s">
        <v>37</v>
      </c>
      <c r="E16" s="16" t="s">
        <v>37</v>
      </c>
      <c r="F16" s="17">
        <v>26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38</v>
      </c>
      <c r="C17" s="14" t="s">
        <v>39</v>
      </c>
      <c r="D17" s="15" t="s">
        <v>40</v>
      </c>
      <c r="E17" s="16" t="s">
        <v>40</v>
      </c>
      <c r="F17" s="17">
        <v>5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41</v>
      </c>
      <c r="C18" s="14" t="s">
        <v>42</v>
      </c>
      <c r="D18" s="15" t="s">
        <v>40</v>
      </c>
      <c r="E18" s="16" t="s">
        <v>40</v>
      </c>
      <c r="F18" s="17">
        <v>42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43</v>
      </c>
      <c r="C19" s="14" t="s">
        <v>44</v>
      </c>
      <c r="D19" s="15" t="s">
        <v>18</v>
      </c>
      <c r="E19" s="16" t="s">
        <v>18</v>
      </c>
      <c r="F19" s="17">
        <v>31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45</v>
      </c>
      <c r="C20" s="14" t="s">
        <v>46</v>
      </c>
      <c r="D20" s="15" t="s">
        <v>47</v>
      </c>
      <c r="E20" s="16" t="s">
        <v>47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48</v>
      </c>
      <c r="C21" s="14" t="s">
        <v>49</v>
      </c>
      <c r="D21" s="15" t="s">
        <v>47</v>
      </c>
      <c r="E21" s="16" t="s">
        <v>47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50</v>
      </c>
      <c r="C22" s="14" t="s">
        <v>51</v>
      </c>
      <c r="D22" s="15" t="s">
        <v>47</v>
      </c>
      <c r="E22" s="16" t="s">
        <v>47</v>
      </c>
      <c r="F22" s="17">
        <v>0</v>
      </c>
      <c r="G22" s="17"/>
      <c r="H22" s="17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52</v>
      </c>
      <c r="C23" s="14" t="s">
        <v>53</v>
      </c>
      <c r="D23" s="15" t="s">
        <v>47</v>
      </c>
      <c r="E23" s="16" t="s">
        <v>47</v>
      </c>
      <c r="F23" s="17">
        <v>0</v>
      </c>
      <c r="G23" s="18"/>
      <c r="H23" s="18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54</v>
      </c>
      <c r="C24" s="14" t="s">
        <v>55</v>
      </c>
      <c r="D24" s="15" t="s">
        <v>47</v>
      </c>
      <c r="E24" s="16" t="s">
        <v>47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56</v>
      </c>
      <c r="C25" s="14" t="s">
        <v>57</v>
      </c>
      <c r="D25" s="15" t="s">
        <v>47</v>
      </c>
      <c r="E25" s="16" t="s">
        <v>47</v>
      </c>
      <c r="F25" s="17">
        <v>0</v>
      </c>
      <c r="G25" s="17"/>
      <c r="H25" s="17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58</v>
      </c>
      <c r="C26" s="14" t="s">
        <v>59</v>
      </c>
      <c r="D26" s="15" t="s">
        <v>47</v>
      </c>
      <c r="E26" s="16" t="s">
        <v>47</v>
      </c>
      <c r="F26" s="17">
        <v>0</v>
      </c>
      <c r="G26" s="18"/>
      <c r="H26" s="18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60</v>
      </c>
      <c r="C27" s="14" t="s">
        <v>61</v>
      </c>
      <c r="D27" s="15" t="s">
        <v>47</v>
      </c>
      <c r="E27" s="16" t="s">
        <v>47</v>
      </c>
      <c r="F27" s="17">
        <v>0</v>
      </c>
      <c r="G27" s="18"/>
      <c r="H27" s="18"/>
      <c r="I27" s="19" t="e">
        <f t="shared" si="0"/>
        <v>#DIV/0!</v>
      </c>
    </row>
    <row r="28" spans="1:9" ht="15.6" customHeight="1" x14ac:dyDescent="0.25">
      <c r="A28" s="13">
        <v>24</v>
      </c>
      <c r="B28" s="14" t="s">
        <v>62</v>
      </c>
      <c r="C28" s="14" t="s">
        <v>63</v>
      </c>
      <c r="D28" s="15" t="s">
        <v>47</v>
      </c>
      <c r="E28" s="16" t="s">
        <v>47</v>
      </c>
      <c r="F28" s="17">
        <v>0</v>
      </c>
      <c r="G28" s="18"/>
      <c r="H28" s="18"/>
      <c r="I28" s="19" t="e">
        <f t="shared" si="0"/>
        <v>#DIV/0!</v>
      </c>
    </row>
    <row r="29" spans="1:9" ht="15.6" customHeight="1" x14ac:dyDescent="0.25">
      <c r="A29" s="13">
        <v>25</v>
      </c>
      <c r="B29" s="14" t="s">
        <v>64</v>
      </c>
      <c r="C29" s="14" t="s">
        <v>65</v>
      </c>
      <c r="D29" s="15" t="s">
        <v>47</v>
      </c>
      <c r="E29" s="16" t="s">
        <v>47</v>
      </c>
      <c r="F29" s="17">
        <v>0</v>
      </c>
      <c r="G29" s="18"/>
      <c r="H29" s="18"/>
      <c r="I29" s="19" t="e">
        <f t="shared" si="0"/>
        <v>#DIV/0!</v>
      </c>
    </row>
    <row r="30" spans="1:9" ht="15.6" customHeight="1" x14ac:dyDescent="0.25">
      <c r="A30" s="13">
        <v>26</v>
      </c>
      <c r="B30" s="14" t="s">
        <v>66</v>
      </c>
      <c r="C30" s="14" t="s">
        <v>67</v>
      </c>
      <c r="D30" s="15" t="s">
        <v>47</v>
      </c>
      <c r="E30" s="16" t="s">
        <v>47</v>
      </c>
      <c r="F30" s="17">
        <v>0</v>
      </c>
      <c r="G30" s="18"/>
      <c r="H30" s="18"/>
      <c r="I30" s="19" t="e">
        <f t="shared" si="0"/>
        <v>#DIV/0!</v>
      </c>
    </row>
    <row r="31" spans="1:9" ht="15.6" customHeight="1" x14ac:dyDescent="0.25">
      <c r="A31" s="13">
        <v>27</v>
      </c>
      <c r="B31" s="14" t="s">
        <v>68</v>
      </c>
      <c r="C31" s="14" t="s">
        <v>69</v>
      </c>
      <c r="D31" s="15" t="s">
        <v>47</v>
      </c>
      <c r="E31" s="16" t="s">
        <v>47</v>
      </c>
      <c r="F31" s="17">
        <v>0</v>
      </c>
      <c r="G31" s="18"/>
      <c r="H31" s="18"/>
      <c r="I31" s="19" t="e">
        <f t="shared" si="0"/>
        <v>#DIV/0!</v>
      </c>
    </row>
    <row r="32" spans="1:9" ht="15.6" customHeight="1" x14ac:dyDescent="0.25">
      <c r="A32" s="13">
        <v>28</v>
      </c>
      <c r="B32" s="14" t="s">
        <v>70</v>
      </c>
      <c r="C32" s="14" t="s">
        <v>71</v>
      </c>
      <c r="D32" s="15" t="s">
        <v>47</v>
      </c>
      <c r="E32" s="16" t="s">
        <v>47</v>
      </c>
      <c r="F32" s="17">
        <v>0</v>
      </c>
      <c r="G32" s="18"/>
      <c r="H32" s="18"/>
      <c r="I32" s="19" t="e">
        <f t="shared" si="0"/>
        <v>#DIV/0!</v>
      </c>
    </row>
    <row r="33" spans="1:9" ht="15.6" customHeight="1" x14ac:dyDescent="0.25">
      <c r="A33" s="13">
        <v>29</v>
      </c>
      <c r="B33" s="14" t="s">
        <v>72</v>
      </c>
      <c r="C33" s="14" t="s">
        <v>73</v>
      </c>
      <c r="D33" s="15" t="s">
        <v>47</v>
      </c>
      <c r="E33" s="16" t="s">
        <v>47</v>
      </c>
      <c r="F33" s="17">
        <v>0</v>
      </c>
      <c r="G33" s="18"/>
      <c r="H33" s="18"/>
      <c r="I33" s="19" t="e">
        <f t="shared" si="0"/>
        <v>#DIV/0!</v>
      </c>
    </row>
    <row r="34" spans="1:9" ht="15.6" customHeight="1" x14ac:dyDescent="0.25">
      <c r="A34" s="13">
        <v>30</v>
      </c>
      <c r="B34" s="14" t="s">
        <v>74</v>
      </c>
      <c r="C34" s="14" t="s">
        <v>75</v>
      </c>
      <c r="D34" s="15" t="s">
        <v>47</v>
      </c>
      <c r="E34" s="16" t="s">
        <v>47</v>
      </c>
      <c r="F34" s="17">
        <v>0</v>
      </c>
      <c r="G34" s="18"/>
      <c r="H34" s="18"/>
      <c r="I34" s="19" t="e">
        <f t="shared" si="0"/>
        <v>#DIV/0!</v>
      </c>
    </row>
    <row r="35" spans="1:9" ht="15.6" customHeight="1" x14ac:dyDescent="0.25">
      <c r="A35" s="13">
        <v>31</v>
      </c>
      <c r="B35" s="14" t="s">
        <v>76</v>
      </c>
      <c r="C35" s="14" t="s">
        <v>77</v>
      </c>
      <c r="D35" s="15" t="s">
        <v>47</v>
      </c>
      <c r="E35" s="16" t="s">
        <v>47</v>
      </c>
      <c r="F35" s="17">
        <v>0</v>
      </c>
      <c r="G35" s="18"/>
      <c r="H35" s="18"/>
      <c r="I35" s="19" t="e">
        <f t="shared" si="0"/>
        <v>#DIV/0!</v>
      </c>
    </row>
    <row r="36" spans="1:9" ht="15.6" customHeight="1" x14ac:dyDescent="0.25">
      <c r="A36" s="13">
        <v>32</v>
      </c>
      <c r="B36" s="14" t="s">
        <v>78</v>
      </c>
      <c r="C36" s="14" t="s">
        <v>79</v>
      </c>
      <c r="D36" s="15" t="s">
        <v>47</v>
      </c>
      <c r="E36" s="16" t="s">
        <v>47</v>
      </c>
      <c r="F36" s="17">
        <v>0</v>
      </c>
      <c r="G36" s="18"/>
      <c r="H36" s="18"/>
      <c r="I36" s="19" t="e">
        <f t="shared" si="0"/>
        <v>#DIV/0!</v>
      </c>
    </row>
    <row r="37" spans="1:9" ht="15.6" customHeight="1" x14ac:dyDescent="0.25">
      <c r="A37" s="13">
        <v>33</v>
      </c>
      <c r="B37" s="14" t="s">
        <v>80</v>
      </c>
      <c r="C37" s="14" t="s">
        <v>81</v>
      </c>
      <c r="D37" s="15" t="s">
        <v>47</v>
      </c>
      <c r="E37" s="16" t="s">
        <v>47</v>
      </c>
      <c r="F37" s="17">
        <v>0</v>
      </c>
      <c r="G37" s="18"/>
      <c r="H37" s="18"/>
      <c r="I37" s="19" t="e">
        <f t="shared" si="0"/>
        <v>#DIV/0!</v>
      </c>
    </row>
    <row r="38" spans="1:9" ht="15.6" customHeight="1" x14ac:dyDescent="0.25">
      <c r="A38" s="13">
        <v>34</v>
      </c>
      <c r="B38" s="14" t="s">
        <v>82</v>
      </c>
      <c r="C38" s="14" t="s">
        <v>83</v>
      </c>
      <c r="D38" s="15" t="s">
        <v>47</v>
      </c>
      <c r="E38" s="16" t="s">
        <v>47</v>
      </c>
      <c r="F38" s="17">
        <v>0</v>
      </c>
      <c r="G38" s="18"/>
      <c r="H38" s="18"/>
      <c r="I38" s="19" t="e">
        <f t="shared" si="0"/>
        <v>#DIV/0!</v>
      </c>
    </row>
    <row r="39" spans="1:9" ht="15.6" customHeight="1" x14ac:dyDescent="0.25">
      <c r="A39" s="13">
        <v>35</v>
      </c>
      <c r="B39" s="14" t="s">
        <v>84</v>
      </c>
      <c r="C39" s="14" t="s">
        <v>85</v>
      </c>
      <c r="D39" s="15" t="s">
        <v>47</v>
      </c>
      <c r="E39" s="16" t="s">
        <v>47</v>
      </c>
      <c r="F39" s="17">
        <v>0</v>
      </c>
      <c r="G39" s="18"/>
      <c r="H39" s="18"/>
      <c r="I39" s="19" t="e">
        <f t="shared" si="0"/>
        <v>#DIV/0!</v>
      </c>
    </row>
    <row r="40" spans="1:9" ht="15.6" customHeight="1" x14ac:dyDescent="0.25">
      <c r="A40" s="13">
        <v>36</v>
      </c>
      <c r="B40" s="14" t="s">
        <v>86</v>
      </c>
      <c r="C40" s="14" t="s">
        <v>87</v>
      </c>
      <c r="D40" s="15" t="s">
        <v>47</v>
      </c>
      <c r="E40" s="16" t="s">
        <v>47</v>
      </c>
      <c r="F40" s="17">
        <v>0</v>
      </c>
      <c r="G40" s="18"/>
      <c r="H40" s="18"/>
      <c r="I40" s="19" t="e">
        <f t="shared" si="0"/>
        <v>#DIV/0!</v>
      </c>
    </row>
    <row r="41" spans="1:9" ht="15.6" customHeight="1" x14ac:dyDescent="0.25">
      <c r="A41" s="13">
        <v>37</v>
      </c>
      <c r="B41" s="14" t="s">
        <v>88</v>
      </c>
      <c r="C41" s="14" t="s">
        <v>89</v>
      </c>
      <c r="D41" s="15" t="s">
        <v>47</v>
      </c>
      <c r="E41" s="16" t="s">
        <v>47</v>
      </c>
      <c r="F41" s="17">
        <v>0</v>
      </c>
      <c r="G41" s="18"/>
      <c r="H41" s="18"/>
      <c r="I41" s="19" t="e">
        <f>H41/F41</f>
        <v>#DIV/0!</v>
      </c>
    </row>
    <row r="42" spans="1:9" ht="16.8" customHeight="1" x14ac:dyDescent="0.25">
      <c r="A42" s="5" t="s">
        <v>90</v>
      </c>
      <c r="B42" s="5"/>
      <c r="C42" s="5"/>
      <c r="D42" s="5" t="s">
        <v>91</v>
      </c>
      <c r="E42" s="5"/>
      <c r="F42" s="20">
        <f>SUM(F5:F41)</f>
        <v>179</v>
      </c>
      <c r="G42" s="21"/>
      <c r="H42" s="20">
        <f>SUM(H5:H41)</f>
        <v>0</v>
      </c>
      <c r="I42" s="22">
        <f>H42/F42</f>
        <v>0</v>
      </c>
    </row>
  </sheetData>
  <mergeCells count="45">
    <mergeCell ref="D41:E41"/>
    <mergeCell ref="A42:C42"/>
    <mergeCell ref="D42:E42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F39F-6F60-4DD9-BA33-AC63A5A3213A}">
  <sheetPr codeName="Sheet36"/>
  <dimension ref="A1:I14"/>
  <sheetViews>
    <sheetView zoomScaleNormal="100" workbookViewId="0">
      <selection activeCell="D15" sqref="D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16</v>
      </c>
      <c r="C5" s="14" t="s">
        <v>17</v>
      </c>
      <c r="D5" s="15" t="s">
        <v>18</v>
      </c>
      <c r="E5" s="16" t="s">
        <v>18</v>
      </c>
      <c r="F5" s="17">
        <v>10</v>
      </c>
      <c r="G5" s="17"/>
      <c r="H5" s="17"/>
      <c r="I5" s="19">
        <f t="shared" ref="I5:I13" si="0">H5/F5</f>
        <v>0</v>
      </c>
    </row>
    <row r="6" spans="1:9" ht="15.6" customHeight="1" x14ac:dyDescent="0.25">
      <c r="A6" s="13">
        <v>2</v>
      </c>
      <c r="B6" s="14" t="s">
        <v>21</v>
      </c>
      <c r="C6" s="14" t="s">
        <v>22</v>
      </c>
      <c r="D6" s="15" t="s">
        <v>18</v>
      </c>
      <c r="E6" s="16" t="s">
        <v>18</v>
      </c>
      <c r="F6" s="17">
        <v>15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23</v>
      </c>
      <c r="C7" s="14" t="s">
        <v>24</v>
      </c>
      <c r="D7" s="15" t="s">
        <v>18</v>
      </c>
      <c r="E7" s="16" t="s">
        <v>18</v>
      </c>
      <c r="F7" s="17">
        <v>11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25</v>
      </c>
      <c r="C8" s="14" t="s">
        <v>26</v>
      </c>
      <c r="D8" s="15" t="s">
        <v>18</v>
      </c>
      <c r="E8" s="16" t="s">
        <v>18</v>
      </c>
      <c r="F8" s="17">
        <v>6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27</v>
      </c>
      <c r="C9" s="14" t="s">
        <v>28</v>
      </c>
      <c r="D9" s="15" t="s">
        <v>18</v>
      </c>
      <c r="E9" s="16" t="s">
        <v>18</v>
      </c>
      <c r="F9" s="17">
        <v>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29</v>
      </c>
      <c r="C10" s="14" t="s">
        <v>30</v>
      </c>
      <c r="D10" s="15" t="s">
        <v>18</v>
      </c>
      <c r="E10" s="16" t="s">
        <v>18</v>
      </c>
      <c r="F10" s="17">
        <v>3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31</v>
      </c>
      <c r="C11" s="14" t="s">
        <v>32</v>
      </c>
      <c r="D11" s="15" t="s">
        <v>18</v>
      </c>
      <c r="E11" s="16" t="s">
        <v>18</v>
      </c>
      <c r="F11" s="17">
        <v>3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33</v>
      </c>
      <c r="C12" s="14" t="s">
        <v>34</v>
      </c>
      <c r="D12" s="15" t="s">
        <v>18</v>
      </c>
      <c r="E12" s="16" t="s">
        <v>18</v>
      </c>
      <c r="F12" s="17">
        <v>3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43</v>
      </c>
      <c r="C13" s="14" t="s">
        <v>44</v>
      </c>
      <c r="D13" s="15" t="s">
        <v>18</v>
      </c>
      <c r="E13" s="16" t="s">
        <v>18</v>
      </c>
      <c r="F13" s="17">
        <v>31</v>
      </c>
      <c r="G13" s="17"/>
      <c r="H13" s="17"/>
      <c r="I13" s="19">
        <f t="shared" si="0"/>
        <v>0</v>
      </c>
    </row>
    <row r="14" spans="1:9" ht="16.8" customHeight="1" x14ac:dyDescent="0.25">
      <c r="A14" s="5" t="s">
        <v>90</v>
      </c>
      <c r="B14" s="5"/>
      <c r="C14" s="5"/>
      <c r="D14" s="5" t="s">
        <v>92</v>
      </c>
      <c r="E14" s="5"/>
      <c r="F14" s="20">
        <f>SUM(F5:F13)</f>
        <v>84</v>
      </c>
      <c r="G14" s="21"/>
      <c r="H14" s="20">
        <f>SUM(H5:H13)</f>
        <v>0</v>
      </c>
      <c r="I14" s="22">
        <f>H14/F14</f>
        <v>0</v>
      </c>
    </row>
  </sheetData>
  <mergeCells count="17">
    <mergeCell ref="A14:C14"/>
    <mergeCell ref="D14:E14"/>
    <mergeCell ref="D13:E13"/>
    <mergeCell ref="D8:E8"/>
    <mergeCell ref="D9:E9"/>
    <mergeCell ref="D10:E10"/>
    <mergeCell ref="D11:E11"/>
    <mergeCell ref="D12:E12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89A6-2E4D-4B58-84B1-A2F28096A552}">
  <sheetPr codeName="Sheet37"/>
  <dimension ref="A1:I27"/>
  <sheetViews>
    <sheetView zoomScaleNormal="100" workbookViewId="0">
      <selection activeCell="D28" sqref="D2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45</v>
      </c>
      <c r="C5" s="14" t="s">
        <v>46</v>
      </c>
      <c r="D5" s="15" t="s">
        <v>47</v>
      </c>
      <c r="E5" s="16" t="s">
        <v>47</v>
      </c>
      <c r="F5" s="17">
        <v>0</v>
      </c>
      <c r="G5" s="18"/>
      <c r="H5" s="18"/>
      <c r="I5" s="19" t="e">
        <f t="shared" ref="I5:I25" si="0">H5/F5</f>
        <v>#DIV/0!</v>
      </c>
    </row>
    <row r="6" spans="1:9" ht="15.6" customHeight="1" x14ac:dyDescent="0.25">
      <c r="A6" s="13">
        <v>2</v>
      </c>
      <c r="B6" s="14" t="s">
        <v>48</v>
      </c>
      <c r="C6" s="14" t="s">
        <v>49</v>
      </c>
      <c r="D6" s="15" t="s">
        <v>47</v>
      </c>
      <c r="E6" s="16" t="s">
        <v>47</v>
      </c>
      <c r="F6" s="17">
        <v>0</v>
      </c>
      <c r="G6" s="18"/>
      <c r="H6" s="18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50</v>
      </c>
      <c r="C7" s="14" t="s">
        <v>51</v>
      </c>
      <c r="D7" s="15" t="s">
        <v>47</v>
      </c>
      <c r="E7" s="16" t="s">
        <v>47</v>
      </c>
      <c r="F7" s="17">
        <v>0</v>
      </c>
      <c r="G7" s="17"/>
      <c r="H7" s="17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52</v>
      </c>
      <c r="C8" s="14" t="s">
        <v>53</v>
      </c>
      <c r="D8" s="15" t="s">
        <v>47</v>
      </c>
      <c r="E8" s="16" t="s">
        <v>47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54</v>
      </c>
      <c r="C9" s="14" t="s">
        <v>55</v>
      </c>
      <c r="D9" s="15" t="s">
        <v>47</v>
      </c>
      <c r="E9" s="16" t="s">
        <v>47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56</v>
      </c>
      <c r="C10" s="14" t="s">
        <v>57</v>
      </c>
      <c r="D10" s="15" t="s">
        <v>47</v>
      </c>
      <c r="E10" s="16" t="s">
        <v>47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58</v>
      </c>
      <c r="C11" s="14" t="s">
        <v>59</v>
      </c>
      <c r="D11" s="15" t="s">
        <v>47</v>
      </c>
      <c r="E11" s="16" t="s">
        <v>47</v>
      </c>
      <c r="F11" s="17">
        <v>0</v>
      </c>
      <c r="G11" s="18"/>
      <c r="H11" s="18"/>
      <c r="I11" s="19" t="e">
        <f t="shared" si="0"/>
        <v>#DIV/0!</v>
      </c>
    </row>
    <row r="12" spans="1:9" ht="15.6" customHeight="1" x14ac:dyDescent="0.25">
      <c r="A12" s="13">
        <v>8</v>
      </c>
      <c r="B12" s="14" t="s">
        <v>60</v>
      </c>
      <c r="C12" s="14" t="s">
        <v>61</v>
      </c>
      <c r="D12" s="15" t="s">
        <v>47</v>
      </c>
      <c r="E12" s="16" t="s">
        <v>47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62</v>
      </c>
      <c r="C13" s="14" t="s">
        <v>63</v>
      </c>
      <c r="D13" s="15" t="s">
        <v>47</v>
      </c>
      <c r="E13" s="16" t="s">
        <v>47</v>
      </c>
      <c r="F13" s="17">
        <v>0</v>
      </c>
      <c r="G13" s="18"/>
      <c r="H13" s="18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64</v>
      </c>
      <c r="C14" s="14" t="s">
        <v>65</v>
      </c>
      <c r="D14" s="15" t="s">
        <v>47</v>
      </c>
      <c r="E14" s="16" t="s">
        <v>47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66</v>
      </c>
      <c r="C15" s="14" t="s">
        <v>67</v>
      </c>
      <c r="D15" s="15" t="s">
        <v>47</v>
      </c>
      <c r="E15" s="16" t="s">
        <v>47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68</v>
      </c>
      <c r="C16" s="14" t="s">
        <v>69</v>
      </c>
      <c r="D16" s="15" t="s">
        <v>47</v>
      </c>
      <c r="E16" s="16" t="s">
        <v>47</v>
      </c>
      <c r="F16" s="17">
        <v>0</v>
      </c>
      <c r="G16" s="18"/>
      <c r="H16" s="18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70</v>
      </c>
      <c r="C17" s="14" t="s">
        <v>71</v>
      </c>
      <c r="D17" s="15" t="s">
        <v>47</v>
      </c>
      <c r="E17" s="16" t="s">
        <v>47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72</v>
      </c>
      <c r="C18" s="14" t="s">
        <v>73</v>
      </c>
      <c r="D18" s="15" t="s">
        <v>47</v>
      </c>
      <c r="E18" s="16" t="s">
        <v>47</v>
      </c>
      <c r="F18" s="17">
        <v>0</v>
      </c>
      <c r="G18" s="18"/>
      <c r="H18" s="18"/>
      <c r="I18" s="19" t="e">
        <f t="shared" si="0"/>
        <v>#DIV/0!</v>
      </c>
    </row>
    <row r="19" spans="1:9" ht="15.6" customHeight="1" x14ac:dyDescent="0.25">
      <c r="A19" s="13">
        <v>15</v>
      </c>
      <c r="B19" s="14" t="s">
        <v>74</v>
      </c>
      <c r="C19" s="14" t="s">
        <v>75</v>
      </c>
      <c r="D19" s="15" t="s">
        <v>47</v>
      </c>
      <c r="E19" s="16" t="s">
        <v>47</v>
      </c>
      <c r="F19" s="17">
        <v>0</v>
      </c>
      <c r="G19" s="18"/>
      <c r="H19" s="18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76</v>
      </c>
      <c r="C20" s="14" t="s">
        <v>77</v>
      </c>
      <c r="D20" s="15" t="s">
        <v>47</v>
      </c>
      <c r="E20" s="16" t="s">
        <v>47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78</v>
      </c>
      <c r="C21" s="14" t="s">
        <v>79</v>
      </c>
      <c r="D21" s="15" t="s">
        <v>47</v>
      </c>
      <c r="E21" s="16" t="s">
        <v>47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80</v>
      </c>
      <c r="C22" s="14" t="s">
        <v>81</v>
      </c>
      <c r="D22" s="15" t="s">
        <v>47</v>
      </c>
      <c r="E22" s="16" t="s">
        <v>47</v>
      </c>
      <c r="F22" s="17">
        <v>0</v>
      </c>
      <c r="G22" s="18"/>
      <c r="H22" s="18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82</v>
      </c>
      <c r="C23" s="14" t="s">
        <v>83</v>
      </c>
      <c r="D23" s="15" t="s">
        <v>47</v>
      </c>
      <c r="E23" s="16" t="s">
        <v>47</v>
      </c>
      <c r="F23" s="17">
        <v>0</v>
      </c>
      <c r="G23" s="18"/>
      <c r="H23" s="18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84</v>
      </c>
      <c r="C24" s="14" t="s">
        <v>85</v>
      </c>
      <c r="D24" s="15" t="s">
        <v>47</v>
      </c>
      <c r="E24" s="16" t="s">
        <v>47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86</v>
      </c>
      <c r="C25" s="14" t="s">
        <v>87</v>
      </c>
      <c r="D25" s="15" t="s">
        <v>47</v>
      </c>
      <c r="E25" s="16" t="s">
        <v>47</v>
      </c>
      <c r="F25" s="17">
        <v>0</v>
      </c>
      <c r="G25" s="18"/>
      <c r="H25" s="18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88</v>
      </c>
      <c r="C26" s="14" t="s">
        <v>89</v>
      </c>
      <c r="D26" s="15" t="s">
        <v>47</v>
      </c>
      <c r="E26" s="16" t="s">
        <v>47</v>
      </c>
      <c r="F26" s="17">
        <v>0</v>
      </c>
      <c r="G26" s="18"/>
      <c r="H26" s="18"/>
      <c r="I26" s="19" t="e">
        <f>H26/F26</f>
        <v>#DIV/0!</v>
      </c>
    </row>
    <row r="27" spans="1:9" ht="16.8" customHeight="1" x14ac:dyDescent="0.25">
      <c r="A27" s="5" t="s">
        <v>90</v>
      </c>
      <c r="B27" s="5"/>
      <c r="C27" s="5"/>
      <c r="D27" s="5" t="s">
        <v>93</v>
      </c>
      <c r="E27" s="5"/>
      <c r="F27" s="20">
        <f>SUM(F5:F26)</f>
        <v>0</v>
      </c>
      <c r="G27" s="21"/>
      <c r="H27" s="20">
        <f>SUM(H5:H26)</f>
        <v>0</v>
      </c>
      <c r="I27" s="22" t="e">
        <f>H27/F27</f>
        <v>#DIV/0!</v>
      </c>
    </row>
  </sheetData>
  <mergeCells count="30">
    <mergeCell ref="D26:E26"/>
    <mergeCell ref="A27:C27"/>
    <mergeCell ref="D27:E27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621D-5C92-4D0E-8163-27EF3397CEC1}">
  <sheetPr codeName="Sheet38"/>
  <dimension ref="A1:I11"/>
  <sheetViews>
    <sheetView zoomScaleNormal="100" workbookViewId="0">
      <selection activeCell="D18" sqref="D1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13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13</v>
      </c>
      <c r="E7" s="16" t="s">
        <v>13</v>
      </c>
      <c r="F7" s="17">
        <v>4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35</v>
      </c>
      <c r="C8" s="14" t="s">
        <v>36</v>
      </c>
      <c r="D8" s="15" t="s">
        <v>37</v>
      </c>
      <c r="E8" s="16" t="s">
        <v>37</v>
      </c>
      <c r="F8" s="17">
        <v>26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38</v>
      </c>
      <c r="C9" s="14" t="s">
        <v>39</v>
      </c>
      <c r="D9" s="15" t="s">
        <v>40</v>
      </c>
      <c r="E9" s="16" t="s">
        <v>40</v>
      </c>
      <c r="F9" s="17">
        <v>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41</v>
      </c>
      <c r="C10" s="14" t="s">
        <v>42</v>
      </c>
      <c r="D10" s="15" t="s">
        <v>40</v>
      </c>
      <c r="E10" s="16" t="s">
        <v>40</v>
      </c>
      <c r="F10" s="17">
        <v>42</v>
      </c>
      <c r="G10" s="18"/>
      <c r="H10" s="18"/>
      <c r="I10" s="19">
        <f t="shared" si="0"/>
        <v>0</v>
      </c>
    </row>
    <row r="11" spans="1:9" ht="16.8" customHeight="1" x14ac:dyDescent="0.25">
      <c r="A11" s="5" t="s">
        <v>90</v>
      </c>
      <c r="B11" s="5"/>
      <c r="C11" s="5"/>
      <c r="D11" s="5" t="s">
        <v>94</v>
      </c>
      <c r="E11" s="5"/>
      <c r="F11" s="20">
        <f>SUM(F5:F10)</f>
        <v>95</v>
      </c>
      <c r="G11" s="21"/>
      <c r="H11" s="20">
        <f>SUM(H5:H10)</f>
        <v>0</v>
      </c>
      <c r="I11" s="22">
        <f>H11/F11</f>
        <v>0</v>
      </c>
    </row>
  </sheetData>
  <mergeCells count="14">
    <mergeCell ref="A11:C11"/>
    <mergeCell ref="D11:E11"/>
    <mergeCell ref="D9:E9"/>
    <mergeCell ref="D10:E10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Inv__Ujitjes_Tropoje</vt:lpstr>
      <vt:lpstr>Rezervuar</vt:lpstr>
      <vt:lpstr>Stacione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2026-10-06T13:10:47Z</dcterms:created>
  <dcterms:modified xsi:type="dcterms:W3CDTF">2026-10-06T13:13:23Z</dcterms:modified>
</cp:coreProperties>
</file>