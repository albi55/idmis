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872A3E7-DE95-4EAB-A7D6-6518DDAC2807}" xr6:coauthVersionLast="47" xr6:coauthVersionMax="47" xr10:uidLastSave="{00000000-0000-0000-0000-000000000000}"/>
  <bookViews>
    <workbookView xWindow="-28920" yWindow="-1470" windowWidth="29040" windowHeight="15720" xr2:uid="{98EEB638-27D6-48BF-8EF7-F81032523BC3}"/>
  </bookViews>
  <sheets>
    <sheet name="Inv__Ujitjes_Mat" sheetId="1" r:id="rId1"/>
    <sheet name="Rezervuar" sheetId="2" r:id="rId2"/>
    <sheet name="Stacion Pompimi" sheetId="3" r:id="rId3"/>
    <sheet name="Lume" sheetId="4" r:id="rId4"/>
    <sheet name="Skema Pj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5" l="1"/>
  <c r="F7" i="5"/>
  <c r="I6" i="5"/>
  <c r="H38" i="4"/>
  <c r="F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7" i="3"/>
  <c r="F7" i="3"/>
  <c r="I6" i="3"/>
  <c r="I5" i="3"/>
  <c r="H24" i="2"/>
  <c r="F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67" i="1"/>
  <c r="I67" i="1" s="1"/>
  <c r="F67" i="1"/>
  <c r="I66" i="1"/>
  <c r="H60" i="1"/>
  <c r="I60" i="1" s="1"/>
  <c r="F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" i="5" l="1"/>
  <c r="I38" i="4"/>
  <c r="I7" i="3"/>
  <c r="I24" i="2"/>
</calcChain>
</file>

<file path=xl/sharedStrings.xml><?xml version="1.0" encoding="utf-8"?>
<sst xmlns="http://schemas.openxmlformats.org/spreadsheetml/2006/main" count="522" uniqueCount="158">
  <si>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</si>
  <si>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</si>
  <si>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</si>
  <si>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</si>
  <si>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</si>
  <si>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</si>
  <si>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</si>
  <si>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</si>
  <si>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</si>
  <si>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</si>
  <si>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</si>
  <si>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MTU - V4</t>
  </si>
  <si>
    <t>Rezervuari Midhe nr.2</t>
  </si>
  <si>
    <t>Midhe nr.2</t>
  </si>
  <si>
    <t>MTU - V27</t>
  </si>
  <si>
    <t>Kanali ujites i Sekes</t>
  </si>
  <si>
    <t>Perrua</t>
  </si>
  <si>
    <t>MTU - V33</t>
  </si>
  <si>
    <t>Rezervuari Balgjaj 1</t>
  </si>
  <si>
    <t>Balgjaj 1</t>
  </si>
  <si>
    <t>MTU - V35</t>
  </si>
  <si>
    <t>Rezeruari Baz Nr 1</t>
  </si>
  <si>
    <t>Baz Nr 1</t>
  </si>
  <si>
    <r>
      <t>MTU -</t>
    </r>
    <r>
      <rPr>
        <sz val="10"/>
        <color indexed="8"/>
        <rFont val="Arial"/>
        <family val="2"/>
      </rPr>
      <t xml:space="preserve"> V2</t>
    </r>
  </si>
  <si>
    <t>Rezervuari Shqefen</t>
  </si>
  <si>
    <t>Shqefen</t>
  </si>
  <si>
    <t>MTU - V36</t>
  </si>
  <si>
    <t>Kanali ujites Frankth</t>
  </si>
  <si>
    <t>MTU - V37</t>
  </si>
  <si>
    <t>Kanali ujites Baterr e Vogel</t>
  </si>
  <si>
    <t>MTU - V38</t>
  </si>
  <si>
    <t>Kanali Ujites Gjalish</t>
  </si>
  <si>
    <t>MTU - V39</t>
  </si>
  <si>
    <t>Kanali Ujites Vigut</t>
  </si>
  <si>
    <t>MTU - V42</t>
  </si>
  <si>
    <t>Kanali Ujites Bushkash</t>
  </si>
  <si>
    <t>MTU - V46</t>
  </si>
  <si>
    <t>Kanali Ujites German</t>
  </si>
  <si>
    <t>MTU - V10</t>
  </si>
  <si>
    <t>Kanali Ujites Urake</t>
  </si>
  <si>
    <t>MTU - V49</t>
  </si>
  <si>
    <t>Kanali Ujites Fushe Baz</t>
  </si>
  <si>
    <t>MTU - V50</t>
  </si>
  <si>
    <t>Kanali Ujites Baterr e Madhe</t>
  </si>
  <si>
    <t>MTU - V3</t>
  </si>
  <si>
    <t>Rezervuari Baz Nr 2</t>
  </si>
  <si>
    <t>Baz Nr 2</t>
  </si>
  <si>
    <t>MTU - V5</t>
  </si>
  <si>
    <t>Rezervuari Laç Nr 1</t>
  </si>
  <si>
    <t>Laç Nr 1</t>
  </si>
  <si>
    <t>MTU - V13</t>
  </si>
  <si>
    <t>Kanali Ujites Karice</t>
  </si>
  <si>
    <t>MTU - V17</t>
  </si>
  <si>
    <t>Kanali Ujites Komsi</t>
  </si>
  <si>
    <t>MTU - V54</t>
  </si>
  <si>
    <t>Kanali Ujites Shoshaj</t>
  </si>
  <si>
    <t>MTU - V57</t>
  </si>
  <si>
    <t>Kanali Ujites Madhesh</t>
  </si>
  <si>
    <t>MTU - V20</t>
  </si>
  <si>
    <t>Kanali Ujites Muzhake</t>
  </si>
  <si>
    <t>MTU - V58</t>
  </si>
  <si>
    <t>Kanali Ujites Pjeze</t>
  </si>
  <si>
    <t>MTU - V25</t>
  </si>
  <si>
    <t>Kanali Ujites Bruç</t>
  </si>
  <si>
    <t>MTU - V59</t>
  </si>
  <si>
    <t>Rezervuari Mallunxe</t>
  </si>
  <si>
    <t>Mallunxe</t>
  </si>
  <si>
    <t>MTU - V26</t>
  </si>
  <si>
    <t>Kanali Ujites Zall Prell</t>
  </si>
  <si>
    <t>MTU - V29</t>
  </si>
  <si>
    <t>Rezervuari Macukull</t>
  </si>
  <si>
    <t>Macukull</t>
  </si>
  <si>
    <t>MTU - V30</t>
  </si>
  <si>
    <t>Rezervuari Midhe Nr 1</t>
  </si>
  <si>
    <t>Midhe Nr 1</t>
  </si>
  <si>
    <t>MTU - V31</t>
  </si>
  <si>
    <t>Rezervuari ish-Ndermarja Bujqesore</t>
  </si>
  <si>
    <t>Rezervuari ish-N.B.</t>
  </si>
  <si>
    <t>MTU - V24</t>
  </si>
  <si>
    <t>Rezervuari Laç Nr 2</t>
  </si>
  <si>
    <t>Laç Nr 2</t>
  </si>
  <si>
    <t>MTU - V7</t>
  </si>
  <si>
    <t>Kanali Ujites Baz</t>
  </si>
  <si>
    <t>MTU - V12</t>
  </si>
  <si>
    <t>Rezervuari Shoshaj</t>
  </si>
  <si>
    <t>Shoshaj</t>
  </si>
  <si>
    <t>MTU - V15</t>
  </si>
  <si>
    <t>Rezervuari Derjan Nr 2</t>
  </si>
  <si>
    <t>Derjan Nr 2</t>
  </si>
  <si>
    <t>MTU - V16</t>
  </si>
  <si>
    <t>Rezervuari Sukbull</t>
  </si>
  <si>
    <t>Sukbull</t>
  </si>
  <si>
    <t>MTU - V18</t>
  </si>
  <si>
    <t>Rezervuari Derjan Nr 1</t>
  </si>
  <si>
    <t>Derjan Nr 1</t>
  </si>
  <si>
    <t>MTU - V19</t>
  </si>
  <si>
    <t>Rezervuari Burrel Nr 1</t>
  </si>
  <si>
    <t>Burrel Nr 1</t>
  </si>
  <si>
    <t>MTU - V23</t>
  </si>
  <si>
    <t>Rezervuari Blatit</t>
  </si>
  <si>
    <t>Blatit</t>
  </si>
  <si>
    <t>MTU - V28</t>
  </si>
  <si>
    <t>Rezervuari Derjan Nr 3</t>
  </si>
  <si>
    <t>Derjan Nr 3</t>
  </si>
  <si>
    <t>MTU - V32</t>
  </si>
  <si>
    <t>Rezervuari Fires</t>
  </si>
  <si>
    <t>Fires</t>
  </si>
  <si>
    <t>MTU - V60</t>
  </si>
  <si>
    <t>Stp. i Rezervuarit Midhe Nr 2</t>
  </si>
  <si>
    <t>Rezervuari Midhe 2</t>
  </si>
  <si>
    <t>MTU - V61</t>
  </si>
  <si>
    <t>MTU - V62</t>
  </si>
  <si>
    <t>Bater e vogel</t>
  </si>
  <si>
    <t>Bater Vogel</t>
  </si>
  <si>
    <t>MTU - V63</t>
  </si>
  <si>
    <t>Bater e madhe</t>
  </si>
  <si>
    <t>Bater Madhe</t>
  </si>
  <si>
    <t>MTU - V64</t>
  </si>
  <si>
    <t>Shkembi i Zi</t>
  </si>
  <si>
    <t>MTU - V65</t>
  </si>
  <si>
    <t>Kolaj Burrel</t>
  </si>
  <si>
    <t>Lumi Mat</t>
  </si>
  <si>
    <t>MTU - V66</t>
  </si>
  <si>
    <t>Qershize Laç Bruç</t>
  </si>
  <si>
    <t>Perroi i Urakes</t>
  </si>
  <si>
    <t>MTU - V67</t>
  </si>
  <si>
    <t>Prell Nr 1</t>
  </si>
  <si>
    <t>Zall Prell</t>
  </si>
  <si>
    <t>MTU - V68</t>
  </si>
  <si>
    <t>Prell Nr 2</t>
  </si>
  <si>
    <t>MTU - V69</t>
  </si>
  <si>
    <t>Urake Laç Bruç</t>
  </si>
  <si>
    <t>MTU - V70</t>
  </si>
  <si>
    <t>MTU - V82</t>
  </si>
  <si>
    <t>Rrethe Baz</t>
  </si>
  <si>
    <t>Ulez</t>
  </si>
  <si>
    <t>MTU - V83</t>
  </si>
  <si>
    <t>Bushkash</t>
  </si>
  <si>
    <t>MTU - V84</t>
  </si>
  <si>
    <t xml:space="preserve">Karice </t>
  </si>
  <si>
    <t>Kanali Rez Baz Nr 2</t>
  </si>
  <si>
    <t>MTU - V85</t>
  </si>
  <si>
    <t>Qender Baz</t>
  </si>
  <si>
    <t>MTU - V86</t>
  </si>
  <si>
    <t>Lis</t>
  </si>
  <si>
    <t>Perroi Lis</t>
  </si>
  <si>
    <t>MTU - V87</t>
  </si>
  <si>
    <t>Total</t>
  </si>
  <si>
    <t>55 Skema</t>
  </si>
  <si>
    <t>Skema të pjesërisht të transferuara</t>
  </si>
  <si>
    <t>Vetëm Kanale të Dyta në Km</t>
  </si>
  <si>
    <t>MTU - V1</t>
  </si>
  <si>
    <t>Kanali ujites Klos</t>
  </si>
  <si>
    <t>Lum Mat</t>
  </si>
  <si>
    <t>1 Skeme</t>
  </si>
  <si>
    <t>19 Skema</t>
  </si>
  <si>
    <t>2 Skema</t>
  </si>
  <si>
    <t>33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</si>
</sst>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3" fillId="0" borderId="1" xfId="1" applyFont="1" applyBorder="1" applyAlignment="1">
      <alignment horizontal="left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B371B206-8ACB-4D12-B95F-7F0BF9F3FAEA}"/>
    <cellStyle name="Percent 3" xfId="2" xr:uid="{8957BBB7-334B-42DD-AE57-48528D1C63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976E-C1C7-48D2-A335-B4F47254C614}">
  <sheetPr codeName="Sheet43"/>
  <dimension ref="A1:I67"/>
  <sheetViews>
    <sheetView tabSelected="1" zoomScaleNormal="100" workbookViewId="0">
      <selection activeCell="B9" sqref="B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4">
        <v>14</v>
      </c>
      <c r="G5" s="14"/>
      <c r="H5" s="14"/>
      <c r="I5" s="18">
        <f t="shared" ref="I5:I58" si="0">H5/F5</f>
        <v>0</v>
      </c>
    </row>
    <row r="6" spans="1:9" ht="15.6" customHeight="1" x14ac:dyDescent="0.25">
      <c r="A6" s="13">
        <v>2</v>
      </c>
      <c r="B6" s="19" t="s">
        <v>14</v>
      </c>
      <c r="C6" s="20" t="s">
        <v>15</v>
      </c>
      <c r="D6" s="16" t="s">
        <v>16</v>
      </c>
      <c r="E6" s="17" t="s">
        <v>16</v>
      </c>
      <c r="F6" s="14">
        <v>12</v>
      </c>
      <c r="G6" s="14"/>
      <c r="H6" s="14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5" t="s">
        <v>18</v>
      </c>
      <c r="D7" s="16" t="s">
        <v>19</v>
      </c>
      <c r="E7" s="17" t="s">
        <v>19</v>
      </c>
      <c r="F7" s="14">
        <v>6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5" t="s">
        <v>21</v>
      </c>
      <c r="D8" s="16" t="s">
        <v>22</v>
      </c>
      <c r="E8" s="17" t="s">
        <v>22</v>
      </c>
      <c r="F8" s="14">
        <v>12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9" t="s">
        <v>23</v>
      </c>
      <c r="C9" s="20" t="s">
        <v>24</v>
      </c>
      <c r="D9" s="16" t="s">
        <v>25</v>
      </c>
      <c r="E9" s="17" t="s">
        <v>25</v>
      </c>
      <c r="F9" s="14">
        <v>8</v>
      </c>
      <c r="G9" s="14"/>
      <c r="H9" s="14"/>
      <c r="I9" s="18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5" t="s">
        <v>27</v>
      </c>
      <c r="D10" s="16" t="s">
        <v>16</v>
      </c>
      <c r="E10" s="17" t="s">
        <v>16</v>
      </c>
      <c r="F10" s="14">
        <v>4.0999999999999996</v>
      </c>
      <c r="G10" s="19"/>
      <c r="H10" s="19"/>
      <c r="I10" s="18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5" t="s">
        <v>29</v>
      </c>
      <c r="D11" s="16" t="s">
        <v>16</v>
      </c>
      <c r="E11" s="17" t="s">
        <v>16</v>
      </c>
      <c r="F11" s="14">
        <v>4.0999999999999996</v>
      </c>
      <c r="G11" s="14"/>
      <c r="H11" s="14"/>
      <c r="I11" s="18">
        <f t="shared" si="0"/>
        <v>0</v>
      </c>
    </row>
    <row r="12" spans="1:9" ht="15.6" customHeight="1" x14ac:dyDescent="0.25">
      <c r="A12" s="13">
        <v>8</v>
      </c>
      <c r="B12" s="19" t="s">
        <v>30</v>
      </c>
      <c r="C12" s="20" t="s">
        <v>31</v>
      </c>
      <c r="D12" s="16" t="s">
        <v>16</v>
      </c>
      <c r="E12" s="17" t="s">
        <v>16</v>
      </c>
      <c r="F12" s="14">
        <v>5.4</v>
      </c>
      <c r="G12" s="14"/>
      <c r="H12" s="14"/>
      <c r="I12" s="18">
        <f t="shared" si="0"/>
        <v>0</v>
      </c>
    </row>
    <row r="13" spans="1:9" ht="15.6" customHeight="1" x14ac:dyDescent="0.25">
      <c r="A13" s="13">
        <v>9</v>
      </c>
      <c r="B13" s="14" t="s">
        <v>32</v>
      </c>
      <c r="C13" s="15" t="s">
        <v>33</v>
      </c>
      <c r="D13" s="16" t="s">
        <v>16</v>
      </c>
      <c r="E13" s="17" t="s">
        <v>16</v>
      </c>
      <c r="F13" s="14">
        <v>6.6</v>
      </c>
      <c r="G13" s="19"/>
      <c r="H13" s="19"/>
      <c r="I13" s="18">
        <f t="shared" si="0"/>
        <v>0</v>
      </c>
    </row>
    <row r="14" spans="1:9" ht="15.6" customHeight="1" x14ac:dyDescent="0.25">
      <c r="A14" s="13">
        <v>10</v>
      </c>
      <c r="B14" s="14" t="s">
        <v>34</v>
      </c>
      <c r="C14" s="15" t="s">
        <v>35</v>
      </c>
      <c r="D14" s="16" t="s">
        <v>16</v>
      </c>
      <c r="E14" s="17" t="s">
        <v>16</v>
      </c>
      <c r="F14" s="14">
        <v>5.5</v>
      </c>
      <c r="G14" s="14"/>
      <c r="H14" s="14"/>
      <c r="I14" s="18">
        <f t="shared" si="0"/>
        <v>0</v>
      </c>
    </row>
    <row r="15" spans="1:9" ht="15.6" customHeight="1" x14ac:dyDescent="0.25">
      <c r="A15" s="13">
        <v>11</v>
      </c>
      <c r="B15" s="19" t="s">
        <v>36</v>
      </c>
      <c r="C15" s="20" t="s">
        <v>37</v>
      </c>
      <c r="D15" s="16" t="s">
        <v>16</v>
      </c>
      <c r="E15" s="17" t="s">
        <v>16</v>
      </c>
      <c r="F15" s="14">
        <v>1.6</v>
      </c>
      <c r="G15" s="14"/>
      <c r="H15" s="14"/>
      <c r="I15" s="18">
        <f t="shared" si="0"/>
        <v>0</v>
      </c>
    </row>
    <row r="16" spans="1:9" ht="15.6" customHeight="1" x14ac:dyDescent="0.25">
      <c r="A16" s="13">
        <v>12</v>
      </c>
      <c r="B16" s="14" t="s">
        <v>38</v>
      </c>
      <c r="C16" s="15" t="s">
        <v>39</v>
      </c>
      <c r="D16" s="16" t="s">
        <v>16</v>
      </c>
      <c r="E16" s="17" t="s">
        <v>16</v>
      </c>
      <c r="F16" s="14">
        <v>5.2</v>
      </c>
      <c r="G16" s="19"/>
      <c r="H16" s="19"/>
      <c r="I16" s="18">
        <f t="shared" si="0"/>
        <v>0</v>
      </c>
    </row>
    <row r="17" spans="1:9" ht="15.6" customHeight="1" x14ac:dyDescent="0.25">
      <c r="A17" s="13">
        <v>13</v>
      </c>
      <c r="B17" s="14" t="s">
        <v>40</v>
      </c>
      <c r="C17" s="15" t="s">
        <v>41</v>
      </c>
      <c r="D17" s="16" t="s">
        <v>16</v>
      </c>
      <c r="E17" s="17" t="s">
        <v>16</v>
      </c>
      <c r="F17" s="14">
        <v>1.5</v>
      </c>
      <c r="G17" s="14"/>
      <c r="H17" s="14"/>
      <c r="I17" s="18">
        <f t="shared" si="0"/>
        <v>0</v>
      </c>
    </row>
    <row r="18" spans="1:9" ht="15.6" customHeight="1" x14ac:dyDescent="0.25">
      <c r="A18" s="13">
        <v>14</v>
      </c>
      <c r="B18" s="19" t="s">
        <v>42</v>
      </c>
      <c r="C18" s="20" t="s">
        <v>43</v>
      </c>
      <c r="D18" s="16" t="s">
        <v>16</v>
      </c>
      <c r="E18" s="17" t="s">
        <v>16</v>
      </c>
      <c r="F18" s="14">
        <v>4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44</v>
      </c>
      <c r="C19" s="15" t="s">
        <v>45</v>
      </c>
      <c r="D19" s="16" t="s">
        <v>46</v>
      </c>
      <c r="E19" s="17" t="s">
        <v>46</v>
      </c>
      <c r="F19" s="14">
        <v>14</v>
      </c>
      <c r="G19" s="19"/>
      <c r="H19" s="19"/>
      <c r="I19" s="18">
        <f t="shared" si="0"/>
        <v>0</v>
      </c>
    </row>
    <row r="20" spans="1:9" ht="15.6" customHeight="1" x14ac:dyDescent="0.25">
      <c r="A20" s="13">
        <v>16</v>
      </c>
      <c r="B20" s="14" t="s">
        <v>47</v>
      </c>
      <c r="C20" s="15" t="s">
        <v>48</v>
      </c>
      <c r="D20" s="16" t="s">
        <v>49</v>
      </c>
      <c r="E20" s="17" t="s">
        <v>49</v>
      </c>
      <c r="F20" s="14">
        <v>4</v>
      </c>
      <c r="G20" s="14"/>
      <c r="H20" s="14"/>
      <c r="I20" s="18">
        <f t="shared" si="0"/>
        <v>0</v>
      </c>
    </row>
    <row r="21" spans="1:9" ht="15.6" customHeight="1" x14ac:dyDescent="0.25">
      <c r="A21" s="13">
        <v>17</v>
      </c>
      <c r="B21" s="19" t="s">
        <v>50</v>
      </c>
      <c r="C21" s="20" t="s">
        <v>51</v>
      </c>
      <c r="D21" s="16" t="s">
        <v>16</v>
      </c>
      <c r="E21" s="17" t="s">
        <v>16</v>
      </c>
      <c r="F21" s="14">
        <v>1.1000000000000001</v>
      </c>
      <c r="G21" s="14"/>
      <c r="H21" s="14"/>
      <c r="I21" s="18">
        <f t="shared" si="0"/>
        <v>0</v>
      </c>
    </row>
    <row r="22" spans="1:9" ht="15.6" customHeight="1" x14ac:dyDescent="0.25">
      <c r="A22" s="13">
        <v>18</v>
      </c>
      <c r="B22" s="14" t="s">
        <v>52</v>
      </c>
      <c r="C22" s="15" t="s">
        <v>53</v>
      </c>
      <c r="D22" s="16" t="s">
        <v>16</v>
      </c>
      <c r="E22" s="17" t="s">
        <v>16</v>
      </c>
      <c r="F22" s="14">
        <v>4.2</v>
      </c>
      <c r="G22" s="19"/>
      <c r="H22" s="19"/>
      <c r="I22" s="18">
        <f t="shared" si="0"/>
        <v>0</v>
      </c>
    </row>
    <row r="23" spans="1:9" ht="15.6" customHeight="1" x14ac:dyDescent="0.25">
      <c r="A23" s="13">
        <v>19</v>
      </c>
      <c r="B23" s="14" t="s">
        <v>54</v>
      </c>
      <c r="C23" s="15" t="s">
        <v>55</v>
      </c>
      <c r="D23" s="16" t="s">
        <v>16</v>
      </c>
      <c r="E23" s="17" t="s">
        <v>16</v>
      </c>
      <c r="F23" s="14">
        <v>2</v>
      </c>
      <c r="G23" s="14"/>
      <c r="H23" s="14"/>
      <c r="I23" s="18">
        <f t="shared" si="0"/>
        <v>0</v>
      </c>
    </row>
    <row r="24" spans="1:9" ht="15.6" customHeight="1" x14ac:dyDescent="0.25">
      <c r="A24" s="13">
        <v>20</v>
      </c>
      <c r="B24" s="19" t="s">
        <v>56</v>
      </c>
      <c r="C24" s="20" t="s">
        <v>57</v>
      </c>
      <c r="D24" s="16" t="s">
        <v>16</v>
      </c>
      <c r="E24" s="17" t="s">
        <v>16</v>
      </c>
      <c r="F24" s="14">
        <v>5</v>
      </c>
      <c r="G24" s="14"/>
      <c r="H24" s="14"/>
      <c r="I24" s="18">
        <f t="shared" si="0"/>
        <v>0</v>
      </c>
    </row>
    <row r="25" spans="1:9" ht="15.6" customHeight="1" x14ac:dyDescent="0.25">
      <c r="A25" s="13">
        <v>21</v>
      </c>
      <c r="B25" s="14" t="s">
        <v>58</v>
      </c>
      <c r="C25" s="15" t="s">
        <v>59</v>
      </c>
      <c r="D25" s="16" t="s">
        <v>16</v>
      </c>
      <c r="E25" s="17" t="s">
        <v>16</v>
      </c>
      <c r="F25" s="14">
        <v>1.6</v>
      </c>
      <c r="G25" s="19"/>
      <c r="H25" s="19"/>
      <c r="I25" s="18">
        <f t="shared" si="0"/>
        <v>0</v>
      </c>
    </row>
    <row r="26" spans="1:9" ht="15.6" customHeight="1" x14ac:dyDescent="0.25">
      <c r="A26" s="13">
        <v>22</v>
      </c>
      <c r="B26" s="14" t="s">
        <v>60</v>
      </c>
      <c r="C26" s="15" t="s">
        <v>61</v>
      </c>
      <c r="D26" s="16" t="s">
        <v>16</v>
      </c>
      <c r="E26" s="17" t="s">
        <v>16</v>
      </c>
      <c r="F26" s="14">
        <v>5</v>
      </c>
      <c r="G26" s="14"/>
      <c r="H26" s="14"/>
      <c r="I26" s="18">
        <f t="shared" si="0"/>
        <v>0</v>
      </c>
    </row>
    <row r="27" spans="1:9" ht="15.6" customHeight="1" x14ac:dyDescent="0.25">
      <c r="A27" s="13">
        <v>23</v>
      </c>
      <c r="B27" s="19" t="s">
        <v>62</v>
      </c>
      <c r="C27" s="20" t="s">
        <v>63</v>
      </c>
      <c r="D27" s="16" t="s">
        <v>16</v>
      </c>
      <c r="E27" s="17" t="s">
        <v>16</v>
      </c>
      <c r="F27" s="14">
        <v>1.5</v>
      </c>
      <c r="G27" s="14"/>
      <c r="H27" s="14"/>
      <c r="I27" s="18">
        <f t="shared" si="0"/>
        <v>0</v>
      </c>
    </row>
    <row r="28" spans="1:9" ht="15.6" customHeight="1" x14ac:dyDescent="0.25">
      <c r="A28" s="13">
        <v>24</v>
      </c>
      <c r="B28" s="14" t="s">
        <v>64</v>
      </c>
      <c r="C28" s="15" t="s">
        <v>65</v>
      </c>
      <c r="D28" s="16" t="s">
        <v>66</v>
      </c>
      <c r="E28" s="17" t="s">
        <v>66</v>
      </c>
      <c r="F28" s="14">
        <v>2</v>
      </c>
      <c r="G28" s="14"/>
      <c r="H28" s="14"/>
      <c r="I28" s="18">
        <f t="shared" si="0"/>
        <v>0</v>
      </c>
    </row>
    <row r="29" spans="1:9" ht="15.6" customHeight="1" x14ac:dyDescent="0.25">
      <c r="A29" s="13">
        <v>25</v>
      </c>
      <c r="B29" s="14" t="s">
        <v>67</v>
      </c>
      <c r="C29" s="15" t="s">
        <v>68</v>
      </c>
      <c r="D29" s="16" t="s">
        <v>16</v>
      </c>
      <c r="E29" s="17" t="s">
        <v>16</v>
      </c>
      <c r="F29" s="14">
        <v>3.4</v>
      </c>
      <c r="G29" s="14"/>
      <c r="H29" s="14"/>
      <c r="I29" s="18">
        <f t="shared" si="0"/>
        <v>0</v>
      </c>
    </row>
    <row r="30" spans="1:9" ht="15.6" customHeight="1" x14ac:dyDescent="0.25">
      <c r="A30" s="13">
        <v>26</v>
      </c>
      <c r="B30" s="19" t="s">
        <v>69</v>
      </c>
      <c r="C30" s="20" t="s">
        <v>70</v>
      </c>
      <c r="D30" s="16" t="s">
        <v>71</v>
      </c>
      <c r="E30" s="17" t="s">
        <v>71</v>
      </c>
      <c r="F30" s="14">
        <v>2</v>
      </c>
      <c r="G30" s="14"/>
      <c r="H30" s="14"/>
      <c r="I30" s="18">
        <f t="shared" si="0"/>
        <v>0</v>
      </c>
    </row>
    <row r="31" spans="1:9" ht="15.6" customHeight="1" x14ac:dyDescent="0.25">
      <c r="A31" s="13">
        <v>27</v>
      </c>
      <c r="B31" s="14" t="s">
        <v>72</v>
      </c>
      <c r="C31" s="15" t="s">
        <v>73</v>
      </c>
      <c r="D31" s="16" t="s">
        <v>74</v>
      </c>
      <c r="E31" s="17" t="s">
        <v>74</v>
      </c>
      <c r="F31" s="14">
        <v>1.4</v>
      </c>
      <c r="G31" s="14"/>
      <c r="H31" s="14"/>
      <c r="I31" s="18">
        <f t="shared" si="0"/>
        <v>0</v>
      </c>
    </row>
    <row r="32" spans="1:9" ht="15.6" customHeight="1" x14ac:dyDescent="0.25">
      <c r="A32" s="13">
        <v>28</v>
      </c>
      <c r="B32" s="14" t="s">
        <v>75</v>
      </c>
      <c r="C32" s="15" t="s">
        <v>76</v>
      </c>
      <c r="D32" s="16" t="s">
        <v>77</v>
      </c>
      <c r="E32" s="17" t="s">
        <v>77</v>
      </c>
      <c r="F32" s="14">
        <v>2</v>
      </c>
      <c r="G32" s="14"/>
      <c r="H32" s="14"/>
      <c r="I32" s="18">
        <f t="shared" si="0"/>
        <v>0</v>
      </c>
    </row>
    <row r="33" spans="1:9" ht="15.6" customHeight="1" x14ac:dyDescent="0.25">
      <c r="A33" s="13">
        <v>29</v>
      </c>
      <c r="B33" s="19" t="s">
        <v>78</v>
      </c>
      <c r="C33" s="20" t="s">
        <v>79</v>
      </c>
      <c r="D33" s="16" t="s">
        <v>80</v>
      </c>
      <c r="E33" s="17" t="s">
        <v>80</v>
      </c>
      <c r="F33" s="14">
        <v>3</v>
      </c>
      <c r="G33" s="14"/>
      <c r="H33" s="14"/>
      <c r="I33" s="18">
        <f t="shared" si="0"/>
        <v>0</v>
      </c>
    </row>
    <row r="34" spans="1:9" ht="15.6" customHeight="1" x14ac:dyDescent="0.25">
      <c r="A34" s="13">
        <v>30</v>
      </c>
      <c r="B34" s="14" t="s">
        <v>81</v>
      </c>
      <c r="C34" s="15" t="s">
        <v>82</v>
      </c>
      <c r="D34" s="16" t="s">
        <v>16</v>
      </c>
      <c r="E34" s="17" t="s">
        <v>16</v>
      </c>
      <c r="F34" s="14">
        <v>4.5</v>
      </c>
      <c r="G34" s="14"/>
      <c r="H34" s="14"/>
      <c r="I34" s="18">
        <f t="shared" si="0"/>
        <v>0</v>
      </c>
    </row>
    <row r="35" spans="1:9" ht="15.6" customHeight="1" x14ac:dyDescent="0.25">
      <c r="A35" s="13">
        <v>31</v>
      </c>
      <c r="B35" s="14" t="s">
        <v>83</v>
      </c>
      <c r="C35" s="15" t="s">
        <v>84</v>
      </c>
      <c r="D35" s="16" t="s">
        <v>85</v>
      </c>
      <c r="E35" s="17" t="s">
        <v>85</v>
      </c>
      <c r="F35" s="14">
        <v>2.5</v>
      </c>
      <c r="G35" s="14"/>
      <c r="H35" s="14"/>
      <c r="I35" s="18">
        <f t="shared" si="0"/>
        <v>0</v>
      </c>
    </row>
    <row r="36" spans="1:9" ht="15.6" customHeight="1" x14ac:dyDescent="0.25">
      <c r="A36" s="13">
        <v>32</v>
      </c>
      <c r="B36" s="19" t="s">
        <v>86</v>
      </c>
      <c r="C36" s="20" t="s">
        <v>87</v>
      </c>
      <c r="D36" s="16" t="s">
        <v>88</v>
      </c>
      <c r="E36" s="17" t="s">
        <v>88</v>
      </c>
      <c r="F36" s="14">
        <v>2</v>
      </c>
      <c r="G36" s="14"/>
      <c r="H36" s="14"/>
      <c r="I36" s="18">
        <f t="shared" si="0"/>
        <v>0</v>
      </c>
    </row>
    <row r="37" spans="1:9" ht="15.6" customHeight="1" x14ac:dyDescent="0.25">
      <c r="A37" s="13">
        <v>33</v>
      </c>
      <c r="B37" s="14" t="s">
        <v>89</v>
      </c>
      <c r="C37" s="15" t="s">
        <v>90</v>
      </c>
      <c r="D37" s="16" t="s">
        <v>91</v>
      </c>
      <c r="E37" s="17" t="s">
        <v>91</v>
      </c>
      <c r="F37" s="14">
        <v>3</v>
      </c>
      <c r="G37" s="14"/>
      <c r="H37" s="14"/>
      <c r="I37" s="18">
        <f t="shared" si="0"/>
        <v>0</v>
      </c>
    </row>
    <row r="38" spans="1:9" ht="15.6" customHeight="1" x14ac:dyDescent="0.25">
      <c r="A38" s="13">
        <v>34</v>
      </c>
      <c r="B38" s="14" t="s">
        <v>92</v>
      </c>
      <c r="C38" s="15" t="s">
        <v>93</v>
      </c>
      <c r="D38" s="16" t="s">
        <v>94</v>
      </c>
      <c r="E38" s="17" t="s">
        <v>94</v>
      </c>
      <c r="F38" s="14">
        <v>1</v>
      </c>
      <c r="G38" s="14"/>
      <c r="H38" s="14"/>
      <c r="I38" s="18">
        <f t="shared" si="0"/>
        <v>0</v>
      </c>
    </row>
    <row r="39" spans="1:9" ht="15.6" customHeight="1" x14ac:dyDescent="0.25">
      <c r="A39" s="13">
        <v>35</v>
      </c>
      <c r="B39" s="19" t="s">
        <v>95</v>
      </c>
      <c r="C39" s="20" t="s">
        <v>96</v>
      </c>
      <c r="D39" s="16" t="s">
        <v>97</v>
      </c>
      <c r="E39" s="17" t="s">
        <v>97</v>
      </c>
      <c r="F39" s="14">
        <v>1</v>
      </c>
      <c r="G39" s="14"/>
      <c r="H39" s="14"/>
      <c r="I39" s="18">
        <f t="shared" si="0"/>
        <v>0</v>
      </c>
    </row>
    <row r="40" spans="1:9" ht="15.6" customHeight="1" x14ac:dyDescent="0.25">
      <c r="A40" s="13">
        <v>36</v>
      </c>
      <c r="B40" s="14" t="s">
        <v>98</v>
      </c>
      <c r="C40" s="15" t="s">
        <v>99</v>
      </c>
      <c r="D40" s="16" t="s">
        <v>100</v>
      </c>
      <c r="E40" s="17" t="s">
        <v>100</v>
      </c>
      <c r="F40" s="14">
        <v>2</v>
      </c>
      <c r="G40" s="14"/>
      <c r="H40" s="14"/>
      <c r="I40" s="18">
        <f t="shared" si="0"/>
        <v>0</v>
      </c>
    </row>
    <row r="41" spans="1:9" ht="15.6" customHeight="1" x14ac:dyDescent="0.25">
      <c r="A41" s="13">
        <v>37</v>
      </c>
      <c r="B41" s="14" t="s">
        <v>101</v>
      </c>
      <c r="C41" s="15" t="s">
        <v>102</v>
      </c>
      <c r="D41" s="16" t="s">
        <v>103</v>
      </c>
      <c r="E41" s="17" t="s">
        <v>103</v>
      </c>
      <c r="F41" s="14">
        <v>1</v>
      </c>
      <c r="G41" s="14"/>
      <c r="H41" s="14"/>
      <c r="I41" s="18">
        <f t="shared" si="0"/>
        <v>0</v>
      </c>
    </row>
    <row r="42" spans="1:9" ht="15.6" customHeight="1" x14ac:dyDescent="0.25">
      <c r="A42" s="13">
        <v>38</v>
      </c>
      <c r="B42" s="19" t="s">
        <v>104</v>
      </c>
      <c r="C42" s="20" t="s">
        <v>105</v>
      </c>
      <c r="D42" s="16" t="s">
        <v>106</v>
      </c>
      <c r="E42" s="17" t="s">
        <v>106</v>
      </c>
      <c r="F42" s="14">
        <v>1</v>
      </c>
      <c r="G42" s="14"/>
      <c r="H42" s="14"/>
      <c r="I42" s="18">
        <f t="shared" si="0"/>
        <v>0</v>
      </c>
    </row>
    <row r="43" spans="1:9" ht="15.6" customHeight="1" x14ac:dyDescent="0.25">
      <c r="A43" s="13">
        <v>39</v>
      </c>
      <c r="B43" s="14" t="s">
        <v>107</v>
      </c>
      <c r="C43" s="15" t="s">
        <v>108</v>
      </c>
      <c r="D43" s="16" t="s">
        <v>109</v>
      </c>
      <c r="E43" s="17" t="s">
        <v>109</v>
      </c>
      <c r="F43" s="14">
        <v>0.4</v>
      </c>
      <c r="G43" s="14"/>
      <c r="H43" s="14"/>
      <c r="I43" s="18">
        <f t="shared" si="0"/>
        <v>0</v>
      </c>
    </row>
    <row r="44" spans="1:9" ht="15.6" customHeight="1" x14ac:dyDescent="0.25">
      <c r="A44" s="13">
        <v>40</v>
      </c>
      <c r="B44" s="14" t="s">
        <v>110</v>
      </c>
      <c r="C44" s="15" t="s">
        <v>108</v>
      </c>
      <c r="D44" s="16" t="s">
        <v>109</v>
      </c>
      <c r="E44" s="17" t="s">
        <v>109</v>
      </c>
      <c r="F44" s="14">
        <v>3.2</v>
      </c>
      <c r="G44" s="14"/>
      <c r="H44" s="14"/>
      <c r="I44" s="18">
        <f t="shared" si="0"/>
        <v>0</v>
      </c>
    </row>
    <row r="45" spans="1:9" ht="15.6" customHeight="1" x14ac:dyDescent="0.25">
      <c r="A45" s="13">
        <v>41</v>
      </c>
      <c r="B45" s="19" t="s">
        <v>111</v>
      </c>
      <c r="C45" s="20" t="s">
        <v>112</v>
      </c>
      <c r="D45" s="16" t="s">
        <v>113</v>
      </c>
      <c r="E45" s="17" t="s">
        <v>113</v>
      </c>
      <c r="F45" s="14">
        <v>2</v>
      </c>
      <c r="G45" s="14"/>
      <c r="H45" s="14"/>
      <c r="I45" s="18">
        <f t="shared" si="0"/>
        <v>0</v>
      </c>
    </row>
    <row r="46" spans="1:9" ht="15.6" customHeight="1" x14ac:dyDescent="0.25">
      <c r="A46" s="13">
        <v>42</v>
      </c>
      <c r="B46" s="14" t="s">
        <v>114</v>
      </c>
      <c r="C46" s="15" t="s">
        <v>115</v>
      </c>
      <c r="D46" s="16" t="s">
        <v>116</v>
      </c>
      <c r="E46" s="17" t="s">
        <v>116</v>
      </c>
      <c r="F46" s="14">
        <v>1</v>
      </c>
      <c r="G46" s="14"/>
      <c r="H46" s="14"/>
      <c r="I46" s="18">
        <f t="shared" si="0"/>
        <v>0</v>
      </c>
    </row>
    <row r="47" spans="1:9" ht="15.6" customHeight="1" x14ac:dyDescent="0.25">
      <c r="A47" s="13">
        <v>43</v>
      </c>
      <c r="B47" s="14" t="s">
        <v>117</v>
      </c>
      <c r="C47" s="15" t="s">
        <v>118</v>
      </c>
      <c r="D47" s="16" t="s">
        <v>113</v>
      </c>
      <c r="E47" s="17" t="s">
        <v>113</v>
      </c>
      <c r="F47" s="14">
        <v>1</v>
      </c>
      <c r="G47" s="14"/>
      <c r="H47" s="14"/>
      <c r="I47" s="18">
        <f t="shared" si="0"/>
        <v>0</v>
      </c>
    </row>
    <row r="48" spans="1:9" ht="15.6" customHeight="1" x14ac:dyDescent="0.25">
      <c r="A48" s="13">
        <v>44</v>
      </c>
      <c r="B48" s="19" t="s">
        <v>119</v>
      </c>
      <c r="C48" s="20" t="s">
        <v>120</v>
      </c>
      <c r="D48" s="16" t="s">
        <v>121</v>
      </c>
      <c r="E48" s="17" t="s">
        <v>121</v>
      </c>
      <c r="F48" s="14">
        <v>1.8</v>
      </c>
      <c r="G48" s="14"/>
      <c r="H48" s="14"/>
      <c r="I48" s="18">
        <f t="shared" si="0"/>
        <v>0</v>
      </c>
    </row>
    <row r="49" spans="1:9" ht="15.6" customHeight="1" x14ac:dyDescent="0.25">
      <c r="A49" s="13">
        <v>45</v>
      </c>
      <c r="B49" s="14" t="s">
        <v>122</v>
      </c>
      <c r="C49" s="15" t="s">
        <v>123</v>
      </c>
      <c r="D49" s="16" t="s">
        <v>124</v>
      </c>
      <c r="E49" s="17" t="s">
        <v>124</v>
      </c>
      <c r="F49" s="14">
        <v>3.3</v>
      </c>
      <c r="G49" s="14"/>
      <c r="H49" s="14"/>
      <c r="I49" s="18">
        <f t="shared" si="0"/>
        <v>0</v>
      </c>
    </row>
    <row r="50" spans="1:9" ht="15.6" customHeight="1" x14ac:dyDescent="0.25">
      <c r="A50" s="13">
        <v>46</v>
      </c>
      <c r="B50" s="14" t="s">
        <v>125</v>
      </c>
      <c r="C50" s="15" t="s">
        <v>126</v>
      </c>
      <c r="D50" s="16" t="s">
        <v>127</v>
      </c>
      <c r="E50" s="17" t="s">
        <v>127</v>
      </c>
      <c r="F50" s="14">
        <v>1</v>
      </c>
      <c r="G50" s="14"/>
      <c r="H50" s="14"/>
      <c r="I50" s="18">
        <f t="shared" si="0"/>
        <v>0</v>
      </c>
    </row>
    <row r="51" spans="1:9" ht="15.6" customHeight="1" x14ac:dyDescent="0.25">
      <c r="A51" s="13">
        <v>47</v>
      </c>
      <c r="B51" s="19" t="s">
        <v>128</v>
      </c>
      <c r="C51" s="20" t="s">
        <v>129</v>
      </c>
      <c r="D51" s="16" t="s">
        <v>127</v>
      </c>
      <c r="E51" s="17" t="s">
        <v>127</v>
      </c>
      <c r="F51" s="14">
        <v>1</v>
      </c>
      <c r="G51" s="14"/>
      <c r="H51" s="14"/>
      <c r="I51" s="18">
        <f t="shared" si="0"/>
        <v>0</v>
      </c>
    </row>
    <row r="52" spans="1:9" ht="15.6" customHeight="1" x14ac:dyDescent="0.25">
      <c r="A52" s="13">
        <v>48</v>
      </c>
      <c r="B52" s="14" t="s">
        <v>130</v>
      </c>
      <c r="C52" s="15" t="s">
        <v>131</v>
      </c>
      <c r="D52" s="16" t="s">
        <v>124</v>
      </c>
      <c r="E52" s="17" t="s">
        <v>124</v>
      </c>
      <c r="F52" s="14">
        <v>1.2</v>
      </c>
      <c r="G52" s="14"/>
      <c r="H52" s="14"/>
      <c r="I52" s="18">
        <f t="shared" si="0"/>
        <v>0</v>
      </c>
    </row>
    <row r="53" spans="1:9" ht="15.6" customHeight="1" x14ac:dyDescent="0.25">
      <c r="A53" s="13">
        <v>49</v>
      </c>
      <c r="B53" s="14" t="s">
        <v>132</v>
      </c>
      <c r="C53" s="15" t="s">
        <v>25</v>
      </c>
      <c r="D53" s="16" t="s">
        <v>25</v>
      </c>
      <c r="E53" s="17" t="s">
        <v>25</v>
      </c>
      <c r="F53" s="14">
        <v>8</v>
      </c>
      <c r="G53" s="14"/>
      <c r="H53" s="14"/>
      <c r="I53" s="18">
        <f t="shared" si="0"/>
        <v>0</v>
      </c>
    </row>
    <row r="54" spans="1:9" ht="15.6" customHeight="1" x14ac:dyDescent="0.25">
      <c r="A54" s="13">
        <v>50</v>
      </c>
      <c r="B54" s="19" t="s">
        <v>133</v>
      </c>
      <c r="C54" s="20" t="s">
        <v>134</v>
      </c>
      <c r="D54" s="16" t="s">
        <v>135</v>
      </c>
      <c r="E54" s="17" t="s">
        <v>135</v>
      </c>
      <c r="F54" s="14">
        <v>1.5</v>
      </c>
      <c r="G54" s="14"/>
      <c r="H54" s="14"/>
      <c r="I54" s="18">
        <f t="shared" si="0"/>
        <v>0</v>
      </c>
    </row>
    <row r="55" spans="1:9" ht="15.6" customHeight="1" x14ac:dyDescent="0.25">
      <c r="A55" s="13">
        <v>51</v>
      </c>
      <c r="B55" s="14" t="s">
        <v>136</v>
      </c>
      <c r="C55" s="15" t="s">
        <v>137</v>
      </c>
      <c r="D55" s="16" t="s">
        <v>135</v>
      </c>
      <c r="E55" s="17" t="s">
        <v>135</v>
      </c>
      <c r="F55" s="14">
        <v>0.5</v>
      </c>
      <c r="G55" s="14"/>
      <c r="H55" s="14"/>
      <c r="I55" s="18">
        <f t="shared" si="0"/>
        <v>0</v>
      </c>
    </row>
    <row r="56" spans="1:9" ht="15.6" customHeight="1" x14ac:dyDescent="0.25">
      <c r="A56" s="13">
        <v>52</v>
      </c>
      <c r="B56" s="14" t="s">
        <v>138</v>
      </c>
      <c r="C56" s="15" t="s">
        <v>139</v>
      </c>
      <c r="D56" s="16" t="s">
        <v>140</v>
      </c>
      <c r="E56" s="17" t="s">
        <v>140</v>
      </c>
      <c r="F56" s="14">
        <v>0.6</v>
      </c>
      <c r="G56" s="14"/>
      <c r="H56" s="14"/>
      <c r="I56" s="18">
        <f t="shared" si="0"/>
        <v>0</v>
      </c>
    </row>
    <row r="57" spans="1:9" ht="15.6" customHeight="1" x14ac:dyDescent="0.25">
      <c r="A57" s="13">
        <v>53</v>
      </c>
      <c r="B57" s="19" t="s">
        <v>141</v>
      </c>
      <c r="C57" s="20" t="s">
        <v>142</v>
      </c>
      <c r="D57" s="16" t="s">
        <v>45</v>
      </c>
      <c r="E57" s="17" t="s">
        <v>45</v>
      </c>
      <c r="F57" s="14">
        <v>1.2</v>
      </c>
      <c r="G57" s="14"/>
      <c r="H57" s="14"/>
      <c r="I57" s="18">
        <f t="shared" si="0"/>
        <v>0</v>
      </c>
    </row>
    <row r="58" spans="1:9" ht="15.6" customHeight="1" x14ac:dyDescent="0.25">
      <c r="A58" s="13">
        <v>54</v>
      </c>
      <c r="B58" s="14" t="s">
        <v>143</v>
      </c>
      <c r="C58" s="15" t="s">
        <v>144</v>
      </c>
      <c r="D58" s="16" t="s">
        <v>145</v>
      </c>
      <c r="E58" s="17" t="s">
        <v>145</v>
      </c>
      <c r="F58" s="14">
        <v>1.6</v>
      </c>
      <c r="G58" s="14"/>
      <c r="H58" s="14"/>
      <c r="I58" s="18">
        <f t="shared" si="0"/>
        <v>0</v>
      </c>
    </row>
    <row r="59" spans="1:9" ht="15.6" customHeight="1" x14ac:dyDescent="0.25">
      <c r="A59" s="13">
        <v>55</v>
      </c>
      <c r="B59" s="14" t="s">
        <v>146</v>
      </c>
      <c r="C59" s="15" t="s">
        <v>66</v>
      </c>
      <c r="D59" s="16" t="s">
        <v>145</v>
      </c>
      <c r="E59" s="17" t="s">
        <v>145</v>
      </c>
      <c r="F59" s="14">
        <v>2.5</v>
      </c>
      <c r="G59" s="14"/>
      <c r="H59" s="14"/>
      <c r="I59" s="18">
        <f>H59/F59</f>
        <v>0</v>
      </c>
    </row>
    <row r="60" spans="1:9" ht="16.8" customHeight="1" x14ac:dyDescent="0.25">
      <c r="A60" s="5" t="s">
        <v>147</v>
      </c>
      <c r="B60" s="5"/>
      <c r="C60" s="5"/>
      <c r="D60" s="5" t="s">
        <v>148</v>
      </c>
      <c r="E60" s="5"/>
      <c r="F60" s="21">
        <f>SUM(F5:F59)</f>
        <v>191.99999999999997</v>
      </c>
      <c r="G60" s="22"/>
      <c r="H60" s="21">
        <f>SUM(H5:H59)</f>
        <v>0</v>
      </c>
      <c r="I60" s="23">
        <f>H60/F60</f>
        <v>0</v>
      </c>
    </row>
    <row r="62" spans="1:9" ht="15" x14ac:dyDescent="0.25">
      <c r="A62" s="1" t="s">
        <v>149</v>
      </c>
    </row>
    <row r="64" spans="1:9" s="25" customFormat="1" ht="17.399999999999999" customHeight="1" x14ac:dyDescent="0.25">
      <c r="A64" s="5" t="s">
        <v>1</v>
      </c>
      <c r="B64" s="24" t="s">
        <v>2</v>
      </c>
      <c r="C64" s="24"/>
      <c r="D64" s="7" t="s">
        <v>3</v>
      </c>
      <c r="E64" s="8"/>
      <c r="F64" s="24" t="s">
        <v>150</v>
      </c>
      <c r="G64" s="6" t="s">
        <v>5</v>
      </c>
      <c r="H64" s="5" t="s">
        <v>6</v>
      </c>
      <c r="I64" s="5"/>
    </row>
    <row r="65" spans="1:9" s="25" customFormat="1" ht="17.399999999999999" customHeight="1" x14ac:dyDescent="0.25">
      <c r="A65" s="5"/>
      <c r="B65" s="10" t="s">
        <v>7</v>
      </c>
      <c r="C65" s="10" t="s">
        <v>8</v>
      </c>
      <c r="D65" s="11"/>
      <c r="E65" s="12"/>
      <c r="F65" s="24"/>
      <c r="G65" s="6"/>
      <c r="H65" s="10" t="s">
        <v>9</v>
      </c>
      <c r="I65" s="10" t="s">
        <v>10</v>
      </c>
    </row>
    <row r="66" spans="1:9" ht="16.2" customHeight="1" x14ac:dyDescent="0.25">
      <c r="A66" s="26">
        <v>1</v>
      </c>
      <c r="B66" s="27" t="s">
        <v>151</v>
      </c>
      <c r="C66" s="28" t="s">
        <v>152</v>
      </c>
      <c r="D66" s="29" t="s">
        <v>153</v>
      </c>
      <c r="E66" s="30" t="s">
        <v>153</v>
      </c>
      <c r="F66" s="31">
        <v>0</v>
      </c>
      <c r="G66" s="14"/>
      <c r="H66" s="14"/>
      <c r="I66" s="18" t="e">
        <f>H66/F66</f>
        <v>#DIV/0!</v>
      </c>
    </row>
    <row r="67" spans="1:9" ht="16.8" customHeight="1" x14ac:dyDescent="0.25">
      <c r="A67" s="5" t="s">
        <v>147</v>
      </c>
      <c r="B67" s="5"/>
      <c r="C67" s="5"/>
      <c r="D67" s="5" t="s">
        <v>154</v>
      </c>
      <c r="E67" s="5"/>
      <c r="F67" s="21">
        <f>SUM(F66:F66)</f>
        <v>0</v>
      </c>
      <c r="G67" s="22"/>
      <c r="H67" s="21">
        <f>SUM(H66:H66)</f>
        <v>0</v>
      </c>
      <c r="I67" s="23" t="e">
        <f>H67/F67</f>
        <v>#DIV/0!</v>
      </c>
    </row>
  </sheetData>
  <mergeCells count="72">
    <mergeCell ref="F64:F65"/>
    <mergeCell ref="G64:G65"/>
    <mergeCell ref="H64:I64"/>
    <mergeCell ref="D66:E66"/>
    <mergeCell ref="A67:C67"/>
    <mergeCell ref="D67:E67"/>
    <mergeCell ref="D59:E59"/>
    <mergeCell ref="A60:C60"/>
    <mergeCell ref="D60:E60"/>
    <mergeCell ref="A64:A65"/>
    <mergeCell ref="B64:C64"/>
    <mergeCell ref="D64:E65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6E47-D014-4219-8861-8C9CBF428D36}">
  <sheetPr codeName="Sheet44"/>
  <dimension ref="A1:I24"/>
  <sheetViews>
    <sheetView zoomScaleNormal="100" workbookViewId="0">
      <selection activeCell="D25" sqref="D2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4">
        <v>14</v>
      </c>
      <c r="G5" s="14"/>
      <c r="H5" s="14"/>
      <c r="I5" s="18">
        <f t="shared" ref="I5:I23" si="0">H5/F5</f>
        <v>0</v>
      </c>
    </row>
    <row r="6" spans="1:9" ht="15.6" customHeight="1" x14ac:dyDescent="0.25">
      <c r="A6" s="13">
        <v>2</v>
      </c>
      <c r="B6" s="14" t="s">
        <v>17</v>
      </c>
      <c r="C6" s="15" t="s">
        <v>18</v>
      </c>
      <c r="D6" s="16" t="s">
        <v>19</v>
      </c>
      <c r="E6" s="17" t="s">
        <v>19</v>
      </c>
      <c r="F6" s="14">
        <v>6</v>
      </c>
      <c r="G6" s="19"/>
      <c r="H6" s="19"/>
      <c r="I6" s="18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5" t="s">
        <v>21</v>
      </c>
      <c r="D7" s="16" t="s">
        <v>22</v>
      </c>
      <c r="E7" s="17" t="s">
        <v>22</v>
      </c>
      <c r="F7" s="14">
        <v>12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9" t="s">
        <v>23</v>
      </c>
      <c r="C8" s="20" t="s">
        <v>24</v>
      </c>
      <c r="D8" s="16" t="s">
        <v>25</v>
      </c>
      <c r="E8" s="17" t="s">
        <v>25</v>
      </c>
      <c r="F8" s="14">
        <v>8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44</v>
      </c>
      <c r="C9" s="15" t="s">
        <v>45</v>
      </c>
      <c r="D9" s="16" t="s">
        <v>46</v>
      </c>
      <c r="E9" s="17" t="s">
        <v>46</v>
      </c>
      <c r="F9" s="14">
        <v>14</v>
      </c>
      <c r="G9" s="19"/>
      <c r="H9" s="19"/>
      <c r="I9" s="18">
        <f t="shared" si="0"/>
        <v>0</v>
      </c>
    </row>
    <row r="10" spans="1:9" ht="15.6" customHeight="1" x14ac:dyDescent="0.25">
      <c r="A10" s="13">
        <v>6</v>
      </c>
      <c r="B10" s="14" t="s">
        <v>47</v>
      </c>
      <c r="C10" s="15" t="s">
        <v>48</v>
      </c>
      <c r="D10" s="16" t="s">
        <v>49</v>
      </c>
      <c r="E10" s="17" t="s">
        <v>49</v>
      </c>
      <c r="F10" s="14">
        <v>4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64</v>
      </c>
      <c r="C11" s="15" t="s">
        <v>65</v>
      </c>
      <c r="D11" s="16" t="s">
        <v>66</v>
      </c>
      <c r="E11" s="17" t="s">
        <v>66</v>
      </c>
      <c r="F11" s="14">
        <v>2</v>
      </c>
      <c r="G11" s="14"/>
      <c r="H11" s="14"/>
      <c r="I11" s="18">
        <f t="shared" si="0"/>
        <v>0</v>
      </c>
    </row>
    <row r="12" spans="1:9" ht="15.6" customHeight="1" x14ac:dyDescent="0.25">
      <c r="A12" s="13">
        <v>8</v>
      </c>
      <c r="B12" s="19" t="s">
        <v>69</v>
      </c>
      <c r="C12" s="20" t="s">
        <v>70</v>
      </c>
      <c r="D12" s="16" t="s">
        <v>71</v>
      </c>
      <c r="E12" s="17" t="s">
        <v>71</v>
      </c>
      <c r="F12" s="14">
        <v>2</v>
      </c>
      <c r="G12" s="14"/>
      <c r="H12" s="14"/>
      <c r="I12" s="18">
        <f t="shared" si="0"/>
        <v>0</v>
      </c>
    </row>
    <row r="13" spans="1:9" ht="15.6" customHeight="1" x14ac:dyDescent="0.25">
      <c r="A13" s="13">
        <v>9</v>
      </c>
      <c r="B13" s="14" t="s">
        <v>72</v>
      </c>
      <c r="C13" s="15" t="s">
        <v>73</v>
      </c>
      <c r="D13" s="16" t="s">
        <v>74</v>
      </c>
      <c r="E13" s="17" t="s">
        <v>74</v>
      </c>
      <c r="F13" s="14">
        <v>1.4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75</v>
      </c>
      <c r="C14" s="15" t="s">
        <v>76</v>
      </c>
      <c r="D14" s="16" t="s">
        <v>77</v>
      </c>
      <c r="E14" s="17" t="s">
        <v>77</v>
      </c>
      <c r="F14" s="14">
        <v>2</v>
      </c>
      <c r="G14" s="14"/>
      <c r="H14" s="14"/>
      <c r="I14" s="18">
        <f t="shared" si="0"/>
        <v>0</v>
      </c>
    </row>
    <row r="15" spans="1:9" ht="15.6" customHeight="1" x14ac:dyDescent="0.25">
      <c r="A15" s="13">
        <v>11</v>
      </c>
      <c r="B15" s="19" t="s">
        <v>78</v>
      </c>
      <c r="C15" s="20" t="s">
        <v>79</v>
      </c>
      <c r="D15" s="16" t="s">
        <v>80</v>
      </c>
      <c r="E15" s="17" t="s">
        <v>80</v>
      </c>
      <c r="F15" s="14">
        <v>3</v>
      </c>
      <c r="G15" s="14"/>
      <c r="H15" s="14"/>
      <c r="I15" s="18">
        <f t="shared" si="0"/>
        <v>0</v>
      </c>
    </row>
    <row r="16" spans="1:9" ht="15.6" customHeight="1" x14ac:dyDescent="0.25">
      <c r="A16" s="13">
        <v>12</v>
      </c>
      <c r="B16" s="14" t="s">
        <v>83</v>
      </c>
      <c r="C16" s="15" t="s">
        <v>84</v>
      </c>
      <c r="D16" s="16" t="s">
        <v>85</v>
      </c>
      <c r="E16" s="17" t="s">
        <v>85</v>
      </c>
      <c r="F16" s="14">
        <v>2.5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9" t="s">
        <v>86</v>
      </c>
      <c r="C17" s="20" t="s">
        <v>87</v>
      </c>
      <c r="D17" s="16" t="s">
        <v>88</v>
      </c>
      <c r="E17" s="17" t="s">
        <v>88</v>
      </c>
      <c r="F17" s="14">
        <v>2</v>
      </c>
      <c r="G17" s="14"/>
      <c r="H17" s="14"/>
      <c r="I17" s="18">
        <f t="shared" si="0"/>
        <v>0</v>
      </c>
    </row>
    <row r="18" spans="1:9" ht="15.6" customHeight="1" x14ac:dyDescent="0.25">
      <c r="A18" s="13">
        <v>14</v>
      </c>
      <c r="B18" s="14" t="s">
        <v>89</v>
      </c>
      <c r="C18" s="15" t="s">
        <v>90</v>
      </c>
      <c r="D18" s="16" t="s">
        <v>91</v>
      </c>
      <c r="E18" s="17" t="s">
        <v>91</v>
      </c>
      <c r="F18" s="14">
        <v>3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92</v>
      </c>
      <c r="C19" s="15" t="s">
        <v>93</v>
      </c>
      <c r="D19" s="16" t="s">
        <v>94</v>
      </c>
      <c r="E19" s="17" t="s">
        <v>94</v>
      </c>
      <c r="F19" s="14">
        <v>1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9" t="s">
        <v>95</v>
      </c>
      <c r="C20" s="20" t="s">
        <v>96</v>
      </c>
      <c r="D20" s="16" t="s">
        <v>97</v>
      </c>
      <c r="E20" s="17" t="s">
        <v>97</v>
      </c>
      <c r="F20" s="14">
        <v>1</v>
      </c>
      <c r="G20" s="14"/>
      <c r="H20" s="14"/>
      <c r="I20" s="18">
        <f t="shared" si="0"/>
        <v>0</v>
      </c>
    </row>
    <row r="21" spans="1:9" ht="15.6" customHeight="1" x14ac:dyDescent="0.25">
      <c r="A21" s="13">
        <v>17</v>
      </c>
      <c r="B21" s="14" t="s">
        <v>98</v>
      </c>
      <c r="C21" s="15" t="s">
        <v>99</v>
      </c>
      <c r="D21" s="16" t="s">
        <v>100</v>
      </c>
      <c r="E21" s="17" t="s">
        <v>100</v>
      </c>
      <c r="F21" s="14">
        <v>2</v>
      </c>
      <c r="G21" s="14"/>
      <c r="H21" s="14"/>
      <c r="I21" s="18">
        <f t="shared" si="0"/>
        <v>0</v>
      </c>
    </row>
    <row r="22" spans="1:9" ht="15.6" customHeight="1" x14ac:dyDescent="0.25">
      <c r="A22" s="13">
        <v>18</v>
      </c>
      <c r="B22" s="14" t="s">
        <v>101</v>
      </c>
      <c r="C22" s="15" t="s">
        <v>102</v>
      </c>
      <c r="D22" s="16" t="s">
        <v>103</v>
      </c>
      <c r="E22" s="17" t="s">
        <v>103</v>
      </c>
      <c r="F22" s="14">
        <v>1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9" t="s">
        <v>104</v>
      </c>
      <c r="C23" s="20" t="s">
        <v>105</v>
      </c>
      <c r="D23" s="16" t="s">
        <v>106</v>
      </c>
      <c r="E23" s="17" t="s">
        <v>106</v>
      </c>
      <c r="F23" s="14">
        <v>1</v>
      </c>
      <c r="G23" s="14"/>
      <c r="H23" s="14"/>
      <c r="I23" s="18">
        <f t="shared" si="0"/>
        <v>0</v>
      </c>
    </row>
    <row r="24" spans="1:9" ht="16.8" customHeight="1" x14ac:dyDescent="0.25">
      <c r="A24" s="5" t="s">
        <v>147</v>
      </c>
      <c r="B24" s="5"/>
      <c r="C24" s="5"/>
      <c r="D24" s="5" t="s">
        <v>155</v>
      </c>
      <c r="E24" s="5"/>
      <c r="F24" s="21">
        <f>SUM(F5:F23)</f>
        <v>81.900000000000006</v>
      </c>
      <c r="G24" s="22"/>
      <c r="H24" s="21">
        <f>SUM(H5:H23)</f>
        <v>0</v>
      </c>
      <c r="I24" s="23">
        <f>H24/F24</f>
        <v>0</v>
      </c>
    </row>
  </sheetData>
  <mergeCells count="27">
    <mergeCell ref="A24:C24"/>
    <mergeCell ref="D24:E24"/>
    <mergeCell ref="D22:E22"/>
    <mergeCell ref="D23:E23"/>
    <mergeCell ref="D16:E1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1:E11"/>
    <mergeCell ref="D9:E9"/>
    <mergeCell ref="D10:E10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EE77-701A-4F14-8ACE-B22B639B7D76}">
  <sheetPr codeName="Sheet45"/>
  <dimension ref="A1:I7"/>
  <sheetViews>
    <sheetView zoomScaleNormal="100" workbookViewId="0">
      <selection activeCell="D14" sqref="D1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107</v>
      </c>
      <c r="C5" s="15" t="s">
        <v>108</v>
      </c>
      <c r="D5" s="16" t="s">
        <v>109</v>
      </c>
      <c r="E5" s="17" t="s">
        <v>109</v>
      </c>
      <c r="F5" s="14">
        <v>0.4</v>
      </c>
      <c r="G5" s="14"/>
      <c r="H5" s="14"/>
      <c r="I5" s="18">
        <f t="shared" ref="I5:I6" si="0">H5/F5</f>
        <v>0</v>
      </c>
    </row>
    <row r="6" spans="1:9" ht="15.6" customHeight="1" x14ac:dyDescent="0.25">
      <c r="A6" s="13">
        <v>2</v>
      </c>
      <c r="B6" s="14" t="s">
        <v>110</v>
      </c>
      <c r="C6" s="15" t="s">
        <v>108</v>
      </c>
      <c r="D6" s="16" t="s">
        <v>109</v>
      </c>
      <c r="E6" s="17" t="s">
        <v>109</v>
      </c>
      <c r="F6" s="14">
        <v>3.2</v>
      </c>
      <c r="G6" s="14"/>
      <c r="H6" s="14"/>
      <c r="I6" s="18">
        <f t="shared" si="0"/>
        <v>0</v>
      </c>
    </row>
    <row r="7" spans="1:9" ht="16.8" customHeight="1" x14ac:dyDescent="0.25">
      <c r="A7" s="5" t="s">
        <v>147</v>
      </c>
      <c r="B7" s="5"/>
      <c r="C7" s="5"/>
      <c r="D7" s="5" t="s">
        <v>156</v>
      </c>
      <c r="E7" s="5"/>
      <c r="F7" s="21">
        <f>SUM(F5:F6)</f>
        <v>3.6</v>
      </c>
      <c r="G7" s="22"/>
      <c r="H7" s="21">
        <f>SUM(H5:H6)</f>
        <v>0</v>
      </c>
      <c r="I7" s="23">
        <f>H7/F7</f>
        <v>0</v>
      </c>
    </row>
  </sheetData>
  <mergeCells count="10">
    <mergeCell ref="A7:C7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1098-6232-4038-9B20-E3239FEB54F7}">
  <sheetPr codeName="Sheet46"/>
  <dimension ref="A1:I38"/>
  <sheetViews>
    <sheetView zoomScaleNormal="100" workbookViewId="0">
      <selection activeCell="A40" sqref="A40:XFD4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9" t="s">
        <v>14</v>
      </c>
      <c r="C5" s="20" t="s">
        <v>15</v>
      </c>
      <c r="D5" s="16" t="s">
        <v>16</v>
      </c>
      <c r="E5" s="17" t="s">
        <v>16</v>
      </c>
      <c r="F5" s="14">
        <v>12</v>
      </c>
      <c r="G5" s="14"/>
      <c r="H5" s="14"/>
      <c r="I5" s="18">
        <f t="shared" ref="I5:I36" si="0">H5/F5</f>
        <v>0</v>
      </c>
    </row>
    <row r="6" spans="1:9" ht="15.6" customHeight="1" x14ac:dyDescent="0.25">
      <c r="A6" s="13">
        <v>2</v>
      </c>
      <c r="B6" s="14" t="s">
        <v>26</v>
      </c>
      <c r="C6" s="15" t="s">
        <v>27</v>
      </c>
      <c r="D6" s="16" t="s">
        <v>16</v>
      </c>
      <c r="E6" s="17" t="s">
        <v>16</v>
      </c>
      <c r="F6" s="14">
        <v>4.0999999999999996</v>
      </c>
      <c r="G6" s="19"/>
      <c r="H6" s="19"/>
      <c r="I6" s="18">
        <f t="shared" si="0"/>
        <v>0</v>
      </c>
    </row>
    <row r="7" spans="1:9" ht="15.6" customHeight="1" x14ac:dyDescent="0.25">
      <c r="A7" s="13">
        <v>3</v>
      </c>
      <c r="B7" s="14" t="s">
        <v>28</v>
      </c>
      <c r="C7" s="15" t="s">
        <v>29</v>
      </c>
      <c r="D7" s="16" t="s">
        <v>16</v>
      </c>
      <c r="E7" s="17" t="s">
        <v>16</v>
      </c>
      <c r="F7" s="14">
        <v>4.0999999999999996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9" t="s">
        <v>30</v>
      </c>
      <c r="C8" s="20" t="s">
        <v>31</v>
      </c>
      <c r="D8" s="16" t="s">
        <v>16</v>
      </c>
      <c r="E8" s="17" t="s">
        <v>16</v>
      </c>
      <c r="F8" s="14">
        <v>5.4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32</v>
      </c>
      <c r="C9" s="15" t="s">
        <v>33</v>
      </c>
      <c r="D9" s="16" t="s">
        <v>16</v>
      </c>
      <c r="E9" s="17" t="s">
        <v>16</v>
      </c>
      <c r="F9" s="14">
        <v>6.6</v>
      </c>
      <c r="G9" s="19"/>
      <c r="H9" s="19"/>
      <c r="I9" s="18">
        <f t="shared" si="0"/>
        <v>0</v>
      </c>
    </row>
    <row r="10" spans="1:9" ht="15.6" customHeight="1" x14ac:dyDescent="0.25">
      <c r="A10" s="13">
        <v>6</v>
      </c>
      <c r="B10" s="14" t="s">
        <v>34</v>
      </c>
      <c r="C10" s="15" t="s">
        <v>35</v>
      </c>
      <c r="D10" s="16" t="s">
        <v>16</v>
      </c>
      <c r="E10" s="17" t="s">
        <v>16</v>
      </c>
      <c r="F10" s="14">
        <v>5.5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9" t="s">
        <v>36</v>
      </c>
      <c r="C11" s="20" t="s">
        <v>37</v>
      </c>
      <c r="D11" s="16" t="s">
        <v>16</v>
      </c>
      <c r="E11" s="17" t="s">
        <v>16</v>
      </c>
      <c r="F11" s="14">
        <v>1.6</v>
      </c>
      <c r="G11" s="14"/>
      <c r="H11" s="14"/>
      <c r="I11" s="18">
        <f t="shared" si="0"/>
        <v>0</v>
      </c>
    </row>
    <row r="12" spans="1:9" ht="15.6" customHeight="1" x14ac:dyDescent="0.25">
      <c r="A12" s="13">
        <v>8</v>
      </c>
      <c r="B12" s="14" t="s">
        <v>38</v>
      </c>
      <c r="C12" s="15" t="s">
        <v>39</v>
      </c>
      <c r="D12" s="16" t="s">
        <v>16</v>
      </c>
      <c r="E12" s="17" t="s">
        <v>16</v>
      </c>
      <c r="F12" s="14">
        <v>5.2</v>
      </c>
      <c r="G12" s="19"/>
      <c r="H12" s="19"/>
      <c r="I12" s="18">
        <f t="shared" si="0"/>
        <v>0</v>
      </c>
    </row>
    <row r="13" spans="1:9" ht="15.6" customHeight="1" x14ac:dyDescent="0.25">
      <c r="A13" s="13">
        <v>9</v>
      </c>
      <c r="B13" s="14" t="s">
        <v>40</v>
      </c>
      <c r="C13" s="15" t="s">
        <v>41</v>
      </c>
      <c r="D13" s="16" t="s">
        <v>16</v>
      </c>
      <c r="E13" s="17" t="s">
        <v>16</v>
      </c>
      <c r="F13" s="14">
        <v>1.5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9" t="s">
        <v>42</v>
      </c>
      <c r="C14" s="20" t="s">
        <v>43</v>
      </c>
      <c r="D14" s="16" t="s">
        <v>16</v>
      </c>
      <c r="E14" s="17" t="s">
        <v>16</v>
      </c>
      <c r="F14" s="14">
        <v>4</v>
      </c>
      <c r="G14" s="14"/>
      <c r="H14" s="14"/>
      <c r="I14" s="18">
        <f t="shared" si="0"/>
        <v>0</v>
      </c>
    </row>
    <row r="15" spans="1:9" ht="15.6" customHeight="1" x14ac:dyDescent="0.25">
      <c r="A15" s="13">
        <v>11</v>
      </c>
      <c r="B15" s="19" t="s">
        <v>50</v>
      </c>
      <c r="C15" s="20" t="s">
        <v>51</v>
      </c>
      <c r="D15" s="16" t="s">
        <v>16</v>
      </c>
      <c r="E15" s="17" t="s">
        <v>16</v>
      </c>
      <c r="F15" s="14">
        <v>1.1000000000000001</v>
      </c>
      <c r="G15" s="14"/>
      <c r="H15" s="14"/>
      <c r="I15" s="18">
        <f t="shared" si="0"/>
        <v>0</v>
      </c>
    </row>
    <row r="16" spans="1:9" ht="15.6" customHeight="1" x14ac:dyDescent="0.25">
      <c r="A16" s="13">
        <v>12</v>
      </c>
      <c r="B16" s="14" t="s">
        <v>52</v>
      </c>
      <c r="C16" s="15" t="s">
        <v>53</v>
      </c>
      <c r="D16" s="16" t="s">
        <v>16</v>
      </c>
      <c r="E16" s="17" t="s">
        <v>16</v>
      </c>
      <c r="F16" s="14">
        <v>4.2</v>
      </c>
      <c r="G16" s="19"/>
      <c r="H16" s="19"/>
      <c r="I16" s="18">
        <f t="shared" si="0"/>
        <v>0</v>
      </c>
    </row>
    <row r="17" spans="1:9" ht="15.6" customHeight="1" x14ac:dyDescent="0.25">
      <c r="A17" s="13">
        <v>13</v>
      </c>
      <c r="B17" s="14" t="s">
        <v>54</v>
      </c>
      <c r="C17" s="15" t="s">
        <v>55</v>
      </c>
      <c r="D17" s="16" t="s">
        <v>16</v>
      </c>
      <c r="E17" s="17" t="s">
        <v>16</v>
      </c>
      <c r="F17" s="14">
        <v>2</v>
      </c>
      <c r="G17" s="14"/>
      <c r="H17" s="14"/>
      <c r="I17" s="18">
        <f t="shared" si="0"/>
        <v>0</v>
      </c>
    </row>
    <row r="18" spans="1:9" ht="15.6" customHeight="1" x14ac:dyDescent="0.25">
      <c r="A18" s="13">
        <v>14</v>
      </c>
      <c r="B18" s="19" t="s">
        <v>56</v>
      </c>
      <c r="C18" s="20" t="s">
        <v>57</v>
      </c>
      <c r="D18" s="16" t="s">
        <v>16</v>
      </c>
      <c r="E18" s="17" t="s">
        <v>16</v>
      </c>
      <c r="F18" s="14">
        <v>5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58</v>
      </c>
      <c r="C19" s="15" t="s">
        <v>59</v>
      </c>
      <c r="D19" s="16" t="s">
        <v>16</v>
      </c>
      <c r="E19" s="17" t="s">
        <v>16</v>
      </c>
      <c r="F19" s="14">
        <v>1.6</v>
      </c>
      <c r="G19" s="19"/>
      <c r="H19" s="19"/>
      <c r="I19" s="18">
        <f t="shared" si="0"/>
        <v>0</v>
      </c>
    </row>
    <row r="20" spans="1:9" ht="15.6" customHeight="1" x14ac:dyDescent="0.25">
      <c r="A20" s="13">
        <v>16</v>
      </c>
      <c r="B20" s="14" t="s">
        <v>60</v>
      </c>
      <c r="C20" s="15" t="s">
        <v>61</v>
      </c>
      <c r="D20" s="16" t="s">
        <v>16</v>
      </c>
      <c r="E20" s="17" t="s">
        <v>16</v>
      </c>
      <c r="F20" s="14">
        <v>5</v>
      </c>
      <c r="G20" s="14"/>
      <c r="H20" s="14"/>
      <c r="I20" s="18">
        <f t="shared" si="0"/>
        <v>0</v>
      </c>
    </row>
    <row r="21" spans="1:9" ht="15.6" customHeight="1" x14ac:dyDescent="0.25">
      <c r="A21" s="13">
        <v>17</v>
      </c>
      <c r="B21" s="19" t="s">
        <v>62</v>
      </c>
      <c r="C21" s="20" t="s">
        <v>63</v>
      </c>
      <c r="D21" s="16" t="s">
        <v>16</v>
      </c>
      <c r="E21" s="17" t="s">
        <v>16</v>
      </c>
      <c r="F21" s="14">
        <v>1.5</v>
      </c>
      <c r="G21" s="14"/>
      <c r="H21" s="14"/>
      <c r="I21" s="18">
        <f t="shared" si="0"/>
        <v>0</v>
      </c>
    </row>
    <row r="22" spans="1:9" ht="15.6" customHeight="1" x14ac:dyDescent="0.25">
      <c r="A22" s="13">
        <v>18</v>
      </c>
      <c r="B22" s="14" t="s">
        <v>67</v>
      </c>
      <c r="C22" s="15" t="s">
        <v>68</v>
      </c>
      <c r="D22" s="16" t="s">
        <v>16</v>
      </c>
      <c r="E22" s="17" t="s">
        <v>16</v>
      </c>
      <c r="F22" s="14">
        <v>3.4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81</v>
      </c>
      <c r="C23" s="15" t="s">
        <v>82</v>
      </c>
      <c r="D23" s="16" t="s">
        <v>16</v>
      </c>
      <c r="E23" s="17" t="s">
        <v>16</v>
      </c>
      <c r="F23" s="14">
        <v>4.5</v>
      </c>
      <c r="G23" s="14"/>
      <c r="H23" s="14"/>
      <c r="I23" s="18">
        <f t="shared" si="0"/>
        <v>0</v>
      </c>
    </row>
    <row r="24" spans="1:9" ht="15.6" customHeight="1" x14ac:dyDescent="0.25">
      <c r="A24" s="13">
        <v>20</v>
      </c>
      <c r="B24" s="19" t="s">
        <v>111</v>
      </c>
      <c r="C24" s="20" t="s">
        <v>112</v>
      </c>
      <c r="D24" s="16" t="s">
        <v>113</v>
      </c>
      <c r="E24" s="17" t="s">
        <v>113</v>
      </c>
      <c r="F24" s="14">
        <v>2</v>
      </c>
      <c r="G24" s="14"/>
      <c r="H24" s="14"/>
      <c r="I24" s="18">
        <f t="shared" si="0"/>
        <v>0</v>
      </c>
    </row>
    <row r="25" spans="1:9" ht="15.6" customHeight="1" x14ac:dyDescent="0.25">
      <c r="A25" s="13">
        <v>21</v>
      </c>
      <c r="B25" s="14" t="s">
        <v>114</v>
      </c>
      <c r="C25" s="15" t="s">
        <v>115</v>
      </c>
      <c r="D25" s="16" t="s">
        <v>116</v>
      </c>
      <c r="E25" s="17" t="s">
        <v>116</v>
      </c>
      <c r="F25" s="14">
        <v>1</v>
      </c>
      <c r="G25" s="14"/>
      <c r="H25" s="14"/>
      <c r="I25" s="18">
        <f t="shared" si="0"/>
        <v>0</v>
      </c>
    </row>
    <row r="26" spans="1:9" ht="15.6" customHeight="1" x14ac:dyDescent="0.25">
      <c r="A26" s="13">
        <v>22</v>
      </c>
      <c r="B26" s="14" t="s">
        <v>117</v>
      </c>
      <c r="C26" s="15" t="s">
        <v>118</v>
      </c>
      <c r="D26" s="16" t="s">
        <v>113</v>
      </c>
      <c r="E26" s="17" t="s">
        <v>113</v>
      </c>
      <c r="F26" s="14">
        <v>1</v>
      </c>
      <c r="G26" s="14"/>
      <c r="H26" s="14"/>
      <c r="I26" s="18">
        <f t="shared" si="0"/>
        <v>0</v>
      </c>
    </row>
    <row r="27" spans="1:9" ht="15.6" customHeight="1" x14ac:dyDescent="0.25">
      <c r="A27" s="13">
        <v>23</v>
      </c>
      <c r="B27" s="19" t="s">
        <v>119</v>
      </c>
      <c r="C27" s="20" t="s">
        <v>120</v>
      </c>
      <c r="D27" s="16" t="s">
        <v>121</v>
      </c>
      <c r="E27" s="17" t="s">
        <v>121</v>
      </c>
      <c r="F27" s="14">
        <v>1.8</v>
      </c>
      <c r="G27" s="14"/>
      <c r="H27" s="14"/>
      <c r="I27" s="18">
        <f t="shared" si="0"/>
        <v>0</v>
      </c>
    </row>
    <row r="28" spans="1:9" ht="15.6" customHeight="1" x14ac:dyDescent="0.25">
      <c r="A28" s="13">
        <v>24</v>
      </c>
      <c r="B28" s="14" t="s">
        <v>122</v>
      </c>
      <c r="C28" s="15" t="s">
        <v>123</v>
      </c>
      <c r="D28" s="16" t="s">
        <v>124</v>
      </c>
      <c r="E28" s="17" t="s">
        <v>124</v>
      </c>
      <c r="F28" s="14">
        <v>3.3</v>
      </c>
      <c r="G28" s="14"/>
      <c r="H28" s="14"/>
      <c r="I28" s="18">
        <f t="shared" si="0"/>
        <v>0</v>
      </c>
    </row>
    <row r="29" spans="1:9" ht="15.6" customHeight="1" x14ac:dyDescent="0.25">
      <c r="A29" s="13">
        <v>25</v>
      </c>
      <c r="B29" s="14" t="s">
        <v>125</v>
      </c>
      <c r="C29" s="15" t="s">
        <v>126</v>
      </c>
      <c r="D29" s="16" t="s">
        <v>127</v>
      </c>
      <c r="E29" s="17" t="s">
        <v>127</v>
      </c>
      <c r="F29" s="14">
        <v>1</v>
      </c>
      <c r="G29" s="14"/>
      <c r="H29" s="14"/>
      <c r="I29" s="18">
        <f t="shared" si="0"/>
        <v>0</v>
      </c>
    </row>
    <row r="30" spans="1:9" ht="15.6" customHeight="1" x14ac:dyDescent="0.25">
      <c r="A30" s="13">
        <v>26</v>
      </c>
      <c r="B30" s="19" t="s">
        <v>128</v>
      </c>
      <c r="C30" s="20" t="s">
        <v>129</v>
      </c>
      <c r="D30" s="16" t="s">
        <v>127</v>
      </c>
      <c r="E30" s="17" t="s">
        <v>127</v>
      </c>
      <c r="F30" s="14">
        <v>1</v>
      </c>
      <c r="G30" s="14"/>
      <c r="H30" s="14"/>
      <c r="I30" s="18">
        <f t="shared" si="0"/>
        <v>0</v>
      </c>
    </row>
    <row r="31" spans="1:9" ht="15.6" customHeight="1" x14ac:dyDescent="0.25">
      <c r="A31" s="13">
        <v>27</v>
      </c>
      <c r="B31" s="14" t="s">
        <v>130</v>
      </c>
      <c r="C31" s="15" t="s">
        <v>131</v>
      </c>
      <c r="D31" s="16" t="s">
        <v>124</v>
      </c>
      <c r="E31" s="17" t="s">
        <v>124</v>
      </c>
      <c r="F31" s="14">
        <v>1.2</v>
      </c>
      <c r="G31" s="14"/>
      <c r="H31" s="14"/>
      <c r="I31" s="18">
        <f t="shared" si="0"/>
        <v>0</v>
      </c>
    </row>
    <row r="32" spans="1:9" ht="15.6" customHeight="1" x14ac:dyDescent="0.25">
      <c r="A32" s="13">
        <v>28</v>
      </c>
      <c r="B32" s="14" t="s">
        <v>132</v>
      </c>
      <c r="C32" s="15" t="s">
        <v>25</v>
      </c>
      <c r="D32" s="16" t="s">
        <v>25</v>
      </c>
      <c r="E32" s="17" t="s">
        <v>25</v>
      </c>
      <c r="F32" s="14">
        <v>8</v>
      </c>
      <c r="G32" s="14"/>
      <c r="H32" s="14"/>
      <c r="I32" s="18">
        <f t="shared" si="0"/>
        <v>0</v>
      </c>
    </row>
    <row r="33" spans="1:9" ht="15.6" customHeight="1" x14ac:dyDescent="0.25">
      <c r="A33" s="13">
        <v>29</v>
      </c>
      <c r="B33" s="19" t="s">
        <v>133</v>
      </c>
      <c r="C33" s="20" t="s">
        <v>134</v>
      </c>
      <c r="D33" s="16" t="s">
        <v>135</v>
      </c>
      <c r="E33" s="17" t="s">
        <v>135</v>
      </c>
      <c r="F33" s="14">
        <v>1.5</v>
      </c>
      <c r="G33" s="14"/>
      <c r="H33" s="14"/>
      <c r="I33" s="18">
        <f t="shared" si="0"/>
        <v>0</v>
      </c>
    </row>
    <row r="34" spans="1:9" ht="15.6" customHeight="1" x14ac:dyDescent="0.25">
      <c r="A34" s="13">
        <v>30</v>
      </c>
      <c r="B34" s="14" t="s">
        <v>136</v>
      </c>
      <c r="C34" s="15" t="s">
        <v>137</v>
      </c>
      <c r="D34" s="16" t="s">
        <v>135</v>
      </c>
      <c r="E34" s="17" t="s">
        <v>135</v>
      </c>
      <c r="F34" s="14">
        <v>0.5</v>
      </c>
      <c r="G34" s="14"/>
      <c r="H34" s="14"/>
      <c r="I34" s="18">
        <f t="shared" si="0"/>
        <v>0</v>
      </c>
    </row>
    <row r="35" spans="1:9" ht="15.6" customHeight="1" x14ac:dyDescent="0.25">
      <c r="A35" s="13">
        <v>31</v>
      </c>
      <c r="B35" s="14" t="s">
        <v>138</v>
      </c>
      <c r="C35" s="15" t="s">
        <v>139</v>
      </c>
      <c r="D35" s="16" t="s">
        <v>140</v>
      </c>
      <c r="E35" s="17" t="s">
        <v>140</v>
      </c>
      <c r="F35" s="14">
        <v>0.6</v>
      </c>
      <c r="G35" s="14"/>
      <c r="H35" s="14"/>
      <c r="I35" s="18">
        <f t="shared" si="0"/>
        <v>0</v>
      </c>
    </row>
    <row r="36" spans="1:9" ht="15.6" customHeight="1" x14ac:dyDescent="0.25">
      <c r="A36" s="13">
        <v>32</v>
      </c>
      <c r="B36" s="14" t="s">
        <v>143</v>
      </c>
      <c r="C36" s="15" t="s">
        <v>144</v>
      </c>
      <c r="D36" s="16" t="s">
        <v>145</v>
      </c>
      <c r="E36" s="17" t="s">
        <v>145</v>
      </c>
      <c r="F36" s="14">
        <v>1.6</v>
      </c>
      <c r="G36" s="14"/>
      <c r="H36" s="14"/>
      <c r="I36" s="18">
        <f t="shared" si="0"/>
        <v>0</v>
      </c>
    </row>
    <row r="37" spans="1:9" ht="15.6" customHeight="1" x14ac:dyDescent="0.25">
      <c r="A37" s="13">
        <v>33</v>
      </c>
      <c r="B37" s="14" t="s">
        <v>146</v>
      </c>
      <c r="C37" s="15" t="s">
        <v>66</v>
      </c>
      <c r="D37" s="16" t="s">
        <v>145</v>
      </c>
      <c r="E37" s="17" t="s">
        <v>145</v>
      </c>
      <c r="F37" s="14">
        <v>2.5</v>
      </c>
      <c r="G37" s="14"/>
      <c r="H37" s="14"/>
      <c r="I37" s="18">
        <f>H37/F37</f>
        <v>0</v>
      </c>
    </row>
    <row r="38" spans="1:9" ht="16.8" customHeight="1" x14ac:dyDescent="0.25">
      <c r="A38" s="5" t="s">
        <v>147</v>
      </c>
      <c r="B38" s="5"/>
      <c r="C38" s="5"/>
      <c r="D38" s="5" t="s">
        <v>157</v>
      </c>
      <c r="E38" s="5"/>
      <c r="F38" s="21">
        <f>SUM(F5:F37)</f>
        <v>105.3</v>
      </c>
      <c r="G38" s="22"/>
      <c r="H38" s="21">
        <f>SUM(H5:H37)</f>
        <v>0</v>
      </c>
      <c r="I38" s="23">
        <f>H38/F38</f>
        <v>0</v>
      </c>
    </row>
  </sheetData>
  <mergeCells count="41">
    <mergeCell ref="D37:E37"/>
    <mergeCell ref="A38:C38"/>
    <mergeCell ref="D38:E38"/>
    <mergeCell ref="D32:E32"/>
    <mergeCell ref="D33:E33"/>
    <mergeCell ref="D34:E34"/>
    <mergeCell ref="D35:E35"/>
    <mergeCell ref="D36:E36"/>
    <mergeCell ref="D26:E26"/>
    <mergeCell ref="D27:E27"/>
    <mergeCell ref="D28:E28"/>
    <mergeCell ref="D29:E29"/>
    <mergeCell ref="D30:E30"/>
    <mergeCell ref="D31:E31"/>
    <mergeCell ref="D24:E24"/>
    <mergeCell ref="D25:E25"/>
    <mergeCell ref="D22:E22"/>
    <mergeCell ref="D23:E23"/>
    <mergeCell ref="D17:E17"/>
    <mergeCell ref="D18:E18"/>
    <mergeCell ref="D19:E19"/>
    <mergeCell ref="D20:E20"/>
    <mergeCell ref="D21:E21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12:E12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0447-A8D0-4B1C-BD95-AEE2F73AC66B}">
  <sheetPr codeName="Sheet47"/>
  <dimension ref="A2:I7"/>
  <sheetViews>
    <sheetView zoomScaleNormal="100" workbookViewId="0">
      <selection activeCell="C19" sqref="C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149</v>
      </c>
    </row>
    <row r="4" spans="1:9" s="25" customFormat="1" ht="17.399999999999999" customHeight="1" x14ac:dyDescent="0.25">
      <c r="A4" s="5" t="s">
        <v>1</v>
      </c>
      <c r="B4" s="24" t="s">
        <v>2</v>
      </c>
      <c r="C4" s="24"/>
      <c r="D4" s="7" t="s">
        <v>3</v>
      </c>
      <c r="E4" s="8"/>
      <c r="F4" s="24" t="s">
        <v>150</v>
      </c>
      <c r="G4" s="6" t="s">
        <v>5</v>
      </c>
      <c r="H4" s="5" t="s">
        <v>6</v>
      </c>
      <c r="I4" s="5"/>
    </row>
    <row r="5" spans="1:9" s="25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4"/>
      <c r="G5" s="6"/>
      <c r="H5" s="10" t="s">
        <v>9</v>
      </c>
      <c r="I5" s="10" t="s">
        <v>10</v>
      </c>
    </row>
    <row r="6" spans="1:9" ht="16.2" customHeight="1" x14ac:dyDescent="0.25">
      <c r="A6" s="26">
        <v>1</v>
      </c>
      <c r="B6" s="27" t="s">
        <v>151</v>
      </c>
      <c r="C6" s="28" t="s">
        <v>152</v>
      </c>
      <c r="D6" s="29" t="s">
        <v>153</v>
      </c>
      <c r="E6" s="30" t="s">
        <v>153</v>
      </c>
      <c r="F6" s="31">
        <v>0</v>
      </c>
      <c r="G6" s="14"/>
      <c r="H6" s="14"/>
      <c r="I6" s="18" t="e">
        <f>H6/F6</f>
        <v>#DIV/0!</v>
      </c>
    </row>
    <row r="7" spans="1:9" ht="16.8" customHeight="1" x14ac:dyDescent="0.25">
      <c r="A7" s="5" t="s">
        <v>147</v>
      </c>
      <c r="B7" s="5"/>
      <c r="C7" s="5"/>
      <c r="D7" s="5" t="s">
        <v>154</v>
      </c>
      <c r="E7" s="5"/>
      <c r="F7" s="21">
        <f>SUM(F6:F6)</f>
        <v>0</v>
      </c>
      <c r="G7" s="22"/>
      <c r="H7" s="21">
        <f>SUM(H6:H6)</f>
        <v>0</v>
      </c>
      <c r="I7" s="23" t="e">
        <f>H7/F7</f>
        <v>#DIV/0!</v>
      </c>
    </row>
  </sheetData>
  <mergeCells count="9">
    <mergeCell ref="F4:F5"/>
    <mergeCell ref="G4:G5"/>
    <mergeCell ref="H4:I4"/>
    <mergeCell ref="D6:E6"/>
    <mergeCell ref="A7:C7"/>
    <mergeCell ref="D7:E7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Inv__Ujitjes_Mat</vt:lpstr>
      <vt:lpstr>Rezervuar</vt:lpstr>
      <vt:lpstr>Stacion Pompimi</vt:lpstr>
      <vt:lpstr>Lume</vt:lpstr>
      <vt:lpstr>Skema Pjerisht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2026-10-06T13:52:50Z</dcterms:created>
  <dcterms:modified xsi:type="dcterms:W3CDTF">2026-10-06T13:57:07Z</dcterms:modified>
</cp:coreProperties>
</file>