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747046FF-37B0-4C58-BBB2-68B882FF1A6B}" xr6:coauthVersionLast="47" xr6:coauthVersionMax="47" xr10:uidLastSave="{00000000-0000-0000-0000-000000000000}"/>
  <bookViews>
    <workbookView xWindow="-28920" yWindow="-1470" windowWidth="29040" windowHeight="15720" activeTab="4" xr2:uid="{0A962ADD-9206-4DF3-B603-DFA43ADF9D58}"/>
  </bookViews>
  <sheets>
    <sheet name="Inv__Ujitjes_Tirane" sheetId="1" r:id="rId1"/>
    <sheet name="Rezevuar" sheetId="2" r:id="rId2"/>
    <sheet name="Stacion Pompimi" sheetId="3" r:id="rId3"/>
    <sheet name="Lume &amp; Burime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5" l="1"/>
  <c r="H8" i="5"/>
  <c r="F8" i="5"/>
  <c r="I7" i="5"/>
  <c r="I6" i="5"/>
  <c r="H16" i="4"/>
  <c r="F16" i="4"/>
  <c r="I15" i="4"/>
  <c r="I14" i="4"/>
  <c r="I13" i="4"/>
  <c r="I12" i="4"/>
  <c r="I11" i="4"/>
  <c r="I10" i="4"/>
  <c r="I9" i="4"/>
  <c r="I8" i="4"/>
  <c r="I7" i="4"/>
  <c r="I6" i="4"/>
  <c r="I5" i="4"/>
  <c r="H62" i="3"/>
  <c r="F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53" i="2"/>
  <c r="F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125" i="1"/>
  <c r="I125" i="1" s="1"/>
  <c r="F125" i="1"/>
  <c r="I124" i="1"/>
  <c r="I123" i="1"/>
  <c r="H117" i="1"/>
  <c r="I117" i="1" s="1"/>
  <c r="F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6" i="4" l="1"/>
  <c r="I62" i="3"/>
  <c r="I53" i="2"/>
</calcChain>
</file>

<file path=xl/sharedStrings.xml><?xml version="1.0" encoding="utf-8"?>
<sst xmlns="http://schemas.openxmlformats.org/spreadsheetml/2006/main" count="990" uniqueCount="252">
  <si>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</si>
  <si>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</si>
  <si>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</si>
  <si>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</si>
  <si>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</si>
  <si>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</si>
  <si>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</si>
  <si>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</si>
  <si>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</si>
  <si>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</si>
  <si>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</si>
  <si>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TRU - 1-1</t>
  </si>
  <si>
    <t xml:space="preserve">Boville  </t>
  </si>
  <si>
    <t>TRU - 1-4</t>
  </si>
  <si>
    <t>STP Zall- Herr 1</t>
  </si>
  <si>
    <t>TRU - 1-5</t>
  </si>
  <si>
    <t>STP Zall- Herr 2</t>
  </si>
  <si>
    <t>TRU - 1-9</t>
  </si>
  <si>
    <t>STP Pinar</t>
  </si>
  <si>
    <t>TRU - 1-10</t>
  </si>
  <si>
    <t>Rez Xingere</t>
  </si>
  <si>
    <t>TRU - 1-11</t>
  </si>
  <si>
    <t>Rez Zall Herr 1</t>
  </si>
  <si>
    <t>TRU - 1-12</t>
  </si>
  <si>
    <t>Rez Zall Herr 2</t>
  </si>
  <si>
    <t>TRU - 1-17</t>
  </si>
  <si>
    <t>Ku 3 Boville Zall  herr</t>
  </si>
  <si>
    <t>TRU - 17-11</t>
  </si>
  <si>
    <t>S .T .P . Kus</t>
  </si>
  <si>
    <t>TRU - 17-12</t>
  </si>
  <si>
    <t>S .T .P . Mazrek</t>
  </si>
  <si>
    <t>TRU - 17-13</t>
  </si>
  <si>
    <t>S .T .P . Paskuqan 3</t>
  </si>
  <si>
    <t>TRU - 17-14</t>
  </si>
  <si>
    <t>S .T .P . Kashar</t>
  </si>
  <si>
    <t>TRU - 17-15</t>
  </si>
  <si>
    <t>S .T .P .Paskuqan 6</t>
  </si>
  <si>
    <t>TRU - 21-1</t>
  </si>
  <si>
    <t>Rezervuari  Rov</t>
  </si>
  <si>
    <t>TRU - 21-2</t>
  </si>
  <si>
    <t>Rezervuari  Veski</t>
  </si>
  <si>
    <t>TRU - 21-3</t>
  </si>
  <si>
    <t>Reervuari Balhaxhias</t>
  </si>
  <si>
    <t>TRU - 21-4</t>
  </si>
  <si>
    <t>Rezervuari Alltate</t>
  </si>
  <si>
    <t>TRU - 21-5</t>
  </si>
  <si>
    <t>Rezervuari Mustafa Koc</t>
  </si>
  <si>
    <t>TRU - 21-6</t>
  </si>
  <si>
    <t>Rezervuari Zelaj</t>
  </si>
  <si>
    <t>TRU - 21-7</t>
  </si>
  <si>
    <t>S .T .P. Rov</t>
  </si>
  <si>
    <t>TRU - 21-8</t>
  </si>
  <si>
    <t>S .T .P. Baldushk Qender</t>
  </si>
  <si>
    <t>TRU - 21-9</t>
  </si>
  <si>
    <t>S .T .P . Mumajes</t>
  </si>
  <si>
    <t>TRU - 21-10</t>
  </si>
  <si>
    <t>S .T .P.  Balshaban</t>
  </si>
  <si>
    <t>TRU - 21-11</t>
  </si>
  <si>
    <t>S .T .P .Parret</t>
  </si>
  <si>
    <t>TRU - 21-12</t>
  </si>
  <si>
    <t>S .T .P .Kocaj 1</t>
  </si>
  <si>
    <t>TRU - 21-13</t>
  </si>
  <si>
    <t>S .P .P .Kocaj 2</t>
  </si>
  <si>
    <t>TRU - 21-14</t>
  </si>
  <si>
    <t xml:space="preserve">S .T .P . Vrap  Qender </t>
  </si>
  <si>
    <t>TRU - 21-15</t>
  </si>
  <si>
    <t xml:space="preserve">S .T .P . Vrap  Shpat </t>
  </si>
  <si>
    <t>TRU - 21-16</t>
  </si>
  <si>
    <t>Rezervuari  Vrap   Ku dhe KF</t>
  </si>
  <si>
    <t>TRU - 21-17</t>
  </si>
  <si>
    <t xml:space="preserve">Rezervuari Shpat  </t>
  </si>
  <si>
    <t>TRU - 21-18</t>
  </si>
  <si>
    <t>Rezervuari Parret</t>
  </si>
  <si>
    <t>TRU - 21-19</t>
  </si>
  <si>
    <t xml:space="preserve">Kf Rez ROV </t>
  </si>
  <si>
    <t>TRU - 18-1</t>
  </si>
  <si>
    <t>Rezervuari  Skorane</t>
  </si>
  <si>
    <t>TRU - 18-2</t>
  </si>
  <si>
    <t>Rezervuari Gurre</t>
  </si>
  <si>
    <t>TRU - 18-3</t>
  </si>
  <si>
    <t>Rezervuari Stermas</t>
  </si>
  <si>
    <t>TRU - 18-4</t>
  </si>
  <si>
    <t>S .T .P . Fikas</t>
  </si>
  <si>
    <t>TRU - 18-5</t>
  </si>
  <si>
    <t>S .T .P . Gurre</t>
  </si>
  <si>
    <t>TRU - 18-6</t>
  </si>
  <si>
    <t>S .T .P . Hekal</t>
  </si>
  <si>
    <t>TRU - 18-7</t>
  </si>
  <si>
    <t>S .T .P . Stermas</t>
  </si>
  <si>
    <t>TRU - 18-8</t>
  </si>
  <si>
    <t>S .T .P . Ibe</t>
  </si>
  <si>
    <t>TRU - 18-9</t>
  </si>
  <si>
    <t>S .T .P . Pellumbas</t>
  </si>
  <si>
    <t>TRU - 18-10</t>
  </si>
  <si>
    <t>KU Ibe</t>
  </si>
  <si>
    <t>TRU - 18-11</t>
  </si>
  <si>
    <t>Ku Daias - Stermas</t>
  </si>
  <si>
    <t>TRU - 18-12</t>
  </si>
  <si>
    <t>Ku Skorane - Barbas   - Fikas</t>
  </si>
  <si>
    <t>TRU - 18-13</t>
  </si>
  <si>
    <t>Rez Mihajes</t>
  </si>
  <si>
    <t>TRU - 18-14</t>
  </si>
  <si>
    <t>Rez Lepri</t>
  </si>
  <si>
    <t>TRU - 18-15</t>
  </si>
  <si>
    <t>Rez Sauk</t>
  </si>
  <si>
    <t>TRU - 20-1</t>
  </si>
  <si>
    <t>Ku Arbane</t>
  </si>
  <si>
    <t>TRU - 20-2</t>
  </si>
  <si>
    <t>S .T .P . Paskuqan 4</t>
  </si>
  <si>
    <t>TRU - 20-3</t>
  </si>
  <si>
    <t>S .T .P . Vishaj</t>
  </si>
  <si>
    <t>TRU - 20-4</t>
  </si>
  <si>
    <t>S .T .P . Prush</t>
  </si>
  <si>
    <t>TRU - 20-5</t>
  </si>
  <si>
    <t>S .T .P . Bultice</t>
  </si>
  <si>
    <t>TRU - 20-8</t>
  </si>
  <si>
    <t>Rezervuari Allgjate</t>
  </si>
  <si>
    <t>TRU - 20-9</t>
  </si>
  <si>
    <t>Rezervuari  Sharre</t>
  </si>
  <si>
    <t>TRU - 20-10</t>
  </si>
  <si>
    <t>Rezervuari   Prush</t>
  </si>
  <si>
    <t>TRU - 20-11</t>
  </si>
  <si>
    <t>Ku Farke-       Vaqarr-Sharre</t>
  </si>
  <si>
    <t>TRU - 20-12</t>
  </si>
  <si>
    <t>Rez.  Fortuzaj</t>
  </si>
  <si>
    <t>TRU - 29-1</t>
  </si>
  <si>
    <t>Rezervuari Peze - Helmes</t>
  </si>
  <si>
    <t>TRU - 29-2</t>
  </si>
  <si>
    <t>Rezervuari Fjolle</t>
  </si>
  <si>
    <t>TRU - 29-3</t>
  </si>
  <si>
    <t>S .T .P . Ura e Beshirit</t>
  </si>
  <si>
    <t>TRU - 29-4</t>
  </si>
  <si>
    <t>S .T .P . Kurora 1</t>
  </si>
  <si>
    <t>TRU - 29-5</t>
  </si>
  <si>
    <t>S .T .P . Cevaze</t>
  </si>
  <si>
    <t>TRU - 29-6</t>
  </si>
  <si>
    <t>S .T .P . Maknor 1</t>
  </si>
  <si>
    <t>TRU - 29-7</t>
  </si>
  <si>
    <t>S .T .P . Maknor 2</t>
  </si>
  <si>
    <t>TRU - 29-8</t>
  </si>
  <si>
    <t>Rezervuari Perroi i Arave</t>
  </si>
  <si>
    <t>TRU - 29-9</t>
  </si>
  <si>
    <t>Rezervuari Gjyslikane    dhe KU</t>
  </si>
  <si>
    <t>TRU - 30-1</t>
  </si>
  <si>
    <t>Rezervuari Bozanxhias</t>
  </si>
  <si>
    <t>TRU - 30-2</t>
  </si>
  <si>
    <t>S .T .P .Butac</t>
  </si>
  <si>
    <t>TRU - 30-3</t>
  </si>
  <si>
    <t>S .T .P .Shesh</t>
  </si>
  <si>
    <t>TRU - 30-4</t>
  </si>
  <si>
    <t>S .T .P .Celje</t>
  </si>
  <si>
    <t>TRU - 30-5</t>
  </si>
  <si>
    <t>S .T .P . Lagjia e Re</t>
  </si>
  <si>
    <t>TRU - 30-6</t>
  </si>
  <si>
    <t>S .T .P . Pinet</t>
  </si>
  <si>
    <t>TRU - 30-7</t>
  </si>
  <si>
    <t>S .T .P . Menik</t>
  </si>
  <si>
    <t>TRU - 30-8</t>
  </si>
  <si>
    <t xml:space="preserve"> Rezervuari Pinet 1</t>
  </si>
  <si>
    <t>TRU - 30-9</t>
  </si>
  <si>
    <t>Rezervuari Pinet 2</t>
  </si>
  <si>
    <t>TRU - 2</t>
  </si>
  <si>
    <t>Reservuar</t>
  </si>
  <si>
    <t>TRU - 2-1</t>
  </si>
  <si>
    <t>Rina  1</t>
  </si>
  <si>
    <t>Stp</t>
  </si>
  <si>
    <t>TRU - 2-2</t>
  </si>
  <si>
    <t>Rina  2</t>
  </si>
  <si>
    <t>TRU - 3</t>
  </si>
  <si>
    <t xml:space="preserve">Kutreq </t>
  </si>
  <si>
    <t>TRU - 3-1</t>
  </si>
  <si>
    <t>TRU - 4</t>
  </si>
  <si>
    <t xml:space="preserve">Shupal </t>
  </si>
  <si>
    <t>TRU - 4-1</t>
  </si>
  <si>
    <t>Kurth ( Shupal )</t>
  </si>
  <si>
    <t>TRU - 5</t>
  </si>
  <si>
    <t xml:space="preserve">Shupal - Koder </t>
  </si>
  <si>
    <t>TRU - 5-1</t>
  </si>
  <si>
    <t xml:space="preserve">Shupal    - Koder </t>
  </si>
  <si>
    <t>TRU - 5-2</t>
  </si>
  <si>
    <t>Ku  Shupal - Legjinaj</t>
  </si>
  <si>
    <t>KU</t>
  </si>
  <si>
    <t>TRU - 8</t>
  </si>
  <si>
    <t>Besh Reservoir</t>
  </si>
  <si>
    <t>TRU - 8-1</t>
  </si>
  <si>
    <t xml:space="preserve">Besh </t>
  </si>
  <si>
    <t>TRU - 9</t>
  </si>
  <si>
    <t>Shtepaze</t>
  </si>
  <si>
    <t>TRU - 10</t>
  </si>
  <si>
    <t>Linxe</t>
  </si>
  <si>
    <t>TRU - 11</t>
  </si>
  <si>
    <t xml:space="preserve">Tufine </t>
  </si>
  <si>
    <t>TRU - 12</t>
  </si>
  <si>
    <t xml:space="preserve">Lanabregas </t>
  </si>
  <si>
    <t>TRU - 14</t>
  </si>
  <si>
    <t xml:space="preserve">Murataj </t>
  </si>
  <si>
    <t>TRU - 15</t>
  </si>
  <si>
    <t xml:space="preserve">Priske </t>
  </si>
  <si>
    <t>TRU - 16</t>
  </si>
  <si>
    <t>Zaranika 1 &amp; 2</t>
  </si>
  <si>
    <t>TRU - 19</t>
  </si>
  <si>
    <t>Farka</t>
  </si>
  <si>
    <t>Reservuar Farke, Sauk</t>
  </si>
  <si>
    <t>TRU - 22</t>
  </si>
  <si>
    <t>Kollogjesh</t>
  </si>
  <si>
    <t>Reservuar edhe KU</t>
  </si>
  <si>
    <t>TRU - 23</t>
  </si>
  <si>
    <t xml:space="preserve">Façesh </t>
  </si>
  <si>
    <t>TRU - 24</t>
  </si>
  <si>
    <t xml:space="preserve">Shkalle </t>
  </si>
  <si>
    <t>TRU - 25</t>
  </si>
  <si>
    <t xml:space="preserve">Paret </t>
  </si>
  <si>
    <t>TRU - 26</t>
  </si>
  <si>
    <t>Vrap</t>
  </si>
  <si>
    <t>TRU - 27</t>
  </si>
  <si>
    <t xml:space="preserve">Shpat </t>
  </si>
  <si>
    <t>TRU - 28</t>
  </si>
  <si>
    <t xml:space="preserve">Allgjate </t>
  </si>
  <si>
    <t>TRU - 31</t>
  </si>
  <si>
    <t xml:space="preserve">Parpunje </t>
  </si>
  <si>
    <t>TRU - 32</t>
  </si>
  <si>
    <t xml:space="preserve">Darshen </t>
  </si>
  <si>
    <t>TRU - 33</t>
  </si>
  <si>
    <t xml:space="preserve">Bize </t>
  </si>
  <si>
    <t>Rezervuar</t>
  </si>
  <si>
    <t>TRU - 34</t>
  </si>
  <si>
    <t>Brare kanal</t>
  </si>
  <si>
    <t>Lume</t>
  </si>
  <si>
    <t>TRU - 35</t>
  </si>
  <si>
    <t>Berzhite - Ibe kanal</t>
  </si>
  <si>
    <t>TRU - 36</t>
  </si>
  <si>
    <t xml:space="preserve">Fikas &amp; kanal </t>
  </si>
  <si>
    <t>TRU - 37</t>
  </si>
  <si>
    <t>Hallias kanal</t>
  </si>
  <si>
    <t>TRU - 38</t>
  </si>
  <si>
    <t>Kokli 2 stp</t>
  </si>
  <si>
    <t>TRU - 39</t>
  </si>
  <si>
    <t>Priske e vogel stp</t>
  </si>
  <si>
    <t>TRU - 40</t>
  </si>
  <si>
    <t>Qaf molle stp</t>
  </si>
  <si>
    <t>Total</t>
  </si>
  <si>
    <t>112 Skema</t>
  </si>
  <si>
    <t>Skema të pjesërisht të transferuara</t>
  </si>
  <si>
    <t>Vetëm Kanale të Dyta në Km</t>
  </si>
  <si>
    <t>TRU - 20-6</t>
  </si>
  <si>
    <t>S .T .P . Vaqar 1</t>
  </si>
  <si>
    <t>TRU - 20-7</t>
  </si>
  <si>
    <t>S .T .P . Vaqar 2</t>
  </si>
  <si>
    <t>2 Skema</t>
  </si>
  <si>
    <t>48 Skema</t>
  </si>
  <si>
    <t>57 Skema</t>
  </si>
  <si>
    <t>11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</si>
</sst>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</cellXfs>
  <cellStyles count="3">
    <cellStyle name="Normal" xfId="0" builtinId="0"/>
    <cellStyle name="Normal 2" xfId="1" xr:uid="{AEDDD8E2-24EF-4BB2-B5F0-CF2B0EA217C3}"/>
    <cellStyle name="Percent 3" xfId="2" xr:uid="{E5709F20-C364-44D8-9B87-7DC478DEC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3876-02A9-4A5D-B656-ACAACA8AA0B9}">
  <dimension ref="A1:I125"/>
  <sheetViews>
    <sheetView topLeftCell="A33" zoomScaleNormal="100" workbookViewId="0">
      <selection activeCell="J127" sqref="J12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12</v>
      </c>
      <c r="E5" s="16" t="s">
        <v>12</v>
      </c>
      <c r="F5" s="17">
        <v>27.8</v>
      </c>
      <c r="G5" s="18"/>
      <c r="H5" s="18"/>
      <c r="I5" s="19">
        <f t="shared" ref="I5:I117" si="0">H5/F5</f>
        <v>0</v>
      </c>
    </row>
    <row r="6" spans="1:9" ht="15.6" customHeight="1" x14ac:dyDescent="0.25">
      <c r="A6" s="13">
        <v>2</v>
      </c>
      <c r="B6" s="14" t="s">
        <v>13</v>
      </c>
      <c r="C6" s="14" t="s">
        <v>14</v>
      </c>
      <c r="D6" s="15" t="s">
        <v>14</v>
      </c>
      <c r="E6" s="16" t="s">
        <v>14</v>
      </c>
      <c r="F6" s="17">
        <v>1.5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15</v>
      </c>
      <c r="C7" s="14" t="s">
        <v>16</v>
      </c>
      <c r="D7" s="15" t="s">
        <v>16</v>
      </c>
      <c r="E7" s="16" t="s">
        <v>16</v>
      </c>
      <c r="F7" s="17">
        <v>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17</v>
      </c>
      <c r="C8" s="14" t="s">
        <v>18</v>
      </c>
      <c r="D8" s="15" t="s">
        <v>18</v>
      </c>
      <c r="E8" s="16" t="s">
        <v>18</v>
      </c>
      <c r="F8" s="17">
        <v>1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19</v>
      </c>
      <c r="C9" s="14" t="s">
        <v>20</v>
      </c>
      <c r="D9" s="15" t="s">
        <v>20</v>
      </c>
      <c r="E9" s="16" t="s">
        <v>20</v>
      </c>
      <c r="F9" s="17">
        <v>2.4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21</v>
      </c>
      <c r="C10" s="14" t="s">
        <v>22</v>
      </c>
      <c r="D10" s="15" t="s">
        <v>22</v>
      </c>
      <c r="E10" s="16" t="s">
        <v>22</v>
      </c>
      <c r="F10" s="17">
        <v>0</v>
      </c>
      <c r="G10" s="17"/>
      <c r="H10" s="17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23</v>
      </c>
      <c r="C11" s="14" t="s">
        <v>24</v>
      </c>
      <c r="D11" s="15" t="s">
        <v>24</v>
      </c>
      <c r="E11" s="16" t="s">
        <v>24</v>
      </c>
      <c r="F11" s="17">
        <v>23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25</v>
      </c>
      <c r="C12" s="14" t="s">
        <v>26</v>
      </c>
      <c r="D12" s="15" t="s">
        <v>26</v>
      </c>
      <c r="E12" s="16" t="s">
        <v>26</v>
      </c>
      <c r="F12" s="17">
        <v>5.2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27</v>
      </c>
      <c r="C13" s="14" t="s">
        <v>28</v>
      </c>
      <c r="D13" s="15" t="s">
        <v>28</v>
      </c>
      <c r="E13" s="16" t="s">
        <v>28</v>
      </c>
      <c r="F13" s="17">
        <v>3.8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29</v>
      </c>
      <c r="C14" s="14" t="s">
        <v>30</v>
      </c>
      <c r="D14" s="15" t="s">
        <v>30</v>
      </c>
      <c r="E14" s="16" t="s">
        <v>30</v>
      </c>
      <c r="F14" s="17">
        <v>1.7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31</v>
      </c>
      <c r="C15" s="14" t="s">
        <v>32</v>
      </c>
      <c r="D15" s="15" t="s">
        <v>32</v>
      </c>
      <c r="E15" s="16" t="s">
        <v>32</v>
      </c>
      <c r="F15" s="17">
        <v>6.8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33</v>
      </c>
      <c r="C16" s="14" t="s">
        <v>34</v>
      </c>
      <c r="D16" s="15" t="s">
        <v>34</v>
      </c>
      <c r="E16" s="16" t="s">
        <v>34</v>
      </c>
      <c r="F16" s="17">
        <v>3.3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35</v>
      </c>
      <c r="C17" s="14" t="s">
        <v>36</v>
      </c>
      <c r="D17" s="15" t="s">
        <v>36</v>
      </c>
      <c r="E17" s="16" t="s">
        <v>36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37</v>
      </c>
      <c r="C18" s="14" t="s">
        <v>38</v>
      </c>
      <c r="D18" s="15" t="s">
        <v>38</v>
      </c>
      <c r="E18" s="16" t="s">
        <v>38</v>
      </c>
      <c r="F18" s="17">
        <v>9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39</v>
      </c>
      <c r="C19" s="14" t="s">
        <v>40</v>
      </c>
      <c r="D19" s="15" t="s">
        <v>40</v>
      </c>
      <c r="E19" s="16" t="s">
        <v>40</v>
      </c>
      <c r="F19" s="17">
        <v>2.2000000000000002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41</v>
      </c>
      <c r="C20" s="14" t="s">
        <v>42</v>
      </c>
      <c r="D20" s="15" t="s">
        <v>42</v>
      </c>
      <c r="E20" s="16" t="s">
        <v>42</v>
      </c>
      <c r="F20" s="17">
        <v>3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43</v>
      </c>
      <c r="C21" s="14" t="s">
        <v>44</v>
      </c>
      <c r="D21" s="15" t="s">
        <v>44</v>
      </c>
      <c r="E21" s="16" t="s">
        <v>44</v>
      </c>
      <c r="F21" s="20">
        <v>6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45</v>
      </c>
      <c r="C22" s="14" t="s">
        <v>46</v>
      </c>
      <c r="D22" s="15" t="s">
        <v>46</v>
      </c>
      <c r="E22" s="16" t="s">
        <v>46</v>
      </c>
      <c r="F22" s="17">
        <v>2.7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47</v>
      </c>
      <c r="C23" s="14" t="s">
        <v>48</v>
      </c>
      <c r="D23" s="15" t="s">
        <v>48</v>
      </c>
      <c r="E23" s="16" t="s">
        <v>48</v>
      </c>
      <c r="F23" s="17">
        <v>3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49</v>
      </c>
      <c r="C24" s="14" t="s">
        <v>50</v>
      </c>
      <c r="D24" s="15" t="s">
        <v>50</v>
      </c>
      <c r="E24" s="16" t="s">
        <v>50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51</v>
      </c>
      <c r="C25" s="14" t="s">
        <v>52</v>
      </c>
      <c r="D25" s="15" t="s">
        <v>52</v>
      </c>
      <c r="E25" s="16" t="s">
        <v>52</v>
      </c>
      <c r="F25" s="17">
        <v>0</v>
      </c>
      <c r="G25" s="17"/>
      <c r="H25" s="17"/>
      <c r="I25" s="19" t="e">
        <f t="shared" si="0"/>
        <v>#DIV/0!</v>
      </c>
    </row>
    <row r="26" spans="1:9" ht="15.6" customHeight="1" x14ac:dyDescent="0.25">
      <c r="A26" s="13">
        <v>22</v>
      </c>
      <c r="B26" s="14" t="s">
        <v>53</v>
      </c>
      <c r="C26" s="14" t="s">
        <v>54</v>
      </c>
      <c r="D26" s="15" t="s">
        <v>54</v>
      </c>
      <c r="E26" s="16" t="s">
        <v>54</v>
      </c>
      <c r="F26" s="17">
        <v>0</v>
      </c>
      <c r="G26" s="18"/>
      <c r="H26" s="18"/>
      <c r="I26" s="19" t="e">
        <f t="shared" si="0"/>
        <v>#DIV/0!</v>
      </c>
    </row>
    <row r="27" spans="1:9" ht="15.6" customHeight="1" x14ac:dyDescent="0.25">
      <c r="A27" s="13">
        <v>23</v>
      </c>
      <c r="B27" s="14" t="s">
        <v>55</v>
      </c>
      <c r="C27" s="14" t="s">
        <v>56</v>
      </c>
      <c r="D27" s="15" t="s">
        <v>56</v>
      </c>
      <c r="E27" s="16" t="s">
        <v>56</v>
      </c>
      <c r="F27" s="17">
        <v>1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57</v>
      </c>
      <c r="C28" s="14" t="s">
        <v>58</v>
      </c>
      <c r="D28" s="15" t="s">
        <v>58</v>
      </c>
      <c r="E28" s="16" t="s">
        <v>58</v>
      </c>
      <c r="F28" s="17">
        <v>2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59</v>
      </c>
      <c r="C29" s="14" t="s">
        <v>60</v>
      </c>
      <c r="D29" s="15" t="s">
        <v>60</v>
      </c>
      <c r="E29" s="16" t="s">
        <v>60</v>
      </c>
      <c r="F29" s="17">
        <v>0.5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61</v>
      </c>
      <c r="C30" s="14" t="s">
        <v>62</v>
      </c>
      <c r="D30" s="15" t="s">
        <v>62</v>
      </c>
      <c r="E30" s="16" t="s">
        <v>62</v>
      </c>
      <c r="F30" s="17">
        <v>0</v>
      </c>
      <c r="G30" s="18"/>
      <c r="H30" s="18"/>
      <c r="I30" s="19" t="e">
        <f t="shared" si="0"/>
        <v>#DIV/0!</v>
      </c>
    </row>
    <row r="31" spans="1:9" ht="15.6" customHeight="1" x14ac:dyDescent="0.25">
      <c r="A31" s="13">
        <v>27</v>
      </c>
      <c r="B31" s="14" t="s">
        <v>63</v>
      </c>
      <c r="C31" s="14" t="s">
        <v>64</v>
      </c>
      <c r="D31" s="15" t="s">
        <v>64</v>
      </c>
      <c r="E31" s="16" t="s">
        <v>64</v>
      </c>
      <c r="F31" s="17">
        <v>0</v>
      </c>
      <c r="G31" s="18"/>
      <c r="H31" s="18"/>
      <c r="I31" s="19" t="e">
        <f t="shared" si="0"/>
        <v>#DIV/0!</v>
      </c>
    </row>
    <row r="32" spans="1:9" ht="15.6" customHeight="1" x14ac:dyDescent="0.25">
      <c r="A32" s="13">
        <v>28</v>
      </c>
      <c r="B32" s="14" t="s">
        <v>65</v>
      </c>
      <c r="C32" s="14" t="s">
        <v>66</v>
      </c>
      <c r="D32" s="15" t="s">
        <v>66</v>
      </c>
      <c r="E32" s="16" t="s">
        <v>66</v>
      </c>
      <c r="F32" s="17">
        <v>1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67</v>
      </c>
      <c r="C33" s="14" t="s">
        <v>68</v>
      </c>
      <c r="D33" s="15" t="s">
        <v>68</v>
      </c>
      <c r="E33" s="16" t="s">
        <v>68</v>
      </c>
      <c r="F33" s="17">
        <v>3.5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69</v>
      </c>
      <c r="C34" s="14" t="s">
        <v>70</v>
      </c>
      <c r="D34" s="15" t="s">
        <v>70</v>
      </c>
      <c r="E34" s="16" t="s">
        <v>70</v>
      </c>
      <c r="F34" s="17">
        <v>1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71</v>
      </c>
      <c r="C35" s="14" t="s">
        <v>72</v>
      </c>
      <c r="D35" s="15" t="s">
        <v>72</v>
      </c>
      <c r="E35" s="16" t="s">
        <v>72</v>
      </c>
      <c r="F35" s="17">
        <v>0.3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73</v>
      </c>
      <c r="C36" s="14" t="s">
        <v>74</v>
      </c>
      <c r="D36" s="15" t="s">
        <v>74</v>
      </c>
      <c r="E36" s="16" t="s">
        <v>74</v>
      </c>
      <c r="F36" s="17">
        <v>3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75</v>
      </c>
      <c r="C37" s="14" t="s">
        <v>76</v>
      </c>
      <c r="D37" s="15" t="s">
        <v>76</v>
      </c>
      <c r="E37" s="16" t="s">
        <v>76</v>
      </c>
      <c r="F37" s="17">
        <v>34.6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77</v>
      </c>
      <c r="C38" s="14" t="s">
        <v>78</v>
      </c>
      <c r="D38" s="15" t="s">
        <v>78</v>
      </c>
      <c r="E38" s="16" t="s">
        <v>78</v>
      </c>
      <c r="F38" s="17">
        <v>0</v>
      </c>
      <c r="G38" s="18"/>
      <c r="H38" s="18"/>
      <c r="I38" s="19" t="e">
        <f t="shared" si="0"/>
        <v>#DIV/0!</v>
      </c>
    </row>
    <row r="39" spans="1:9" ht="15.6" customHeight="1" x14ac:dyDescent="0.25">
      <c r="A39" s="13">
        <v>35</v>
      </c>
      <c r="B39" s="14" t="s">
        <v>79</v>
      </c>
      <c r="C39" s="14" t="s">
        <v>80</v>
      </c>
      <c r="D39" s="15" t="s">
        <v>80</v>
      </c>
      <c r="E39" s="16" t="s">
        <v>80</v>
      </c>
      <c r="F39" s="17">
        <v>0</v>
      </c>
      <c r="G39" s="18"/>
      <c r="H39" s="18"/>
      <c r="I39" s="19" t="e">
        <f t="shared" si="0"/>
        <v>#DIV/0!</v>
      </c>
    </row>
    <row r="40" spans="1:9" ht="15.6" customHeight="1" x14ac:dyDescent="0.25">
      <c r="A40" s="13">
        <v>36</v>
      </c>
      <c r="B40" s="14" t="s">
        <v>81</v>
      </c>
      <c r="C40" s="14" t="s">
        <v>82</v>
      </c>
      <c r="D40" s="15" t="s">
        <v>82</v>
      </c>
      <c r="E40" s="16" t="s">
        <v>82</v>
      </c>
      <c r="F40" s="17">
        <v>0</v>
      </c>
      <c r="G40" s="18"/>
      <c r="H40" s="18"/>
      <c r="I40" s="19" t="e">
        <f t="shared" si="0"/>
        <v>#DIV/0!</v>
      </c>
    </row>
    <row r="41" spans="1:9" ht="15.6" customHeight="1" x14ac:dyDescent="0.25">
      <c r="A41" s="13">
        <v>37</v>
      </c>
      <c r="B41" s="14" t="s">
        <v>83</v>
      </c>
      <c r="C41" s="14" t="s">
        <v>84</v>
      </c>
      <c r="D41" s="15" t="s">
        <v>84</v>
      </c>
      <c r="E41" s="16" t="s">
        <v>84</v>
      </c>
      <c r="F41" s="17">
        <v>7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85</v>
      </c>
      <c r="C42" s="14" t="s">
        <v>86</v>
      </c>
      <c r="D42" s="15" t="s">
        <v>86</v>
      </c>
      <c r="E42" s="16" t="s">
        <v>86</v>
      </c>
      <c r="F42" s="17">
        <v>0.3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87</v>
      </c>
      <c r="C43" s="14" t="s">
        <v>88</v>
      </c>
      <c r="D43" s="15" t="s">
        <v>88</v>
      </c>
      <c r="E43" s="16" t="s">
        <v>88</v>
      </c>
      <c r="F43" s="17">
        <v>0</v>
      </c>
      <c r="G43" s="18"/>
      <c r="H43" s="18"/>
      <c r="I43" s="19" t="e">
        <f t="shared" si="0"/>
        <v>#DIV/0!</v>
      </c>
    </row>
    <row r="44" spans="1:9" ht="15.6" customHeight="1" x14ac:dyDescent="0.25">
      <c r="A44" s="13">
        <v>40</v>
      </c>
      <c r="B44" s="14" t="s">
        <v>89</v>
      </c>
      <c r="C44" s="14" t="s">
        <v>90</v>
      </c>
      <c r="D44" s="15" t="s">
        <v>90</v>
      </c>
      <c r="E44" s="16" t="s">
        <v>90</v>
      </c>
      <c r="F44" s="17">
        <v>0</v>
      </c>
      <c r="G44" s="18"/>
      <c r="H44" s="18"/>
      <c r="I44" s="19" t="e">
        <f t="shared" si="0"/>
        <v>#DIV/0!</v>
      </c>
    </row>
    <row r="45" spans="1:9" ht="15.6" customHeight="1" x14ac:dyDescent="0.25">
      <c r="A45" s="13">
        <v>41</v>
      </c>
      <c r="B45" s="14" t="s">
        <v>91</v>
      </c>
      <c r="C45" s="14" t="s">
        <v>92</v>
      </c>
      <c r="D45" s="15" t="s">
        <v>92</v>
      </c>
      <c r="E45" s="16" t="s">
        <v>92</v>
      </c>
      <c r="F45" s="17">
        <v>1.2</v>
      </c>
      <c r="G45" s="18"/>
      <c r="H45" s="18"/>
      <c r="I45" s="19">
        <f t="shared" si="0"/>
        <v>0</v>
      </c>
    </row>
    <row r="46" spans="1:9" ht="15.6" customHeight="1" x14ac:dyDescent="0.25">
      <c r="A46" s="13">
        <v>42</v>
      </c>
      <c r="B46" s="14" t="s">
        <v>93</v>
      </c>
      <c r="C46" s="14" t="s">
        <v>94</v>
      </c>
      <c r="D46" s="15" t="s">
        <v>94</v>
      </c>
      <c r="E46" s="16" t="s">
        <v>94</v>
      </c>
      <c r="F46" s="17">
        <v>11</v>
      </c>
      <c r="G46" s="18"/>
      <c r="H46" s="18"/>
      <c r="I46" s="19">
        <f t="shared" si="0"/>
        <v>0</v>
      </c>
    </row>
    <row r="47" spans="1:9" ht="15.6" customHeight="1" x14ac:dyDescent="0.25">
      <c r="A47" s="13">
        <v>43</v>
      </c>
      <c r="B47" s="14" t="s">
        <v>95</v>
      </c>
      <c r="C47" s="14" t="s">
        <v>96</v>
      </c>
      <c r="D47" s="15" t="s">
        <v>96</v>
      </c>
      <c r="E47" s="16" t="s">
        <v>96</v>
      </c>
      <c r="F47" s="17">
        <v>6.1</v>
      </c>
      <c r="G47" s="18"/>
      <c r="H47" s="18"/>
      <c r="I47" s="19">
        <f t="shared" si="0"/>
        <v>0</v>
      </c>
    </row>
    <row r="48" spans="1:9" ht="15.6" customHeight="1" x14ac:dyDescent="0.25">
      <c r="A48" s="13">
        <v>44</v>
      </c>
      <c r="B48" s="14" t="s">
        <v>97</v>
      </c>
      <c r="C48" s="14" t="s">
        <v>98</v>
      </c>
      <c r="D48" s="15" t="s">
        <v>98</v>
      </c>
      <c r="E48" s="16" t="s">
        <v>98</v>
      </c>
      <c r="F48" s="17">
        <v>0</v>
      </c>
      <c r="G48" s="18"/>
      <c r="H48" s="18"/>
      <c r="I48" s="19" t="e">
        <f t="shared" si="0"/>
        <v>#DIV/0!</v>
      </c>
    </row>
    <row r="49" spans="1:9" ht="15.6" customHeight="1" x14ac:dyDescent="0.25">
      <c r="A49" s="13">
        <v>45</v>
      </c>
      <c r="B49" s="14" t="s">
        <v>99</v>
      </c>
      <c r="C49" s="14" t="s">
        <v>100</v>
      </c>
      <c r="D49" s="15" t="s">
        <v>100</v>
      </c>
      <c r="E49" s="16" t="s">
        <v>100</v>
      </c>
      <c r="F49" s="17">
        <v>0</v>
      </c>
      <c r="G49" s="18"/>
      <c r="H49" s="18"/>
      <c r="I49" s="19" t="e">
        <f t="shared" si="0"/>
        <v>#DIV/0!</v>
      </c>
    </row>
    <row r="50" spans="1:9" ht="15.6" customHeight="1" x14ac:dyDescent="0.25">
      <c r="A50" s="13">
        <v>46</v>
      </c>
      <c r="B50" s="14" t="s">
        <v>101</v>
      </c>
      <c r="C50" s="14" t="s">
        <v>102</v>
      </c>
      <c r="D50" s="15" t="s">
        <v>102</v>
      </c>
      <c r="E50" s="16" t="s">
        <v>102</v>
      </c>
      <c r="F50" s="17">
        <v>0</v>
      </c>
      <c r="G50" s="18"/>
      <c r="H50" s="18"/>
      <c r="I50" s="19" t="e">
        <f t="shared" si="0"/>
        <v>#DIV/0!</v>
      </c>
    </row>
    <row r="51" spans="1:9" ht="15.6" customHeight="1" x14ac:dyDescent="0.25">
      <c r="A51" s="13">
        <v>47</v>
      </c>
      <c r="B51" s="14" t="s">
        <v>103</v>
      </c>
      <c r="C51" s="14" t="s">
        <v>104</v>
      </c>
      <c r="D51" s="15" t="s">
        <v>104</v>
      </c>
      <c r="E51" s="16" t="s">
        <v>104</v>
      </c>
      <c r="F51" s="17">
        <v>0</v>
      </c>
      <c r="G51" s="18"/>
      <c r="H51" s="18"/>
      <c r="I51" s="19" t="e">
        <f t="shared" si="0"/>
        <v>#DIV/0!</v>
      </c>
    </row>
    <row r="52" spans="1:9" ht="15.6" customHeight="1" x14ac:dyDescent="0.25">
      <c r="A52" s="13">
        <v>48</v>
      </c>
      <c r="B52" s="14" t="s">
        <v>105</v>
      </c>
      <c r="C52" s="14" t="s">
        <v>106</v>
      </c>
      <c r="D52" s="15" t="s">
        <v>106</v>
      </c>
      <c r="E52" s="16" t="s">
        <v>106</v>
      </c>
      <c r="F52" s="17">
        <v>17</v>
      </c>
      <c r="G52" s="18"/>
      <c r="H52" s="18"/>
      <c r="I52" s="19">
        <f t="shared" si="0"/>
        <v>0</v>
      </c>
    </row>
    <row r="53" spans="1:9" ht="15.6" customHeight="1" x14ac:dyDescent="0.25">
      <c r="A53" s="13">
        <v>49</v>
      </c>
      <c r="B53" s="14" t="s">
        <v>107</v>
      </c>
      <c r="C53" s="14" t="s">
        <v>108</v>
      </c>
      <c r="D53" s="15" t="s">
        <v>108</v>
      </c>
      <c r="E53" s="16" t="s">
        <v>108</v>
      </c>
      <c r="F53" s="17">
        <v>0</v>
      </c>
      <c r="G53" s="18"/>
      <c r="H53" s="18"/>
      <c r="I53" s="19" t="e">
        <f t="shared" si="0"/>
        <v>#DIV/0!</v>
      </c>
    </row>
    <row r="54" spans="1:9" ht="15.6" customHeight="1" x14ac:dyDescent="0.25">
      <c r="A54" s="13">
        <v>50</v>
      </c>
      <c r="B54" s="14" t="s">
        <v>109</v>
      </c>
      <c r="C54" s="14" t="s">
        <v>110</v>
      </c>
      <c r="D54" s="15" t="s">
        <v>110</v>
      </c>
      <c r="E54" s="16" t="s">
        <v>110</v>
      </c>
      <c r="F54" s="17">
        <v>0.5</v>
      </c>
      <c r="G54" s="18"/>
      <c r="H54" s="18"/>
      <c r="I54" s="19">
        <f t="shared" si="0"/>
        <v>0</v>
      </c>
    </row>
    <row r="55" spans="1:9" ht="15.6" customHeight="1" x14ac:dyDescent="0.25">
      <c r="A55" s="13">
        <v>51</v>
      </c>
      <c r="B55" s="14" t="s">
        <v>111</v>
      </c>
      <c r="C55" s="14" t="s">
        <v>112</v>
      </c>
      <c r="D55" s="15" t="s">
        <v>112</v>
      </c>
      <c r="E55" s="16" t="s">
        <v>112</v>
      </c>
      <c r="F55" s="17">
        <v>5.6</v>
      </c>
      <c r="G55" s="18"/>
      <c r="H55" s="18"/>
      <c r="I55" s="19">
        <f t="shared" si="0"/>
        <v>0</v>
      </c>
    </row>
    <row r="56" spans="1:9" ht="15.6" customHeight="1" x14ac:dyDescent="0.25">
      <c r="A56" s="13">
        <v>52</v>
      </c>
      <c r="B56" s="14" t="s">
        <v>113</v>
      </c>
      <c r="C56" s="14" t="s">
        <v>114</v>
      </c>
      <c r="D56" s="15" t="s">
        <v>114</v>
      </c>
      <c r="E56" s="16" t="s">
        <v>114</v>
      </c>
      <c r="F56" s="17">
        <v>2.5</v>
      </c>
      <c r="G56" s="18"/>
      <c r="H56" s="18"/>
      <c r="I56" s="19">
        <f t="shared" si="0"/>
        <v>0</v>
      </c>
    </row>
    <row r="57" spans="1:9" ht="15.6" customHeight="1" x14ac:dyDescent="0.25">
      <c r="A57" s="13">
        <v>53</v>
      </c>
      <c r="B57" s="14" t="s">
        <v>115</v>
      </c>
      <c r="C57" s="14" t="s">
        <v>116</v>
      </c>
      <c r="D57" s="15" t="s">
        <v>116</v>
      </c>
      <c r="E57" s="16" t="s">
        <v>116</v>
      </c>
      <c r="F57" s="17">
        <v>2</v>
      </c>
      <c r="G57" s="18"/>
      <c r="H57" s="18"/>
      <c r="I57" s="19">
        <f t="shared" si="0"/>
        <v>0</v>
      </c>
    </row>
    <row r="58" spans="1:9" ht="15.6" customHeight="1" x14ac:dyDescent="0.25">
      <c r="A58" s="13">
        <v>54</v>
      </c>
      <c r="B58" s="14" t="s">
        <v>117</v>
      </c>
      <c r="C58" s="14" t="s">
        <v>118</v>
      </c>
      <c r="D58" s="15" t="s">
        <v>118</v>
      </c>
      <c r="E58" s="16" t="s">
        <v>118</v>
      </c>
      <c r="F58" s="17">
        <v>2.1</v>
      </c>
      <c r="G58" s="18"/>
      <c r="H58" s="18"/>
      <c r="I58" s="19">
        <f t="shared" si="0"/>
        <v>0</v>
      </c>
    </row>
    <row r="59" spans="1:9" ht="15.6" customHeight="1" x14ac:dyDescent="0.25">
      <c r="A59" s="13">
        <v>55</v>
      </c>
      <c r="B59" s="14" t="s">
        <v>119</v>
      </c>
      <c r="C59" s="14" t="s">
        <v>120</v>
      </c>
      <c r="D59" s="15" t="s">
        <v>120</v>
      </c>
      <c r="E59" s="16" t="s">
        <v>120</v>
      </c>
      <c r="F59" s="17">
        <v>5.6</v>
      </c>
      <c r="G59" s="18"/>
      <c r="H59" s="18"/>
      <c r="I59" s="19">
        <f t="shared" si="0"/>
        <v>0</v>
      </c>
    </row>
    <row r="60" spans="1:9" ht="15.6" customHeight="1" x14ac:dyDescent="0.25">
      <c r="A60" s="13">
        <v>56</v>
      </c>
      <c r="B60" s="14" t="s">
        <v>121</v>
      </c>
      <c r="C60" s="14" t="s">
        <v>122</v>
      </c>
      <c r="D60" s="15" t="s">
        <v>122</v>
      </c>
      <c r="E60" s="16" t="s">
        <v>122</v>
      </c>
      <c r="F60" s="17">
        <v>2.1</v>
      </c>
      <c r="G60" s="18"/>
      <c r="H60" s="18"/>
      <c r="I60" s="19">
        <f t="shared" si="0"/>
        <v>0</v>
      </c>
    </row>
    <row r="61" spans="1:9" ht="15.6" customHeight="1" x14ac:dyDescent="0.25">
      <c r="A61" s="13">
        <v>57</v>
      </c>
      <c r="B61" s="14" t="s">
        <v>123</v>
      </c>
      <c r="C61" s="14" t="s">
        <v>124</v>
      </c>
      <c r="D61" s="15" t="s">
        <v>124</v>
      </c>
      <c r="E61" s="16" t="s">
        <v>124</v>
      </c>
      <c r="F61" s="17">
        <v>0</v>
      </c>
      <c r="G61" s="18"/>
      <c r="H61" s="18"/>
      <c r="I61" s="19" t="e">
        <f t="shared" si="0"/>
        <v>#DIV/0!</v>
      </c>
    </row>
    <row r="62" spans="1:9" ht="15.6" customHeight="1" x14ac:dyDescent="0.25">
      <c r="A62" s="13">
        <v>58</v>
      </c>
      <c r="B62" s="14" t="s">
        <v>125</v>
      </c>
      <c r="C62" s="14" t="s">
        <v>126</v>
      </c>
      <c r="D62" s="15" t="s">
        <v>126</v>
      </c>
      <c r="E62" s="16" t="s">
        <v>126</v>
      </c>
      <c r="F62" s="17">
        <v>0</v>
      </c>
      <c r="G62" s="18"/>
      <c r="H62" s="18"/>
      <c r="I62" s="19" t="e">
        <f t="shared" si="0"/>
        <v>#DIV/0!</v>
      </c>
    </row>
    <row r="63" spans="1:9" ht="15.6" customHeight="1" x14ac:dyDescent="0.25">
      <c r="A63" s="13">
        <v>59</v>
      </c>
      <c r="B63" s="14" t="s">
        <v>127</v>
      </c>
      <c r="C63" s="14" t="s">
        <v>128</v>
      </c>
      <c r="D63" s="15" t="s">
        <v>128</v>
      </c>
      <c r="E63" s="16" t="s">
        <v>128</v>
      </c>
      <c r="F63" s="17">
        <v>10</v>
      </c>
      <c r="G63" s="18"/>
      <c r="H63" s="18"/>
      <c r="I63" s="19">
        <f t="shared" si="0"/>
        <v>0</v>
      </c>
    </row>
    <row r="64" spans="1:9" ht="15.6" customHeight="1" x14ac:dyDescent="0.25">
      <c r="A64" s="13">
        <v>60</v>
      </c>
      <c r="B64" s="14" t="s">
        <v>129</v>
      </c>
      <c r="C64" s="14" t="s">
        <v>130</v>
      </c>
      <c r="D64" s="15" t="s">
        <v>130</v>
      </c>
      <c r="E64" s="16" t="s">
        <v>130</v>
      </c>
      <c r="F64" s="17">
        <v>3.2</v>
      </c>
      <c r="G64" s="18"/>
      <c r="H64" s="18"/>
      <c r="I64" s="19">
        <f t="shared" si="0"/>
        <v>0</v>
      </c>
    </row>
    <row r="65" spans="1:9" ht="15.6" customHeight="1" x14ac:dyDescent="0.25">
      <c r="A65" s="13">
        <v>61</v>
      </c>
      <c r="B65" s="14" t="s">
        <v>131</v>
      </c>
      <c r="C65" s="14" t="s">
        <v>132</v>
      </c>
      <c r="D65" s="15" t="s">
        <v>132</v>
      </c>
      <c r="E65" s="16" t="s">
        <v>132</v>
      </c>
      <c r="F65" s="17">
        <v>0</v>
      </c>
      <c r="G65" s="18"/>
      <c r="H65" s="18"/>
      <c r="I65" s="19" t="e">
        <f t="shared" si="0"/>
        <v>#DIV/0!</v>
      </c>
    </row>
    <row r="66" spans="1:9" ht="15.6" customHeight="1" x14ac:dyDescent="0.25">
      <c r="A66" s="13">
        <v>62</v>
      </c>
      <c r="B66" s="14" t="s">
        <v>133</v>
      </c>
      <c r="C66" s="14" t="s">
        <v>134</v>
      </c>
      <c r="D66" s="15" t="s">
        <v>134</v>
      </c>
      <c r="E66" s="16" t="s">
        <v>134</v>
      </c>
      <c r="F66" s="17">
        <v>1</v>
      </c>
      <c r="G66" s="18"/>
      <c r="H66" s="18"/>
      <c r="I66" s="19">
        <f t="shared" si="0"/>
        <v>0</v>
      </c>
    </row>
    <row r="67" spans="1:9" ht="15.6" customHeight="1" x14ac:dyDescent="0.25">
      <c r="A67" s="13">
        <v>63</v>
      </c>
      <c r="B67" s="14" t="s">
        <v>135</v>
      </c>
      <c r="C67" s="14" t="s">
        <v>136</v>
      </c>
      <c r="D67" s="15" t="s">
        <v>136</v>
      </c>
      <c r="E67" s="16" t="s">
        <v>136</v>
      </c>
      <c r="F67" s="17">
        <v>0</v>
      </c>
      <c r="G67" s="18"/>
      <c r="H67" s="18"/>
      <c r="I67" s="19" t="e">
        <f t="shared" si="0"/>
        <v>#DIV/0!</v>
      </c>
    </row>
    <row r="68" spans="1:9" ht="15.6" customHeight="1" x14ac:dyDescent="0.25">
      <c r="A68" s="13">
        <v>64</v>
      </c>
      <c r="B68" s="14" t="s">
        <v>137</v>
      </c>
      <c r="C68" s="14" t="s">
        <v>138</v>
      </c>
      <c r="D68" s="15" t="s">
        <v>138</v>
      </c>
      <c r="E68" s="16" t="s">
        <v>138</v>
      </c>
      <c r="F68" s="17">
        <v>0</v>
      </c>
      <c r="G68" s="18"/>
      <c r="H68" s="18"/>
      <c r="I68" s="19" t="e">
        <f t="shared" si="0"/>
        <v>#DIV/0!</v>
      </c>
    </row>
    <row r="69" spans="1:9" ht="15.6" customHeight="1" x14ac:dyDescent="0.25">
      <c r="A69" s="13">
        <v>65</v>
      </c>
      <c r="B69" s="14" t="s">
        <v>139</v>
      </c>
      <c r="C69" s="14" t="s">
        <v>140</v>
      </c>
      <c r="D69" s="15" t="s">
        <v>140</v>
      </c>
      <c r="E69" s="16" t="s">
        <v>140</v>
      </c>
      <c r="F69" s="17">
        <v>0</v>
      </c>
      <c r="G69" s="18"/>
      <c r="H69" s="18"/>
      <c r="I69" s="19" t="e">
        <f t="shared" si="0"/>
        <v>#DIV/0!</v>
      </c>
    </row>
    <row r="70" spans="1:9" ht="15.6" customHeight="1" x14ac:dyDescent="0.25">
      <c r="A70" s="13">
        <v>66</v>
      </c>
      <c r="B70" s="14" t="s">
        <v>141</v>
      </c>
      <c r="C70" s="14" t="s">
        <v>142</v>
      </c>
      <c r="D70" s="15" t="s">
        <v>142</v>
      </c>
      <c r="E70" s="16" t="s">
        <v>142</v>
      </c>
      <c r="F70" s="17">
        <v>7</v>
      </c>
      <c r="G70" s="18"/>
      <c r="H70" s="18"/>
      <c r="I70" s="19">
        <f t="shared" si="0"/>
        <v>0</v>
      </c>
    </row>
    <row r="71" spans="1:9" ht="15.6" customHeight="1" x14ac:dyDescent="0.25">
      <c r="A71" s="13">
        <v>67</v>
      </c>
      <c r="B71" s="14" t="s">
        <v>143</v>
      </c>
      <c r="C71" s="14" t="s">
        <v>144</v>
      </c>
      <c r="D71" s="15" t="s">
        <v>144</v>
      </c>
      <c r="E71" s="16" t="s">
        <v>144</v>
      </c>
      <c r="F71" s="17">
        <v>2.8</v>
      </c>
      <c r="G71" s="18"/>
      <c r="H71" s="18"/>
      <c r="I71" s="19">
        <f t="shared" si="0"/>
        <v>0</v>
      </c>
    </row>
    <row r="72" spans="1:9" ht="15.6" customHeight="1" x14ac:dyDescent="0.25">
      <c r="A72" s="13">
        <v>68</v>
      </c>
      <c r="B72" s="14" t="s">
        <v>145</v>
      </c>
      <c r="C72" s="14" t="s">
        <v>146</v>
      </c>
      <c r="D72" s="15" t="s">
        <v>146</v>
      </c>
      <c r="E72" s="16" t="s">
        <v>146</v>
      </c>
      <c r="F72" s="17">
        <v>2.1</v>
      </c>
      <c r="G72" s="18"/>
      <c r="H72" s="18"/>
      <c r="I72" s="19">
        <f t="shared" si="0"/>
        <v>0</v>
      </c>
    </row>
    <row r="73" spans="1:9" ht="15.6" customHeight="1" x14ac:dyDescent="0.25">
      <c r="A73" s="13">
        <v>69</v>
      </c>
      <c r="B73" s="14" t="s">
        <v>147</v>
      </c>
      <c r="C73" s="14" t="s">
        <v>148</v>
      </c>
      <c r="D73" s="15" t="s">
        <v>148</v>
      </c>
      <c r="E73" s="16" t="s">
        <v>148</v>
      </c>
      <c r="F73" s="17">
        <v>2.6</v>
      </c>
      <c r="G73" s="18"/>
      <c r="H73" s="18"/>
      <c r="I73" s="19">
        <f t="shared" si="0"/>
        <v>0</v>
      </c>
    </row>
    <row r="74" spans="1:9" ht="15.6" customHeight="1" x14ac:dyDescent="0.25">
      <c r="A74" s="13">
        <v>70</v>
      </c>
      <c r="B74" s="14" t="s">
        <v>149</v>
      </c>
      <c r="C74" s="14" t="s">
        <v>150</v>
      </c>
      <c r="D74" s="15" t="s">
        <v>150</v>
      </c>
      <c r="E74" s="16" t="s">
        <v>150</v>
      </c>
      <c r="F74" s="17">
        <v>1</v>
      </c>
      <c r="G74" s="18"/>
      <c r="H74" s="18"/>
      <c r="I74" s="19">
        <f t="shared" si="0"/>
        <v>0</v>
      </c>
    </row>
    <row r="75" spans="1:9" ht="15.6" customHeight="1" x14ac:dyDescent="0.25">
      <c r="A75" s="13">
        <v>71</v>
      </c>
      <c r="B75" s="14" t="s">
        <v>151</v>
      </c>
      <c r="C75" s="14" t="s">
        <v>152</v>
      </c>
      <c r="D75" s="15" t="s">
        <v>152</v>
      </c>
      <c r="E75" s="16" t="s">
        <v>152</v>
      </c>
      <c r="F75" s="17">
        <v>5.2</v>
      </c>
      <c r="G75" s="18"/>
      <c r="H75" s="18"/>
      <c r="I75" s="19">
        <f t="shared" si="0"/>
        <v>0</v>
      </c>
    </row>
    <row r="76" spans="1:9" ht="15.6" customHeight="1" x14ac:dyDescent="0.25">
      <c r="A76" s="13">
        <v>72</v>
      </c>
      <c r="B76" s="14" t="s">
        <v>153</v>
      </c>
      <c r="C76" s="14" t="s">
        <v>154</v>
      </c>
      <c r="D76" s="15" t="s">
        <v>154</v>
      </c>
      <c r="E76" s="16" t="s">
        <v>154</v>
      </c>
      <c r="F76" s="17">
        <v>1</v>
      </c>
      <c r="G76" s="18"/>
      <c r="H76" s="18"/>
      <c r="I76" s="19">
        <f t="shared" si="0"/>
        <v>0</v>
      </c>
    </row>
    <row r="77" spans="1:9" ht="15.6" customHeight="1" x14ac:dyDescent="0.25">
      <c r="A77" s="13">
        <v>73</v>
      </c>
      <c r="B77" s="14" t="s">
        <v>155</v>
      </c>
      <c r="C77" s="14" t="s">
        <v>156</v>
      </c>
      <c r="D77" s="15" t="s">
        <v>156</v>
      </c>
      <c r="E77" s="16" t="s">
        <v>156</v>
      </c>
      <c r="F77" s="17">
        <v>1</v>
      </c>
      <c r="G77" s="18"/>
      <c r="H77" s="18"/>
      <c r="I77" s="19">
        <f t="shared" si="0"/>
        <v>0</v>
      </c>
    </row>
    <row r="78" spans="1:9" ht="15.6" customHeight="1" x14ac:dyDescent="0.25">
      <c r="A78" s="13">
        <v>74</v>
      </c>
      <c r="B78" s="14" t="s">
        <v>157</v>
      </c>
      <c r="C78" s="14" t="s">
        <v>158</v>
      </c>
      <c r="D78" s="15" t="s">
        <v>158</v>
      </c>
      <c r="E78" s="16" t="s">
        <v>158</v>
      </c>
      <c r="F78" s="17">
        <v>0</v>
      </c>
      <c r="G78" s="18"/>
      <c r="H78" s="18"/>
      <c r="I78" s="19" t="e">
        <f t="shared" si="0"/>
        <v>#DIV/0!</v>
      </c>
    </row>
    <row r="79" spans="1:9" ht="15.6" customHeight="1" x14ac:dyDescent="0.25">
      <c r="A79" s="13">
        <v>75</v>
      </c>
      <c r="B79" s="14" t="s">
        <v>159</v>
      </c>
      <c r="C79" s="14" t="s">
        <v>160</v>
      </c>
      <c r="D79" s="15" t="s">
        <v>160</v>
      </c>
      <c r="E79" s="16" t="s">
        <v>160</v>
      </c>
      <c r="F79" s="17">
        <v>0</v>
      </c>
      <c r="G79" s="18"/>
      <c r="H79" s="18"/>
      <c r="I79" s="19" t="e">
        <f t="shared" si="0"/>
        <v>#DIV/0!</v>
      </c>
    </row>
    <row r="80" spans="1:9" ht="15.6" customHeight="1" x14ac:dyDescent="0.25">
      <c r="A80" s="13">
        <v>76</v>
      </c>
      <c r="B80" s="14" t="s">
        <v>161</v>
      </c>
      <c r="C80" s="14" t="s">
        <v>162</v>
      </c>
      <c r="D80" s="15" t="s">
        <v>162</v>
      </c>
      <c r="E80" s="16" t="s">
        <v>162</v>
      </c>
      <c r="F80" s="17">
        <v>12</v>
      </c>
      <c r="G80" s="18"/>
      <c r="H80" s="18"/>
      <c r="I80" s="19">
        <f t="shared" si="0"/>
        <v>0</v>
      </c>
    </row>
    <row r="81" spans="1:9" ht="15.6" customHeight="1" x14ac:dyDescent="0.25">
      <c r="A81" s="13">
        <v>77</v>
      </c>
      <c r="B81" s="14" t="s">
        <v>163</v>
      </c>
      <c r="C81" s="14" t="s">
        <v>164</v>
      </c>
      <c r="D81" s="15" t="s">
        <v>165</v>
      </c>
      <c r="E81" s="16" t="s">
        <v>165</v>
      </c>
      <c r="F81" s="17">
        <v>0.5</v>
      </c>
      <c r="G81" s="18"/>
      <c r="H81" s="18"/>
      <c r="I81" s="19">
        <f t="shared" si="0"/>
        <v>0</v>
      </c>
    </row>
    <row r="82" spans="1:9" ht="15.6" customHeight="1" x14ac:dyDescent="0.25">
      <c r="A82" s="13">
        <v>78</v>
      </c>
      <c r="B82" s="14" t="s">
        <v>166</v>
      </c>
      <c r="C82" s="14" t="s">
        <v>167</v>
      </c>
      <c r="D82" s="15" t="s">
        <v>165</v>
      </c>
      <c r="E82" s="16" t="s">
        <v>165</v>
      </c>
      <c r="F82" s="17">
        <v>0.5</v>
      </c>
      <c r="G82" s="18"/>
      <c r="H82" s="18"/>
      <c r="I82" s="19">
        <f t="shared" si="0"/>
        <v>0</v>
      </c>
    </row>
    <row r="83" spans="1:9" ht="15.6" customHeight="1" x14ac:dyDescent="0.25">
      <c r="A83" s="13">
        <v>79</v>
      </c>
      <c r="B83" s="14" t="s">
        <v>168</v>
      </c>
      <c r="C83" s="14" t="s">
        <v>169</v>
      </c>
      <c r="D83" s="15" t="s">
        <v>162</v>
      </c>
      <c r="E83" s="16" t="s">
        <v>162</v>
      </c>
      <c r="F83" s="17">
        <v>1.5</v>
      </c>
      <c r="G83" s="18"/>
      <c r="H83" s="18"/>
      <c r="I83" s="19">
        <f t="shared" si="0"/>
        <v>0</v>
      </c>
    </row>
    <row r="84" spans="1:9" ht="15.6" customHeight="1" x14ac:dyDescent="0.25">
      <c r="A84" s="13">
        <v>80</v>
      </c>
      <c r="B84" s="14" t="s">
        <v>170</v>
      </c>
      <c r="C84" s="14" t="s">
        <v>169</v>
      </c>
      <c r="D84" s="15" t="s">
        <v>165</v>
      </c>
      <c r="E84" s="16" t="s">
        <v>165</v>
      </c>
      <c r="F84" s="17">
        <v>0.5</v>
      </c>
      <c r="G84" s="18"/>
      <c r="H84" s="18"/>
      <c r="I84" s="19">
        <f t="shared" si="0"/>
        <v>0</v>
      </c>
    </row>
    <row r="85" spans="1:9" ht="15.6" customHeight="1" x14ac:dyDescent="0.25">
      <c r="A85" s="13">
        <v>81</v>
      </c>
      <c r="B85" s="14" t="s">
        <v>171</v>
      </c>
      <c r="C85" s="14" t="s">
        <v>172</v>
      </c>
      <c r="D85" s="15" t="s">
        <v>162</v>
      </c>
      <c r="E85" s="16" t="s">
        <v>162</v>
      </c>
      <c r="F85" s="17">
        <v>0</v>
      </c>
      <c r="G85" s="18"/>
      <c r="H85" s="18"/>
      <c r="I85" s="19" t="e">
        <f t="shared" si="0"/>
        <v>#DIV/0!</v>
      </c>
    </row>
    <row r="86" spans="1:9" ht="15.6" customHeight="1" x14ac:dyDescent="0.25">
      <c r="A86" s="13">
        <v>82</v>
      </c>
      <c r="B86" s="14" t="s">
        <v>173</v>
      </c>
      <c r="C86" s="14" t="s">
        <v>174</v>
      </c>
      <c r="D86" s="15" t="s">
        <v>165</v>
      </c>
      <c r="E86" s="16" t="s">
        <v>165</v>
      </c>
      <c r="F86" s="17">
        <v>0.5</v>
      </c>
      <c r="G86" s="18"/>
      <c r="H86" s="18"/>
      <c r="I86" s="19">
        <f t="shared" si="0"/>
        <v>0</v>
      </c>
    </row>
    <row r="87" spans="1:9" ht="15.6" customHeight="1" x14ac:dyDescent="0.25">
      <c r="A87" s="13">
        <v>83</v>
      </c>
      <c r="B87" s="14" t="s">
        <v>175</v>
      </c>
      <c r="C87" s="14" t="s">
        <v>176</v>
      </c>
      <c r="D87" s="15" t="s">
        <v>162</v>
      </c>
      <c r="E87" s="16" t="s">
        <v>162</v>
      </c>
      <c r="F87" s="17">
        <v>0</v>
      </c>
      <c r="G87" s="18"/>
      <c r="H87" s="18"/>
      <c r="I87" s="19" t="e">
        <f t="shared" si="0"/>
        <v>#DIV/0!</v>
      </c>
    </row>
    <row r="88" spans="1:9" ht="15.6" customHeight="1" x14ac:dyDescent="0.25">
      <c r="A88" s="13">
        <v>84</v>
      </c>
      <c r="B88" s="14" t="s">
        <v>177</v>
      </c>
      <c r="C88" s="14" t="s">
        <v>178</v>
      </c>
      <c r="D88" s="15" t="s">
        <v>165</v>
      </c>
      <c r="E88" s="16" t="s">
        <v>165</v>
      </c>
      <c r="F88" s="17">
        <v>0.5</v>
      </c>
      <c r="G88" s="18"/>
      <c r="H88" s="18"/>
      <c r="I88" s="19">
        <f t="shared" si="0"/>
        <v>0</v>
      </c>
    </row>
    <row r="89" spans="1:9" ht="15.6" customHeight="1" x14ac:dyDescent="0.25">
      <c r="A89" s="13">
        <v>85</v>
      </c>
      <c r="B89" s="14" t="s">
        <v>179</v>
      </c>
      <c r="C89" s="14" t="s">
        <v>180</v>
      </c>
      <c r="D89" s="15" t="s">
        <v>181</v>
      </c>
      <c r="E89" s="16" t="s">
        <v>181</v>
      </c>
      <c r="F89" s="17">
        <v>1.5</v>
      </c>
      <c r="G89" s="18"/>
      <c r="H89" s="18"/>
      <c r="I89" s="19">
        <f t="shared" si="0"/>
        <v>0</v>
      </c>
    </row>
    <row r="90" spans="1:9" ht="15.6" customHeight="1" x14ac:dyDescent="0.25">
      <c r="A90" s="13">
        <v>86</v>
      </c>
      <c r="B90" s="14" t="s">
        <v>182</v>
      </c>
      <c r="C90" s="14" t="s">
        <v>183</v>
      </c>
      <c r="D90" s="15" t="s">
        <v>162</v>
      </c>
      <c r="E90" s="16" t="s">
        <v>162</v>
      </c>
      <c r="F90" s="17">
        <v>0</v>
      </c>
      <c r="G90" s="18"/>
      <c r="H90" s="18"/>
      <c r="I90" s="19" t="e">
        <f t="shared" si="0"/>
        <v>#DIV/0!</v>
      </c>
    </row>
    <row r="91" spans="1:9" ht="15.6" customHeight="1" x14ac:dyDescent="0.25">
      <c r="A91" s="13">
        <v>87</v>
      </c>
      <c r="B91" s="14" t="s">
        <v>184</v>
      </c>
      <c r="C91" s="14" t="s">
        <v>185</v>
      </c>
      <c r="D91" s="15" t="s">
        <v>165</v>
      </c>
      <c r="E91" s="16" t="s">
        <v>165</v>
      </c>
      <c r="F91" s="17">
        <v>0.5</v>
      </c>
      <c r="G91" s="18"/>
      <c r="H91" s="18"/>
      <c r="I91" s="19">
        <f t="shared" si="0"/>
        <v>0</v>
      </c>
    </row>
    <row r="92" spans="1:9" ht="15.6" customHeight="1" x14ac:dyDescent="0.25">
      <c r="A92" s="13">
        <v>88</v>
      </c>
      <c r="B92" s="14" t="s">
        <v>186</v>
      </c>
      <c r="C92" s="14" t="s">
        <v>187</v>
      </c>
      <c r="D92" s="15" t="s">
        <v>162</v>
      </c>
      <c r="E92" s="16" t="s">
        <v>162</v>
      </c>
      <c r="F92" s="17">
        <v>3</v>
      </c>
      <c r="G92" s="18"/>
      <c r="H92" s="18"/>
      <c r="I92" s="19">
        <f t="shared" si="0"/>
        <v>0</v>
      </c>
    </row>
    <row r="93" spans="1:9" ht="15.6" customHeight="1" x14ac:dyDescent="0.25">
      <c r="A93" s="13">
        <v>89</v>
      </c>
      <c r="B93" s="14" t="s">
        <v>188</v>
      </c>
      <c r="C93" s="14" t="s">
        <v>189</v>
      </c>
      <c r="D93" s="15" t="s">
        <v>162</v>
      </c>
      <c r="E93" s="16" t="s">
        <v>162</v>
      </c>
      <c r="F93" s="17">
        <v>1</v>
      </c>
      <c r="G93" s="18"/>
      <c r="H93" s="18"/>
      <c r="I93" s="19">
        <f t="shared" si="0"/>
        <v>0</v>
      </c>
    </row>
    <row r="94" spans="1:9" ht="15.6" customHeight="1" x14ac:dyDescent="0.25">
      <c r="A94" s="13">
        <v>90</v>
      </c>
      <c r="B94" s="14" t="s">
        <v>190</v>
      </c>
      <c r="C94" s="14" t="s">
        <v>191</v>
      </c>
      <c r="D94" s="15" t="s">
        <v>162</v>
      </c>
      <c r="E94" s="16" t="s">
        <v>162</v>
      </c>
      <c r="F94" s="17">
        <v>1</v>
      </c>
      <c r="G94" s="18"/>
      <c r="H94" s="18"/>
      <c r="I94" s="19">
        <f t="shared" si="0"/>
        <v>0</v>
      </c>
    </row>
    <row r="95" spans="1:9" ht="15.6" customHeight="1" x14ac:dyDescent="0.25">
      <c r="A95" s="13">
        <v>91</v>
      </c>
      <c r="B95" s="14" t="s">
        <v>192</v>
      </c>
      <c r="C95" s="14" t="s">
        <v>193</v>
      </c>
      <c r="D95" s="15" t="s">
        <v>165</v>
      </c>
      <c r="E95" s="16" t="s">
        <v>165</v>
      </c>
      <c r="F95" s="17">
        <v>0</v>
      </c>
      <c r="G95" s="18"/>
      <c r="H95" s="18"/>
      <c r="I95" s="19" t="e">
        <f t="shared" si="0"/>
        <v>#DIV/0!</v>
      </c>
    </row>
    <row r="96" spans="1:9" ht="15.6" customHeight="1" x14ac:dyDescent="0.25">
      <c r="A96" s="13">
        <v>92</v>
      </c>
      <c r="B96" s="14" t="s">
        <v>194</v>
      </c>
      <c r="C96" s="14" t="s">
        <v>195</v>
      </c>
      <c r="D96" s="15" t="s">
        <v>165</v>
      </c>
      <c r="E96" s="16" t="s">
        <v>165</v>
      </c>
      <c r="F96" s="17">
        <v>0</v>
      </c>
      <c r="G96" s="18"/>
      <c r="H96" s="18"/>
      <c r="I96" s="19" t="e">
        <f t="shared" si="0"/>
        <v>#DIV/0!</v>
      </c>
    </row>
    <row r="97" spans="1:9" ht="15.6" customHeight="1" x14ac:dyDescent="0.25">
      <c r="A97" s="13">
        <v>93</v>
      </c>
      <c r="B97" s="14" t="s">
        <v>196</v>
      </c>
      <c r="C97" s="14" t="s">
        <v>197</v>
      </c>
      <c r="D97" s="15" t="s">
        <v>165</v>
      </c>
      <c r="E97" s="16" t="s">
        <v>165</v>
      </c>
      <c r="F97" s="17">
        <v>0</v>
      </c>
      <c r="G97" s="18"/>
      <c r="H97" s="18"/>
      <c r="I97" s="19" t="e">
        <f t="shared" si="0"/>
        <v>#DIV/0!</v>
      </c>
    </row>
    <row r="98" spans="1:9" ht="15.6" customHeight="1" x14ac:dyDescent="0.25">
      <c r="A98" s="13">
        <v>94</v>
      </c>
      <c r="B98" s="14" t="s">
        <v>198</v>
      </c>
      <c r="C98" s="14" t="s">
        <v>199</v>
      </c>
      <c r="D98" s="15" t="s">
        <v>162</v>
      </c>
      <c r="E98" s="16" t="s">
        <v>162</v>
      </c>
      <c r="F98" s="17">
        <v>0</v>
      </c>
      <c r="G98" s="18"/>
      <c r="H98" s="18"/>
      <c r="I98" s="19" t="e">
        <f t="shared" si="0"/>
        <v>#DIV/0!</v>
      </c>
    </row>
    <row r="99" spans="1:9" ht="15.6" customHeight="1" x14ac:dyDescent="0.25">
      <c r="A99" s="13">
        <v>95</v>
      </c>
      <c r="B99" s="14" t="s">
        <v>200</v>
      </c>
      <c r="C99" s="14" t="s">
        <v>201</v>
      </c>
      <c r="D99" s="15" t="s">
        <v>202</v>
      </c>
      <c r="E99" s="16" t="s">
        <v>202</v>
      </c>
      <c r="F99" s="17">
        <v>38</v>
      </c>
      <c r="G99" s="18"/>
      <c r="H99" s="18"/>
      <c r="I99" s="19">
        <f t="shared" si="0"/>
        <v>0</v>
      </c>
    </row>
    <row r="100" spans="1:9" ht="15.6" customHeight="1" x14ac:dyDescent="0.25">
      <c r="A100" s="13">
        <v>96</v>
      </c>
      <c r="B100" s="14" t="s">
        <v>203</v>
      </c>
      <c r="C100" s="14" t="s">
        <v>204</v>
      </c>
      <c r="D100" s="15" t="s">
        <v>205</v>
      </c>
      <c r="E100" s="16" t="s">
        <v>205</v>
      </c>
      <c r="F100" s="17">
        <v>10.6</v>
      </c>
      <c r="G100" s="18"/>
      <c r="H100" s="18"/>
      <c r="I100" s="19">
        <f t="shared" si="0"/>
        <v>0</v>
      </c>
    </row>
    <row r="101" spans="1:9" ht="15.6" customHeight="1" x14ac:dyDescent="0.25">
      <c r="A101" s="13">
        <v>97</v>
      </c>
      <c r="B101" s="14" t="s">
        <v>206</v>
      </c>
      <c r="C101" s="14" t="s">
        <v>207</v>
      </c>
      <c r="D101" s="15" t="s">
        <v>162</v>
      </c>
      <c r="E101" s="16" t="s">
        <v>162</v>
      </c>
      <c r="F101" s="17">
        <v>2</v>
      </c>
      <c r="G101" s="18"/>
      <c r="H101" s="18"/>
      <c r="I101" s="19">
        <f t="shared" si="0"/>
        <v>0</v>
      </c>
    </row>
    <row r="102" spans="1:9" ht="15.6" customHeight="1" x14ac:dyDescent="0.25">
      <c r="A102" s="13">
        <v>98</v>
      </c>
      <c r="B102" s="14" t="s">
        <v>208</v>
      </c>
      <c r="C102" s="14" t="s">
        <v>209</v>
      </c>
      <c r="D102" s="15" t="s">
        <v>162</v>
      </c>
      <c r="E102" s="16" t="s">
        <v>162</v>
      </c>
      <c r="F102" s="17">
        <v>7</v>
      </c>
      <c r="G102" s="18"/>
      <c r="H102" s="18"/>
      <c r="I102" s="19">
        <f t="shared" si="0"/>
        <v>0</v>
      </c>
    </row>
    <row r="103" spans="1:9" ht="15.6" customHeight="1" x14ac:dyDescent="0.25">
      <c r="A103" s="13">
        <v>99</v>
      </c>
      <c r="B103" s="14" t="s">
        <v>210</v>
      </c>
      <c r="C103" s="14" t="s">
        <v>211</v>
      </c>
      <c r="D103" s="15" t="s">
        <v>162</v>
      </c>
      <c r="E103" s="16" t="s">
        <v>162</v>
      </c>
      <c r="F103" s="17">
        <v>1.5</v>
      </c>
      <c r="G103" s="18"/>
      <c r="H103" s="18"/>
      <c r="I103" s="19">
        <f t="shared" si="0"/>
        <v>0</v>
      </c>
    </row>
    <row r="104" spans="1:9" ht="15.6" customHeight="1" x14ac:dyDescent="0.25">
      <c r="A104" s="13">
        <v>100</v>
      </c>
      <c r="B104" s="14" t="s">
        <v>212</v>
      </c>
      <c r="C104" s="14" t="s">
        <v>213</v>
      </c>
      <c r="D104" s="15" t="s">
        <v>162</v>
      </c>
      <c r="E104" s="16" t="s">
        <v>162</v>
      </c>
      <c r="F104" s="17">
        <v>3</v>
      </c>
      <c r="G104" s="18"/>
      <c r="H104" s="18"/>
      <c r="I104" s="19">
        <f t="shared" si="0"/>
        <v>0</v>
      </c>
    </row>
    <row r="105" spans="1:9" ht="15.6" customHeight="1" x14ac:dyDescent="0.25">
      <c r="A105" s="13">
        <v>101</v>
      </c>
      <c r="B105" s="14" t="s">
        <v>214</v>
      </c>
      <c r="C105" s="14" t="s">
        <v>215</v>
      </c>
      <c r="D105" s="15" t="s">
        <v>162</v>
      </c>
      <c r="E105" s="16" t="s">
        <v>162</v>
      </c>
      <c r="F105" s="17">
        <v>0</v>
      </c>
      <c r="G105" s="18"/>
      <c r="H105" s="18"/>
      <c r="I105" s="19" t="e">
        <f t="shared" si="0"/>
        <v>#DIV/0!</v>
      </c>
    </row>
    <row r="106" spans="1:9" ht="15.6" customHeight="1" x14ac:dyDescent="0.25">
      <c r="A106" s="13">
        <v>102</v>
      </c>
      <c r="B106" s="14" t="s">
        <v>216</v>
      </c>
      <c r="C106" s="14" t="s">
        <v>217</v>
      </c>
      <c r="D106" s="15" t="s">
        <v>162</v>
      </c>
      <c r="E106" s="16" t="s">
        <v>162</v>
      </c>
      <c r="F106" s="17">
        <v>2</v>
      </c>
      <c r="G106" s="18"/>
      <c r="H106" s="18"/>
      <c r="I106" s="19">
        <f t="shared" si="0"/>
        <v>0</v>
      </c>
    </row>
    <row r="107" spans="1:9" ht="15.6" customHeight="1" x14ac:dyDescent="0.25">
      <c r="A107" s="13">
        <v>103</v>
      </c>
      <c r="B107" s="14" t="s">
        <v>218</v>
      </c>
      <c r="C107" s="14" t="s">
        <v>219</v>
      </c>
      <c r="D107" s="15" t="s">
        <v>165</v>
      </c>
      <c r="E107" s="16" t="s">
        <v>165</v>
      </c>
      <c r="F107" s="17">
        <v>3.1</v>
      </c>
      <c r="G107" s="18"/>
      <c r="H107" s="18"/>
      <c r="I107" s="19">
        <f t="shared" si="0"/>
        <v>0</v>
      </c>
    </row>
    <row r="108" spans="1:9" ht="15.6" customHeight="1" x14ac:dyDescent="0.25">
      <c r="A108" s="13">
        <v>104</v>
      </c>
      <c r="B108" s="14" t="s">
        <v>220</v>
      </c>
      <c r="C108" s="14" t="s">
        <v>221</v>
      </c>
      <c r="D108" s="15" t="s">
        <v>165</v>
      </c>
      <c r="E108" s="16" t="s">
        <v>165</v>
      </c>
      <c r="F108" s="17">
        <v>4</v>
      </c>
      <c r="G108" s="18"/>
      <c r="H108" s="18"/>
      <c r="I108" s="19">
        <f t="shared" si="0"/>
        <v>0</v>
      </c>
    </row>
    <row r="109" spans="1:9" ht="15.6" customHeight="1" x14ac:dyDescent="0.25">
      <c r="A109" s="13">
        <v>105</v>
      </c>
      <c r="B109" s="14" t="s">
        <v>222</v>
      </c>
      <c r="C109" s="14" t="s">
        <v>223</v>
      </c>
      <c r="D109" s="15" t="s">
        <v>224</v>
      </c>
      <c r="E109" s="16" t="s">
        <v>224</v>
      </c>
      <c r="F109" s="17">
        <v>0</v>
      </c>
      <c r="G109" s="18"/>
      <c r="H109" s="18"/>
      <c r="I109" s="19" t="e">
        <f t="shared" si="0"/>
        <v>#DIV/0!</v>
      </c>
    </row>
    <row r="110" spans="1:9" ht="15.6" customHeight="1" x14ac:dyDescent="0.25">
      <c r="A110" s="13">
        <v>106</v>
      </c>
      <c r="B110" s="14" t="s">
        <v>225</v>
      </c>
      <c r="C110" s="14" t="s">
        <v>226</v>
      </c>
      <c r="D110" s="15" t="s">
        <v>227</v>
      </c>
      <c r="E110" s="16" t="s">
        <v>227</v>
      </c>
      <c r="F110" s="17">
        <v>20.100000000000001</v>
      </c>
      <c r="G110" s="18"/>
      <c r="H110" s="18"/>
      <c r="I110" s="19">
        <f t="shared" si="0"/>
        <v>0</v>
      </c>
    </row>
    <row r="111" spans="1:9" ht="15.6" customHeight="1" x14ac:dyDescent="0.25">
      <c r="A111" s="13">
        <v>107</v>
      </c>
      <c r="B111" s="14" t="s">
        <v>228</v>
      </c>
      <c r="C111" s="14" t="s">
        <v>229</v>
      </c>
      <c r="D111" s="15" t="s">
        <v>227</v>
      </c>
      <c r="E111" s="16" t="s">
        <v>227</v>
      </c>
      <c r="F111" s="17">
        <v>11.6</v>
      </c>
      <c r="G111" s="18"/>
      <c r="H111" s="18"/>
      <c r="I111" s="19">
        <f t="shared" si="0"/>
        <v>0</v>
      </c>
    </row>
    <row r="112" spans="1:9" ht="15.6" customHeight="1" x14ac:dyDescent="0.25">
      <c r="A112" s="13">
        <v>108</v>
      </c>
      <c r="B112" s="14" t="s">
        <v>230</v>
      </c>
      <c r="C112" s="14" t="s">
        <v>231</v>
      </c>
      <c r="D112" s="15" t="s">
        <v>165</v>
      </c>
      <c r="E112" s="16" t="s">
        <v>165</v>
      </c>
      <c r="F112" s="17">
        <v>0</v>
      </c>
      <c r="G112" s="18"/>
      <c r="H112" s="18"/>
      <c r="I112" s="19" t="e">
        <f t="shared" si="0"/>
        <v>#DIV/0!</v>
      </c>
    </row>
    <row r="113" spans="1:9" ht="15.6" customHeight="1" x14ac:dyDescent="0.25">
      <c r="A113" s="13">
        <v>109</v>
      </c>
      <c r="B113" s="14" t="s">
        <v>232</v>
      </c>
      <c r="C113" s="14" t="s">
        <v>233</v>
      </c>
      <c r="D113" s="15"/>
      <c r="E113" s="16"/>
      <c r="F113" s="17">
        <v>4.7</v>
      </c>
      <c r="G113" s="18"/>
      <c r="H113" s="18"/>
      <c r="I113" s="19">
        <f t="shared" si="0"/>
        <v>0</v>
      </c>
    </row>
    <row r="114" spans="1:9" ht="15.6" customHeight="1" x14ac:dyDescent="0.25">
      <c r="A114" s="13">
        <v>110</v>
      </c>
      <c r="B114" s="14" t="s">
        <v>234</v>
      </c>
      <c r="C114" s="14" t="s">
        <v>235</v>
      </c>
      <c r="D114" s="15"/>
      <c r="E114" s="16"/>
      <c r="F114" s="17">
        <v>0</v>
      </c>
      <c r="G114" s="18"/>
      <c r="H114" s="18"/>
      <c r="I114" s="19" t="e">
        <f t="shared" si="0"/>
        <v>#DIV/0!</v>
      </c>
    </row>
    <row r="115" spans="1:9" ht="15.6" customHeight="1" x14ac:dyDescent="0.25">
      <c r="A115" s="13">
        <v>111</v>
      </c>
      <c r="B115" s="14" t="s">
        <v>236</v>
      </c>
      <c r="C115" s="14" t="s">
        <v>237</v>
      </c>
      <c r="D115" s="15"/>
      <c r="E115" s="16"/>
      <c r="F115" s="17">
        <v>0</v>
      </c>
      <c r="G115" s="18"/>
      <c r="H115" s="18"/>
      <c r="I115" s="19" t="e">
        <f t="shared" si="0"/>
        <v>#DIV/0!</v>
      </c>
    </row>
    <row r="116" spans="1:9" ht="15.6" customHeight="1" x14ac:dyDescent="0.25">
      <c r="A116" s="13">
        <v>112</v>
      </c>
      <c r="B116" s="14" t="s">
        <v>238</v>
      </c>
      <c r="C116" s="14" t="s">
        <v>239</v>
      </c>
      <c r="D116" s="15"/>
      <c r="E116" s="16"/>
      <c r="F116" s="17">
        <v>0</v>
      </c>
      <c r="G116" s="18"/>
      <c r="H116" s="18"/>
      <c r="I116" s="19" t="e">
        <f t="shared" si="0"/>
        <v>#DIV/0!</v>
      </c>
    </row>
    <row r="117" spans="1:9" ht="16.8" customHeight="1" x14ac:dyDescent="0.25">
      <c r="A117" s="5" t="s">
        <v>240</v>
      </c>
      <c r="B117" s="5"/>
      <c r="C117" s="5"/>
      <c r="D117" s="21" t="s">
        <v>241</v>
      </c>
      <c r="E117" s="22"/>
      <c r="F117" s="23">
        <f>SUM(F5:F116)</f>
        <v>384.8</v>
      </c>
      <c r="G117" s="24"/>
      <c r="H117" s="23">
        <f>SUM(H5:H116)</f>
        <v>0</v>
      </c>
      <c r="I117" s="25">
        <f t="shared" si="0"/>
        <v>0</v>
      </c>
    </row>
    <row r="119" spans="1:9" ht="15" x14ac:dyDescent="0.25">
      <c r="A119" s="1" t="s">
        <v>242</v>
      </c>
    </row>
    <row r="121" spans="1:9" s="27" customFormat="1" ht="17.399999999999999" customHeight="1" x14ac:dyDescent="0.25">
      <c r="A121" s="5" t="s">
        <v>1</v>
      </c>
      <c r="B121" s="26" t="s">
        <v>2</v>
      </c>
      <c r="C121" s="26"/>
      <c r="D121" s="7" t="s">
        <v>3</v>
      </c>
      <c r="E121" s="8"/>
      <c r="F121" s="26" t="s">
        <v>243</v>
      </c>
      <c r="G121" s="6" t="s">
        <v>5</v>
      </c>
      <c r="H121" s="5" t="s">
        <v>6</v>
      </c>
      <c r="I121" s="5"/>
    </row>
    <row r="122" spans="1:9" s="27" customFormat="1" ht="17.399999999999999" customHeight="1" x14ac:dyDescent="0.25">
      <c r="A122" s="5"/>
      <c r="B122" s="10" t="s">
        <v>7</v>
      </c>
      <c r="C122" s="10" t="s">
        <v>8</v>
      </c>
      <c r="D122" s="11"/>
      <c r="E122" s="12"/>
      <c r="F122" s="26"/>
      <c r="G122" s="6"/>
      <c r="H122" s="10" t="s">
        <v>9</v>
      </c>
      <c r="I122" s="10" t="s">
        <v>10</v>
      </c>
    </row>
    <row r="123" spans="1:9" ht="16.2" customHeight="1" x14ac:dyDescent="0.25">
      <c r="A123" s="28">
        <v>1</v>
      </c>
      <c r="B123" s="29" t="s">
        <v>244</v>
      </c>
      <c r="C123" s="30" t="s">
        <v>245</v>
      </c>
      <c r="D123" s="31" t="s">
        <v>245</v>
      </c>
      <c r="E123" s="32" t="s">
        <v>245</v>
      </c>
      <c r="F123" s="33">
        <v>0.8</v>
      </c>
      <c r="G123" s="18"/>
      <c r="H123" s="18"/>
      <c r="I123" s="19">
        <f>H123/F123</f>
        <v>0</v>
      </c>
    </row>
    <row r="124" spans="1:9" ht="16.2" customHeight="1" x14ac:dyDescent="0.25">
      <c r="A124" s="28">
        <v>2</v>
      </c>
      <c r="B124" s="29" t="s">
        <v>246</v>
      </c>
      <c r="C124" s="34" t="s">
        <v>247</v>
      </c>
      <c r="D124" s="31" t="s">
        <v>247</v>
      </c>
      <c r="E124" s="32" t="s">
        <v>247</v>
      </c>
      <c r="F124" s="33">
        <v>1.5</v>
      </c>
      <c r="G124" s="18"/>
      <c r="H124" s="18"/>
      <c r="I124" s="19">
        <f>H124/F124</f>
        <v>0</v>
      </c>
    </row>
    <row r="125" spans="1:9" ht="16.8" customHeight="1" x14ac:dyDescent="0.25">
      <c r="A125" s="5" t="s">
        <v>240</v>
      </c>
      <c r="B125" s="5"/>
      <c r="C125" s="5"/>
      <c r="D125" s="5" t="s">
        <v>248</v>
      </c>
      <c r="E125" s="5"/>
      <c r="F125" s="23">
        <f>SUM(F123:F124)</f>
        <v>2.2999999999999998</v>
      </c>
      <c r="G125" s="24"/>
      <c r="H125" s="23">
        <f>SUM(H123:H124)</f>
        <v>0</v>
      </c>
      <c r="I125" s="25">
        <f>H125/F125</f>
        <v>0</v>
      </c>
    </row>
  </sheetData>
  <mergeCells count="130">
    <mergeCell ref="D123:E123"/>
    <mergeCell ref="D124:E124"/>
    <mergeCell ref="A125:C125"/>
    <mergeCell ref="D125:E125"/>
    <mergeCell ref="A121:A122"/>
    <mergeCell ref="B121:C121"/>
    <mergeCell ref="D121:E122"/>
    <mergeCell ref="F121:F122"/>
    <mergeCell ref="G121:G122"/>
    <mergeCell ref="H121:I121"/>
    <mergeCell ref="D113:E113"/>
    <mergeCell ref="D114:E114"/>
    <mergeCell ref="D115:E115"/>
    <mergeCell ref="D116:E116"/>
    <mergeCell ref="A117:C117"/>
    <mergeCell ref="D117:E117"/>
    <mergeCell ref="D107:E107"/>
    <mergeCell ref="D108:E108"/>
    <mergeCell ref="D109:E109"/>
    <mergeCell ref="D110:E110"/>
    <mergeCell ref="D111:E111"/>
    <mergeCell ref="D112:E112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7C5D-6F91-414E-B717-CF6E624A0428}">
  <dimension ref="A1:I53"/>
  <sheetViews>
    <sheetView zoomScaleNormal="100" workbookViewId="0">
      <selection activeCell="C65" sqref="C6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19</v>
      </c>
      <c r="C5" s="14" t="s">
        <v>20</v>
      </c>
      <c r="D5" s="15" t="s">
        <v>20</v>
      </c>
      <c r="E5" s="16" t="s">
        <v>20</v>
      </c>
      <c r="F5" s="17">
        <v>2.4</v>
      </c>
      <c r="G5" s="18"/>
      <c r="H5" s="18"/>
      <c r="I5" s="19">
        <f t="shared" ref="I5:I53" si="0">H5/F5</f>
        <v>0</v>
      </c>
    </row>
    <row r="6" spans="1:9" ht="15.6" customHeight="1" x14ac:dyDescent="0.25">
      <c r="A6" s="13">
        <v>2</v>
      </c>
      <c r="B6" s="14" t="s">
        <v>21</v>
      </c>
      <c r="C6" s="14" t="s">
        <v>22</v>
      </c>
      <c r="D6" s="15" t="s">
        <v>22</v>
      </c>
      <c r="E6" s="16" t="s">
        <v>22</v>
      </c>
      <c r="F6" s="17">
        <v>0</v>
      </c>
      <c r="G6" s="17"/>
      <c r="H6" s="17"/>
      <c r="I6" s="19" t="e">
        <f t="shared" si="0"/>
        <v>#DIV/0!</v>
      </c>
    </row>
    <row r="7" spans="1:9" ht="15.6" customHeight="1" x14ac:dyDescent="0.25">
      <c r="A7" s="13">
        <v>3</v>
      </c>
      <c r="B7" s="14" t="s">
        <v>23</v>
      </c>
      <c r="C7" s="14" t="s">
        <v>24</v>
      </c>
      <c r="D7" s="15" t="s">
        <v>24</v>
      </c>
      <c r="E7" s="16" t="s">
        <v>24</v>
      </c>
      <c r="F7" s="17">
        <v>23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37</v>
      </c>
      <c r="C8" s="14" t="s">
        <v>38</v>
      </c>
      <c r="D8" s="15" t="s">
        <v>38</v>
      </c>
      <c r="E8" s="16" t="s">
        <v>38</v>
      </c>
      <c r="F8" s="17">
        <v>9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39</v>
      </c>
      <c r="C9" s="14" t="s">
        <v>40</v>
      </c>
      <c r="D9" s="15" t="s">
        <v>40</v>
      </c>
      <c r="E9" s="16" t="s">
        <v>40</v>
      </c>
      <c r="F9" s="17">
        <v>2.2000000000000002</v>
      </c>
      <c r="G9" s="17"/>
      <c r="H9" s="17"/>
      <c r="I9" s="19">
        <f t="shared" si="0"/>
        <v>0</v>
      </c>
    </row>
    <row r="10" spans="1:9" ht="15.6" customHeight="1" x14ac:dyDescent="0.25">
      <c r="A10" s="13">
        <v>6</v>
      </c>
      <c r="B10" s="14" t="s">
        <v>41</v>
      </c>
      <c r="C10" s="14" t="s">
        <v>42</v>
      </c>
      <c r="D10" s="15" t="s">
        <v>42</v>
      </c>
      <c r="E10" s="16" t="s">
        <v>42</v>
      </c>
      <c r="F10" s="17">
        <v>3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43</v>
      </c>
      <c r="C11" s="14" t="s">
        <v>44</v>
      </c>
      <c r="D11" s="15" t="s">
        <v>44</v>
      </c>
      <c r="E11" s="16" t="s">
        <v>44</v>
      </c>
      <c r="F11" s="20">
        <v>6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45</v>
      </c>
      <c r="C12" s="14" t="s">
        <v>46</v>
      </c>
      <c r="D12" s="15" t="s">
        <v>46</v>
      </c>
      <c r="E12" s="16" t="s">
        <v>46</v>
      </c>
      <c r="F12" s="17">
        <v>2.7</v>
      </c>
      <c r="G12" s="17"/>
      <c r="H12" s="17"/>
      <c r="I12" s="19">
        <f t="shared" si="0"/>
        <v>0</v>
      </c>
    </row>
    <row r="13" spans="1:9" ht="15.6" customHeight="1" x14ac:dyDescent="0.25">
      <c r="A13" s="13">
        <v>9</v>
      </c>
      <c r="B13" s="14" t="s">
        <v>47</v>
      </c>
      <c r="C13" s="14" t="s">
        <v>48</v>
      </c>
      <c r="D13" s="15" t="s">
        <v>48</v>
      </c>
      <c r="E13" s="16" t="s">
        <v>48</v>
      </c>
      <c r="F13" s="17">
        <v>3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67</v>
      </c>
      <c r="C14" s="14" t="s">
        <v>68</v>
      </c>
      <c r="D14" s="15" t="s">
        <v>68</v>
      </c>
      <c r="E14" s="16" t="s">
        <v>68</v>
      </c>
      <c r="F14" s="17">
        <v>3.5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69</v>
      </c>
      <c r="C15" s="14" t="s">
        <v>70</v>
      </c>
      <c r="D15" s="15" t="s">
        <v>70</v>
      </c>
      <c r="E15" s="16" t="s">
        <v>70</v>
      </c>
      <c r="F15" s="17">
        <v>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71</v>
      </c>
      <c r="C16" s="14" t="s">
        <v>72</v>
      </c>
      <c r="D16" s="15" t="s">
        <v>72</v>
      </c>
      <c r="E16" s="16" t="s">
        <v>72</v>
      </c>
      <c r="F16" s="17">
        <v>0.3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73</v>
      </c>
      <c r="C17" s="14" t="s">
        <v>74</v>
      </c>
      <c r="D17" s="15" t="s">
        <v>74</v>
      </c>
      <c r="E17" s="16" t="s">
        <v>74</v>
      </c>
      <c r="F17" s="17">
        <v>3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75</v>
      </c>
      <c r="C18" s="14" t="s">
        <v>76</v>
      </c>
      <c r="D18" s="15" t="s">
        <v>76</v>
      </c>
      <c r="E18" s="16" t="s">
        <v>76</v>
      </c>
      <c r="F18" s="17">
        <v>34.6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77</v>
      </c>
      <c r="C19" s="14" t="s">
        <v>78</v>
      </c>
      <c r="D19" s="15" t="s">
        <v>78</v>
      </c>
      <c r="E19" s="16" t="s">
        <v>78</v>
      </c>
      <c r="F19" s="17">
        <v>0</v>
      </c>
      <c r="G19" s="18"/>
      <c r="H19" s="18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79</v>
      </c>
      <c r="C20" s="14" t="s">
        <v>80</v>
      </c>
      <c r="D20" s="15" t="s">
        <v>80</v>
      </c>
      <c r="E20" s="16" t="s">
        <v>80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99</v>
      </c>
      <c r="C21" s="14" t="s">
        <v>100</v>
      </c>
      <c r="D21" s="15" t="s">
        <v>100</v>
      </c>
      <c r="E21" s="16" t="s">
        <v>100</v>
      </c>
      <c r="F21" s="17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101</v>
      </c>
      <c r="C22" s="14" t="s">
        <v>102</v>
      </c>
      <c r="D22" s="15" t="s">
        <v>102</v>
      </c>
      <c r="E22" s="16" t="s">
        <v>102</v>
      </c>
      <c r="F22" s="17">
        <v>0</v>
      </c>
      <c r="G22" s="18"/>
      <c r="H22" s="18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103</v>
      </c>
      <c r="C23" s="14" t="s">
        <v>104</v>
      </c>
      <c r="D23" s="15" t="s">
        <v>104</v>
      </c>
      <c r="E23" s="16" t="s">
        <v>104</v>
      </c>
      <c r="F23" s="17">
        <v>0</v>
      </c>
      <c r="G23" s="18"/>
      <c r="H23" s="18"/>
      <c r="I23" s="19" t="e">
        <f t="shared" si="0"/>
        <v>#DIV/0!</v>
      </c>
    </row>
    <row r="24" spans="1:9" ht="15.6" customHeight="1" x14ac:dyDescent="0.25">
      <c r="A24" s="13">
        <v>20</v>
      </c>
      <c r="B24" s="14" t="s">
        <v>115</v>
      </c>
      <c r="C24" s="14" t="s">
        <v>116</v>
      </c>
      <c r="D24" s="15" t="s">
        <v>116</v>
      </c>
      <c r="E24" s="16" t="s">
        <v>116</v>
      </c>
      <c r="F24" s="17">
        <v>2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117</v>
      </c>
      <c r="C25" s="14" t="s">
        <v>118</v>
      </c>
      <c r="D25" s="15" t="s">
        <v>118</v>
      </c>
      <c r="E25" s="16" t="s">
        <v>118</v>
      </c>
      <c r="F25" s="17">
        <v>2.1</v>
      </c>
      <c r="G25" s="18"/>
      <c r="H25" s="18"/>
      <c r="I25" s="19">
        <f t="shared" si="0"/>
        <v>0</v>
      </c>
    </row>
    <row r="26" spans="1:9" ht="15.6" customHeight="1" x14ac:dyDescent="0.25">
      <c r="A26" s="13">
        <v>22</v>
      </c>
      <c r="B26" s="14" t="s">
        <v>119</v>
      </c>
      <c r="C26" s="14" t="s">
        <v>120</v>
      </c>
      <c r="D26" s="15" t="s">
        <v>120</v>
      </c>
      <c r="E26" s="16" t="s">
        <v>120</v>
      </c>
      <c r="F26" s="17">
        <v>5.6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123</v>
      </c>
      <c r="C27" s="14" t="s">
        <v>124</v>
      </c>
      <c r="D27" s="15" t="s">
        <v>124</v>
      </c>
      <c r="E27" s="16" t="s">
        <v>124</v>
      </c>
      <c r="F27" s="17">
        <v>0</v>
      </c>
      <c r="G27" s="18"/>
      <c r="H27" s="18"/>
      <c r="I27" s="19" t="e">
        <f t="shared" si="0"/>
        <v>#DIV/0!</v>
      </c>
    </row>
    <row r="28" spans="1:9" ht="15.6" customHeight="1" x14ac:dyDescent="0.25">
      <c r="A28" s="13">
        <v>24</v>
      </c>
      <c r="B28" s="14" t="s">
        <v>125</v>
      </c>
      <c r="C28" s="14" t="s">
        <v>126</v>
      </c>
      <c r="D28" s="15" t="s">
        <v>126</v>
      </c>
      <c r="E28" s="16" t="s">
        <v>126</v>
      </c>
      <c r="F28" s="17">
        <v>0</v>
      </c>
      <c r="G28" s="18"/>
      <c r="H28" s="18"/>
      <c r="I28" s="19" t="e">
        <f t="shared" si="0"/>
        <v>#DIV/0!</v>
      </c>
    </row>
    <row r="29" spans="1:9" ht="15.6" customHeight="1" x14ac:dyDescent="0.25">
      <c r="A29" s="13">
        <v>25</v>
      </c>
      <c r="B29" s="14" t="s">
        <v>127</v>
      </c>
      <c r="C29" s="14" t="s">
        <v>128</v>
      </c>
      <c r="D29" s="15" t="s">
        <v>128</v>
      </c>
      <c r="E29" s="16" t="s">
        <v>128</v>
      </c>
      <c r="F29" s="17">
        <v>10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139</v>
      </c>
      <c r="C30" s="14" t="s">
        <v>140</v>
      </c>
      <c r="D30" s="15" t="s">
        <v>140</v>
      </c>
      <c r="E30" s="16" t="s">
        <v>140</v>
      </c>
      <c r="F30" s="17">
        <v>0</v>
      </c>
      <c r="G30" s="18"/>
      <c r="H30" s="18"/>
      <c r="I30" s="19" t="e">
        <f t="shared" si="0"/>
        <v>#DIV/0!</v>
      </c>
    </row>
    <row r="31" spans="1:9" ht="15.6" customHeight="1" x14ac:dyDescent="0.25">
      <c r="A31" s="13">
        <v>27</v>
      </c>
      <c r="B31" s="14" t="s">
        <v>141</v>
      </c>
      <c r="C31" s="14" t="s">
        <v>142</v>
      </c>
      <c r="D31" s="15" t="s">
        <v>142</v>
      </c>
      <c r="E31" s="16" t="s">
        <v>142</v>
      </c>
      <c r="F31" s="17">
        <v>7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143</v>
      </c>
      <c r="C32" s="14" t="s">
        <v>144</v>
      </c>
      <c r="D32" s="15" t="s">
        <v>144</v>
      </c>
      <c r="E32" s="16" t="s">
        <v>144</v>
      </c>
      <c r="F32" s="17">
        <v>2.8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157</v>
      </c>
      <c r="C33" s="14" t="s">
        <v>158</v>
      </c>
      <c r="D33" s="15" t="s">
        <v>158</v>
      </c>
      <c r="E33" s="16" t="s">
        <v>158</v>
      </c>
      <c r="F33" s="17">
        <v>0</v>
      </c>
      <c r="G33" s="18"/>
      <c r="H33" s="18"/>
      <c r="I33" s="19" t="e">
        <f t="shared" si="0"/>
        <v>#DIV/0!</v>
      </c>
    </row>
    <row r="34" spans="1:9" ht="15.6" customHeight="1" x14ac:dyDescent="0.25">
      <c r="A34" s="13">
        <v>30</v>
      </c>
      <c r="B34" s="14" t="s">
        <v>159</v>
      </c>
      <c r="C34" s="14" t="s">
        <v>160</v>
      </c>
      <c r="D34" s="15" t="s">
        <v>160</v>
      </c>
      <c r="E34" s="16" t="s">
        <v>160</v>
      </c>
      <c r="F34" s="17">
        <v>0</v>
      </c>
      <c r="G34" s="18"/>
      <c r="H34" s="18"/>
      <c r="I34" s="19" t="e">
        <f t="shared" si="0"/>
        <v>#DIV/0!</v>
      </c>
    </row>
    <row r="35" spans="1:9" ht="15.6" customHeight="1" x14ac:dyDescent="0.25">
      <c r="A35" s="13">
        <v>31</v>
      </c>
      <c r="B35" s="14" t="s">
        <v>161</v>
      </c>
      <c r="C35" s="14" t="s">
        <v>162</v>
      </c>
      <c r="D35" s="15" t="s">
        <v>162</v>
      </c>
      <c r="E35" s="16" t="s">
        <v>162</v>
      </c>
      <c r="F35" s="17">
        <v>12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168</v>
      </c>
      <c r="C36" s="14" t="s">
        <v>169</v>
      </c>
      <c r="D36" s="15" t="s">
        <v>162</v>
      </c>
      <c r="E36" s="16" t="s">
        <v>162</v>
      </c>
      <c r="F36" s="17">
        <v>1.5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171</v>
      </c>
      <c r="C37" s="14" t="s">
        <v>172</v>
      </c>
      <c r="D37" s="15" t="s">
        <v>162</v>
      </c>
      <c r="E37" s="16" t="s">
        <v>162</v>
      </c>
      <c r="F37" s="17">
        <v>0</v>
      </c>
      <c r="G37" s="18"/>
      <c r="H37" s="18"/>
      <c r="I37" s="19" t="e">
        <f t="shared" si="0"/>
        <v>#DIV/0!</v>
      </c>
    </row>
    <row r="38" spans="1:9" ht="15.6" customHeight="1" x14ac:dyDescent="0.25">
      <c r="A38" s="13">
        <v>34</v>
      </c>
      <c r="B38" s="14" t="s">
        <v>175</v>
      </c>
      <c r="C38" s="14" t="s">
        <v>176</v>
      </c>
      <c r="D38" s="15" t="s">
        <v>162</v>
      </c>
      <c r="E38" s="16" t="s">
        <v>162</v>
      </c>
      <c r="F38" s="17">
        <v>0</v>
      </c>
      <c r="G38" s="18"/>
      <c r="H38" s="18"/>
      <c r="I38" s="19" t="e">
        <f t="shared" si="0"/>
        <v>#DIV/0!</v>
      </c>
    </row>
    <row r="39" spans="1:9" ht="15.6" customHeight="1" x14ac:dyDescent="0.25">
      <c r="A39" s="13">
        <v>35</v>
      </c>
      <c r="B39" s="14" t="s">
        <v>182</v>
      </c>
      <c r="C39" s="14" t="s">
        <v>183</v>
      </c>
      <c r="D39" s="15" t="s">
        <v>162</v>
      </c>
      <c r="E39" s="16" t="s">
        <v>162</v>
      </c>
      <c r="F39" s="17">
        <v>0</v>
      </c>
      <c r="G39" s="18"/>
      <c r="H39" s="18"/>
      <c r="I39" s="19" t="e">
        <f t="shared" si="0"/>
        <v>#DIV/0!</v>
      </c>
    </row>
    <row r="40" spans="1:9" ht="15.6" customHeight="1" x14ac:dyDescent="0.25">
      <c r="A40" s="13">
        <v>36</v>
      </c>
      <c r="B40" s="14" t="s">
        <v>186</v>
      </c>
      <c r="C40" s="14" t="s">
        <v>187</v>
      </c>
      <c r="D40" s="15" t="s">
        <v>162</v>
      </c>
      <c r="E40" s="16" t="s">
        <v>162</v>
      </c>
      <c r="F40" s="17">
        <v>3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188</v>
      </c>
      <c r="C41" s="14" t="s">
        <v>189</v>
      </c>
      <c r="D41" s="15" t="s">
        <v>162</v>
      </c>
      <c r="E41" s="16" t="s">
        <v>162</v>
      </c>
      <c r="F41" s="17">
        <v>1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190</v>
      </c>
      <c r="C42" s="14" t="s">
        <v>191</v>
      </c>
      <c r="D42" s="15" t="s">
        <v>162</v>
      </c>
      <c r="E42" s="16" t="s">
        <v>162</v>
      </c>
      <c r="F42" s="17">
        <v>1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198</v>
      </c>
      <c r="C43" s="14" t="s">
        <v>199</v>
      </c>
      <c r="D43" s="15" t="s">
        <v>162</v>
      </c>
      <c r="E43" s="16" t="s">
        <v>162</v>
      </c>
      <c r="F43" s="17">
        <v>0</v>
      </c>
      <c r="G43" s="18"/>
      <c r="H43" s="18"/>
      <c r="I43" s="19" t="e">
        <f t="shared" si="0"/>
        <v>#DIV/0!</v>
      </c>
    </row>
    <row r="44" spans="1:9" ht="15.6" customHeight="1" x14ac:dyDescent="0.25">
      <c r="A44" s="13">
        <v>40</v>
      </c>
      <c r="B44" s="14" t="s">
        <v>200</v>
      </c>
      <c r="C44" s="14" t="s">
        <v>201</v>
      </c>
      <c r="D44" s="15" t="s">
        <v>202</v>
      </c>
      <c r="E44" s="16" t="s">
        <v>202</v>
      </c>
      <c r="F44" s="17">
        <v>38</v>
      </c>
      <c r="G44" s="18"/>
      <c r="H44" s="18"/>
      <c r="I44" s="19">
        <f t="shared" si="0"/>
        <v>0</v>
      </c>
    </row>
    <row r="45" spans="1:9" ht="15.6" customHeight="1" x14ac:dyDescent="0.25">
      <c r="A45" s="13">
        <v>41</v>
      </c>
      <c r="B45" s="14" t="s">
        <v>203</v>
      </c>
      <c r="C45" s="14" t="s">
        <v>204</v>
      </c>
      <c r="D45" s="15" t="s">
        <v>205</v>
      </c>
      <c r="E45" s="16" t="s">
        <v>205</v>
      </c>
      <c r="F45" s="17">
        <v>10.6</v>
      </c>
      <c r="G45" s="18"/>
      <c r="H45" s="18"/>
      <c r="I45" s="19">
        <f t="shared" si="0"/>
        <v>0</v>
      </c>
    </row>
    <row r="46" spans="1:9" ht="15.6" customHeight="1" x14ac:dyDescent="0.25">
      <c r="A46" s="13">
        <v>42</v>
      </c>
      <c r="B46" s="14" t="s">
        <v>206</v>
      </c>
      <c r="C46" s="14" t="s">
        <v>207</v>
      </c>
      <c r="D46" s="15" t="s">
        <v>162</v>
      </c>
      <c r="E46" s="16" t="s">
        <v>162</v>
      </c>
      <c r="F46" s="17">
        <v>2</v>
      </c>
      <c r="G46" s="18"/>
      <c r="H46" s="18"/>
      <c r="I46" s="19">
        <f t="shared" si="0"/>
        <v>0</v>
      </c>
    </row>
    <row r="47" spans="1:9" ht="15.6" customHeight="1" x14ac:dyDescent="0.25">
      <c r="A47" s="13">
        <v>43</v>
      </c>
      <c r="B47" s="14" t="s">
        <v>208</v>
      </c>
      <c r="C47" s="14" t="s">
        <v>209</v>
      </c>
      <c r="D47" s="15" t="s">
        <v>162</v>
      </c>
      <c r="E47" s="16" t="s">
        <v>162</v>
      </c>
      <c r="F47" s="17">
        <v>7</v>
      </c>
      <c r="G47" s="18"/>
      <c r="H47" s="18"/>
      <c r="I47" s="19">
        <f t="shared" si="0"/>
        <v>0</v>
      </c>
    </row>
    <row r="48" spans="1:9" ht="15.6" customHeight="1" x14ac:dyDescent="0.25">
      <c r="A48" s="13">
        <v>44</v>
      </c>
      <c r="B48" s="14" t="s">
        <v>210</v>
      </c>
      <c r="C48" s="14" t="s">
        <v>211</v>
      </c>
      <c r="D48" s="15" t="s">
        <v>162</v>
      </c>
      <c r="E48" s="16" t="s">
        <v>162</v>
      </c>
      <c r="F48" s="17">
        <v>1.5</v>
      </c>
      <c r="G48" s="18"/>
      <c r="H48" s="18"/>
      <c r="I48" s="19">
        <f t="shared" si="0"/>
        <v>0</v>
      </c>
    </row>
    <row r="49" spans="1:9" ht="15.6" customHeight="1" x14ac:dyDescent="0.25">
      <c r="A49" s="13">
        <v>45</v>
      </c>
      <c r="B49" s="14" t="s">
        <v>212</v>
      </c>
      <c r="C49" s="14" t="s">
        <v>213</v>
      </c>
      <c r="D49" s="15" t="s">
        <v>162</v>
      </c>
      <c r="E49" s="16" t="s">
        <v>162</v>
      </c>
      <c r="F49" s="17">
        <v>3</v>
      </c>
      <c r="G49" s="18"/>
      <c r="H49" s="18"/>
      <c r="I49" s="19">
        <f t="shared" si="0"/>
        <v>0</v>
      </c>
    </row>
    <row r="50" spans="1:9" ht="15.6" customHeight="1" x14ac:dyDescent="0.25">
      <c r="A50" s="13">
        <v>46</v>
      </c>
      <c r="B50" s="14" t="s">
        <v>214</v>
      </c>
      <c r="C50" s="14" t="s">
        <v>215</v>
      </c>
      <c r="D50" s="15" t="s">
        <v>162</v>
      </c>
      <c r="E50" s="16" t="s">
        <v>162</v>
      </c>
      <c r="F50" s="17">
        <v>0</v>
      </c>
      <c r="G50" s="18"/>
      <c r="H50" s="18"/>
      <c r="I50" s="19" t="e">
        <f t="shared" si="0"/>
        <v>#DIV/0!</v>
      </c>
    </row>
    <row r="51" spans="1:9" ht="15.6" customHeight="1" x14ac:dyDescent="0.25">
      <c r="A51" s="13">
        <v>47</v>
      </c>
      <c r="B51" s="14" t="s">
        <v>216</v>
      </c>
      <c r="C51" s="14" t="s">
        <v>217</v>
      </c>
      <c r="D51" s="15" t="s">
        <v>162</v>
      </c>
      <c r="E51" s="16" t="s">
        <v>162</v>
      </c>
      <c r="F51" s="17">
        <v>2</v>
      </c>
      <c r="G51" s="18"/>
      <c r="H51" s="18"/>
      <c r="I51" s="19">
        <f t="shared" si="0"/>
        <v>0</v>
      </c>
    </row>
    <row r="52" spans="1:9" ht="15.6" customHeight="1" x14ac:dyDescent="0.25">
      <c r="A52" s="13">
        <v>48</v>
      </c>
      <c r="B52" s="14" t="s">
        <v>222</v>
      </c>
      <c r="C52" s="14" t="s">
        <v>223</v>
      </c>
      <c r="D52" s="15" t="s">
        <v>224</v>
      </c>
      <c r="E52" s="16" t="s">
        <v>224</v>
      </c>
      <c r="F52" s="17">
        <v>0</v>
      </c>
      <c r="G52" s="18"/>
      <c r="H52" s="18"/>
      <c r="I52" s="19" t="e">
        <f t="shared" si="0"/>
        <v>#DIV/0!</v>
      </c>
    </row>
    <row r="53" spans="1:9" ht="16.8" customHeight="1" x14ac:dyDescent="0.25">
      <c r="A53" s="5" t="s">
        <v>240</v>
      </c>
      <c r="B53" s="5"/>
      <c r="C53" s="5"/>
      <c r="D53" s="21" t="s">
        <v>249</v>
      </c>
      <c r="E53" s="22"/>
      <c r="F53" s="23">
        <f>SUM(F5:F52)</f>
        <v>205.79999999999998</v>
      </c>
      <c r="G53" s="24"/>
      <c r="H53" s="23">
        <f>SUM(H5:H52)</f>
        <v>0</v>
      </c>
      <c r="I53" s="25">
        <f t="shared" si="0"/>
        <v>0</v>
      </c>
    </row>
  </sheetData>
  <mergeCells count="56">
    <mergeCell ref="A53:C53"/>
    <mergeCell ref="D53:E53"/>
    <mergeCell ref="D52:E52"/>
    <mergeCell ref="D46:E46"/>
    <mergeCell ref="D47:E47"/>
    <mergeCell ref="D48:E48"/>
    <mergeCell ref="D49:E49"/>
    <mergeCell ref="D50:E50"/>
    <mergeCell ref="D51:E51"/>
    <mergeCell ref="D43:E43"/>
    <mergeCell ref="D44:E44"/>
    <mergeCell ref="D45:E45"/>
    <mergeCell ref="D39:E39"/>
    <mergeCell ref="D40:E40"/>
    <mergeCell ref="D41:E41"/>
    <mergeCell ref="D42:E42"/>
    <mergeCell ref="D36:E36"/>
    <mergeCell ref="D37:E37"/>
    <mergeCell ref="D38:E38"/>
    <mergeCell ref="D33:E33"/>
    <mergeCell ref="D34:E34"/>
    <mergeCell ref="D35:E35"/>
    <mergeCell ref="D32:E32"/>
    <mergeCell ref="D30:E30"/>
    <mergeCell ref="D31:E31"/>
    <mergeCell ref="D26:E26"/>
    <mergeCell ref="D27:E27"/>
    <mergeCell ref="D28:E28"/>
    <mergeCell ref="D29:E29"/>
    <mergeCell ref="D24:E24"/>
    <mergeCell ref="D25:E25"/>
    <mergeCell ref="D21:E21"/>
    <mergeCell ref="D22:E22"/>
    <mergeCell ref="D23:E23"/>
    <mergeCell ref="D16:E16"/>
    <mergeCell ref="D17:E17"/>
    <mergeCell ref="D18:E18"/>
    <mergeCell ref="D19:E19"/>
    <mergeCell ref="D20:E20"/>
    <mergeCell ref="D14:E14"/>
    <mergeCell ref="D15:E15"/>
    <mergeCell ref="D13:E13"/>
    <mergeCell ref="D8:E8"/>
    <mergeCell ref="D9:E9"/>
    <mergeCell ref="D10:E10"/>
    <mergeCell ref="D11:E11"/>
    <mergeCell ref="D12:E12"/>
    <mergeCell ref="D7:E7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2180-44E2-4965-9389-14B4A5097A9C}">
  <dimension ref="A1:I62"/>
  <sheetViews>
    <sheetView zoomScaleNormal="100" workbookViewId="0">
      <selection activeCell="J13" sqref="J1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13</v>
      </c>
      <c r="C5" s="14" t="s">
        <v>14</v>
      </c>
      <c r="D5" s="15" t="s">
        <v>14</v>
      </c>
      <c r="E5" s="16" t="s">
        <v>14</v>
      </c>
      <c r="F5" s="17">
        <v>1.5</v>
      </c>
      <c r="G5" s="18"/>
      <c r="H5" s="18"/>
      <c r="I5" s="19">
        <f t="shared" ref="I5:I62" si="0">H5/F5</f>
        <v>0</v>
      </c>
    </row>
    <row r="6" spans="1:9" ht="15.6" customHeight="1" x14ac:dyDescent="0.25">
      <c r="A6" s="13">
        <v>2</v>
      </c>
      <c r="B6" s="14" t="s">
        <v>15</v>
      </c>
      <c r="C6" s="14" t="s">
        <v>16</v>
      </c>
      <c r="D6" s="15" t="s">
        <v>16</v>
      </c>
      <c r="E6" s="16" t="s">
        <v>16</v>
      </c>
      <c r="F6" s="17">
        <v>5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18</v>
      </c>
      <c r="E7" s="16" t="s">
        <v>18</v>
      </c>
      <c r="F7" s="17">
        <v>1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27</v>
      </c>
      <c r="C8" s="14" t="s">
        <v>28</v>
      </c>
      <c r="D8" s="15" t="s">
        <v>28</v>
      </c>
      <c r="E8" s="16" t="s">
        <v>28</v>
      </c>
      <c r="F8" s="17">
        <v>3.8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29</v>
      </c>
      <c r="C9" s="14" t="s">
        <v>30</v>
      </c>
      <c r="D9" s="15" t="s">
        <v>30</v>
      </c>
      <c r="E9" s="16" t="s">
        <v>30</v>
      </c>
      <c r="F9" s="17">
        <v>1.7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31</v>
      </c>
      <c r="C10" s="14" t="s">
        <v>32</v>
      </c>
      <c r="D10" s="15" t="s">
        <v>32</v>
      </c>
      <c r="E10" s="16" t="s">
        <v>32</v>
      </c>
      <c r="F10" s="17">
        <v>6.8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33</v>
      </c>
      <c r="C11" s="14" t="s">
        <v>34</v>
      </c>
      <c r="D11" s="15" t="s">
        <v>34</v>
      </c>
      <c r="E11" s="16" t="s">
        <v>34</v>
      </c>
      <c r="F11" s="17">
        <v>3.3</v>
      </c>
      <c r="G11" s="17"/>
      <c r="H11" s="17"/>
      <c r="I11" s="19">
        <f t="shared" si="0"/>
        <v>0</v>
      </c>
    </row>
    <row r="12" spans="1:9" ht="15.6" customHeight="1" x14ac:dyDescent="0.25">
      <c r="A12" s="13">
        <v>8</v>
      </c>
      <c r="B12" s="14" t="s">
        <v>35</v>
      </c>
      <c r="C12" s="14" t="s">
        <v>36</v>
      </c>
      <c r="D12" s="15" t="s">
        <v>36</v>
      </c>
      <c r="E12" s="16" t="s">
        <v>36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49</v>
      </c>
      <c r="C13" s="14" t="s">
        <v>50</v>
      </c>
      <c r="D13" s="15" t="s">
        <v>50</v>
      </c>
      <c r="E13" s="16" t="s">
        <v>50</v>
      </c>
      <c r="F13" s="17">
        <v>0</v>
      </c>
      <c r="G13" s="18"/>
      <c r="H13" s="18"/>
      <c r="I13" s="19" t="e">
        <f t="shared" si="0"/>
        <v>#DIV/0!</v>
      </c>
    </row>
    <row r="14" spans="1:9" ht="15.6" customHeight="1" x14ac:dyDescent="0.25">
      <c r="A14" s="13">
        <v>10</v>
      </c>
      <c r="B14" s="14" t="s">
        <v>51</v>
      </c>
      <c r="C14" s="14" t="s">
        <v>52</v>
      </c>
      <c r="D14" s="15" t="s">
        <v>52</v>
      </c>
      <c r="E14" s="16" t="s">
        <v>52</v>
      </c>
      <c r="F14" s="17">
        <v>0</v>
      </c>
      <c r="G14" s="17"/>
      <c r="H14" s="17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53</v>
      </c>
      <c r="C15" s="14" t="s">
        <v>54</v>
      </c>
      <c r="D15" s="15" t="s">
        <v>54</v>
      </c>
      <c r="E15" s="16" t="s">
        <v>54</v>
      </c>
      <c r="F15" s="17">
        <v>0</v>
      </c>
      <c r="G15" s="18"/>
      <c r="H15" s="18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55</v>
      </c>
      <c r="C16" s="14" t="s">
        <v>56</v>
      </c>
      <c r="D16" s="15" t="s">
        <v>56</v>
      </c>
      <c r="E16" s="16" t="s">
        <v>56</v>
      </c>
      <c r="F16" s="17">
        <v>1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57</v>
      </c>
      <c r="C17" s="14" t="s">
        <v>58</v>
      </c>
      <c r="D17" s="15" t="s">
        <v>58</v>
      </c>
      <c r="E17" s="16" t="s">
        <v>58</v>
      </c>
      <c r="F17" s="17">
        <v>2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59</v>
      </c>
      <c r="C18" s="14" t="s">
        <v>60</v>
      </c>
      <c r="D18" s="15" t="s">
        <v>60</v>
      </c>
      <c r="E18" s="16" t="s">
        <v>60</v>
      </c>
      <c r="F18" s="17">
        <v>0.5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61</v>
      </c>
      <c r="C19" s="14" t="s">
        <v>62</v>
      </c>
      <c r="D19" s="15" t="s">
        <v>62</v>
      </c>
      <c r="E19" s="16" t="s">
        <v>62</v>
      </c>
      <c r="F19" s="17">
        <v>0</v>
      </c>
      <c r="G19" s="18"/>
      <c r="H19" s="18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63</v>
      </c>
      <c r="C20" s="14" t="s">
        <v>64</v>
      </c>
      <c r="D20" s="15" t="s">
        <v>64</v>
      </c>
      <c r="E20" s="16" t="s">
        <v>64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65</v>
      </c>
      <c r="C21" s="14" t="s">
        <v>66</v>
      </c>
      <c r="D21" s="15" t="s">
        <v>66</v>
      </c>
      <c r="E21" s="16" t="s">
        <v>66</v>
      </c>
      <c r="F21" s="17">
        <v>1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81</v>
      </c>
      <c r="C22" s="14" t="s">
        <v>82</v>
      </c>
      <c r="D22" s="15" t="s">
        <v>82</v>
      </c>
      <c r="E22" s="16" t="s">
        <v>82</v>
      </c>
      <c r="F22" s="17">
        <v>0</v>
      </c>
      <c r="G22" s="18"/>
      <c r="H22" s="18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83</v>
      </c>
      <c r="C23" s="14" t="s">
        <v>84</v>
      </c>
      <c r="D23" s="15" t="s">
        <v>84</v>
      </c>
      <c r="E23" s="16" t="s">
        <v>84</v>
      </c>
      <c r="F23" s="17">
        <v>7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85</v>
      </c>
      <c r="C24" s="14" t="s">
        <v>86</v>
      </c>
      <c r="D24" s="15" t="s">
        <v>86</v>
      </c>
      <c r="E24" s="16" t="s">
        <v>86</v>
      </c>
      <c r="F24" s="17">
        <v>0.3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87</v>
      </c>
      <c r="C25" s="14" t="s">
        <v>88</v>
      </c>
      <c r="D25" s="15" t="s">
        <v>88</v>
      </c>
      <c r="E25" s="16" t="s">
        <v>88</v>
      </c>
      <c r="F25" s="17">
        <v>0</v>
      </c>
      <c r="G25" s="18"/>
      <c r="H25" s="18"/>
      <c r="I25" s="19" t="e">
        <f t="shared" si="0"/>
        <v>#DIV/0!</v>
      </c>
    </row>
    <row r="26" spans="1:9" ht="15.6" customHeight="1" x14ac:dyDescent="0.25">
      <c r="A26" s="13">
        <v>22</v>
      </c>
      <c r="B26" s="14" t="s">
        <v>89</v>
      </c>
      <c r="C26" s="14" t="s">
        <v>90</v>
      </c>
      <c r="D26" s="15" t="s">
        <v>90</v>
      </c>
      <c r="E26" s="16" t="s">
        <v>90</v>
      </c>
      <c r="F26" s="17">
        <v>0</v>
      </c>
      <c r="G26" s="18"/>
      <c r="H26" s="18"/>
      <c r="I26" s="19" t="e">
        <f t="shared" si="0"/>
        <v>#DIV/0!</v>
      </c>
    </row>
    <row r="27" spans="1:9" ht="15.6" customHeight="1" x14ac:dyDescent="0.25">
      <c r="A27" s="13">
        <v>23</v>
      </c>
      <c r="B27" s="14" t="s">
        <v>91</v>
      </c>
      <c r="C27" s="14" t="s">
        <v>92</v>
      </c>
      <c r="D27" s="15" t="s">
        <v>92</v>
      </c>
      <c r="E27" s="16" t="s">
        <v>92</v>
      </c>
      <c r="F27" s="17">
        <v>1.2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107</v>
      </c>
      <c r="C28" s="14" t="s">
        <v>108</v>
      </c>
      <c r="D28" s="15" t="s">
        <v>108</v>
      </c>
      <c r="E28" s="16" t="s">
        <v>108</v>
      </c>
      <c r="F28" s="17">
        <v>0</v>
      </c>
      <c r="G28" s="18"/>
      <c r="H28" s="18"/>
      <c r="I28" s="19" t="e">
        <f t="shared" si="0"/>
        <v>#DIV/0!</v>
      </c>
    </row>
    <row r="29" spans="1:9" ht="15.6" customHeight="1" x14ac:dyDescent="0.25">
      <c r="A29" s="13">
        <v>25</v>
      </c>
      <c r="B29" s="14" t="s">
        <v>109</v>
      </c>
      <c r="C29" s="14" t="s">
        <v>110</v>
      </c>
      <c r="D29" s="15" t="s">
        <v>110</v>
      </c>
      <c r="E29" s="16" t="s">
        <v>110</v>
      </c>
      <c r="F29" s="17">
        <v>0.5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111</v>
      </c>
      <c r="C30" s="14" t="s">
        <v>112</v>
      </c>
      <c r="D30" s="15" t="s">
        <v>112</v>
      </c>
      <c r="E30" s="16" t="s">
        <v>112</v>
      </c>
      <c r="F30" s="17">
        <v>5.6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113</v>
      </c>
      <c r="C31" s="14" t="s">
        <v>114</v>
      </c>
      <c r="D31" s="15" t="s">
        <v>114</v>
      </c>
      <c r="E31" s="16" t="s">
        <v>114</v>
      </c>
      <c r="F31" s="17">
        <v>2.5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115</v>
      </c>
      <c r="C32" s="14" t="s">
        <v>116</v>
      </c>
      <c r="D32" s="15" t="s">
        <v>116</v>
      </c>
      <c r="E32" s="16" t="s">
        <v>116</v>
      </c>
      <c r="F32" s="17">
        <v>2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117</v>
      </c>
      <c r="C33" s="14" t="s">
        <v>118</v>
      </c>
      <c r="D33" s="15" t="s">
        <v>118</v>
      </c>
      <c r="E33" s="16" t="s">
        <v>118</v>
      </c>
      <c r="F33" s="17">
        <v>2.1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119</v>
      </c>
      <c r="C34" s="14" t="s">
        <v>120</v>
      </c>
      <c r="D34" s="15" t="s">
        <v>120</v>
      </c>
      <c r="E34" s="16" t="s">
        <v>120</v>
      </c>
      <c r="F34" s="17">
        <v>5.6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129</v>
      </c>
      <c r="C35" s="14" t="s">
        <v>130</v>
      </c>
      <c r="D35" s="15" t="s">
        <v>130</v>
      </c>
      <c r="E35" s="16" t="s">
        <v>130</v>
      </c>
      <c r="F35" s="17">
        <v>3.2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131</v>
      </c>
      <c r="C36" s="14" t="s">
        <v>132</v>
      </c>
      <c r="D36" s="15" t="s">
        <v>132</v>
      </c>
      <c r="E36" s="16" t="s">
        <v>132</v>
      </c>
      <c r="F36" s="17">
        <v>0</v>
      </c>
      <c r="G36" s="18"/>
      <c r="H36" s="18"/>
      <c r="I36" s="19" t="e">
        <f t="shared" si="0"/>
        <v>#DIV/0!</v>
      </c>
    </row>
    <row r="37" spans="1:9" ht="15.6" customHeight="1" x14ac:dyDescent="0.25">
      <c r="A37" s="13">
        <v>33</v>
      </c>
      <c r="B37" s="14" t="s">
        <v>133</v>
      </c>
      <c r="C37" s="14" t="s">
        <v>134</v>
      </c>
      <c r="D37" s="15" t="s">
        <v>134</v>
      </c>
      <c r="E37" s="16" t="s">
        <v>134</v>
      </c>
      <c r="F37" s="17">
        <v>1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135</v>
      </c>
      <c r="C38" s="14" t="s">
        <v>136</v>
      </c>
      <c r="D38" s="15" t="s">
        <v>136</v>
      </c>
      <c r="E38" s="16" t="s">
        <v>136</v>
      </c>
      <c r="F38" s="17">
        <v>0</v>
      </c>
      <c r="G38" s="18"/>
      <c r="H38" s="18"/>
      <c r="I38" s="19" t="e">
        <f t="shared" si="0"/>
        <v>#DIV/0!</v>
      </c>
    </row>
    <row r="39" spans="1:9" ht="15.6" customHeight="1" x14ac:dyDescent="0.25">
      <c r="A39" s="13">
        <v>35</v>
      </c>
      <c r="B39" s="14" t="s">
        <v>137</v>
      </c>
      <c r="C39" s="14" t="s">
        <v>138</v>
      </c>
      <c r="D39" s="15" t="s">
        <v>138</v>
      </c>
      <c r="E39" s="16" t="s">
        <v>138</v>
      </c>
      <c r="F39" s="17">
        <v>0</v>
      </c>
      <c r="G39" s="18"/>
      <c r="H39" s="18"/>
      <c r="I39" s="19" t="e">
        <f t="shared" si="0"/>
        <v>#DIV/0!</v>
      </c>
    </row>
    <row r="40" spans="1:9" ht="15.6" customHeight="1" x14ac:dyDescent="0.25">
      <c r="A40" s="13">
        <v>36</v>
      </c>
      <c r="B40" s="14" t="s">
        <v>145</v>
      </c>
      <c r="C40" s="14" t="s">
        <v>146</v>
      </c>
      <c r="D40" s="15" t="s">
        <v>146</v>
      </c>
      <c r="E40" s="16" t="s">
        <v>146</v>
      </c>
      <c r="F40" s="17">
        <v>2.1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147</v>
      </c>
      <c r="C41" s="14" t="s">
        <v>148</v>
      </c>
      <c r="D41" s="15" t="s">
        <v>148</v>
      </c>
      <c r="E41" s="16" t="s">
        <v>148</v>
      </c>
      <c r="F41" s="17">
        <v>2.6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149</v>
      </c>
      <c r="C42" s="14" t="s">
        <v>150</v>
      </c>
      <c r="D42" s="15" t="s">
        <v>150</v>
      </c>
      <c r="E42" s="16" t="s">
        <v>150</v>
      </c>
      <c r="F42" s="17">
        <v>1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151</v>
      </c>
      <c r="C43" s="14" t="s">
        <v>152</v>
      </c>
      <c r="D43" s="15" t="s">
        <v>152</v>
      </c>
      <c r="E43" s="16" t="s">
        <v>152</v>
      </c>
      <c r="F43" s="17">
        <v>5.2</v>
      </c>
      <c r="G43" s="18"/>
      <c r="H43" s="18"/>
      <c r="I43" s="19">
        <f t="shared" si="0"/>
        <v>0</v>
      </c>
    </row>
    <row r="44" spans="1:9" ht="15.6" customHeight="1" x14ac:dyDescent="0.25">
      <c r="A44" s="13">
        <v>40</v>
      </c>
      <c r="B44" s="14" t="s">
        <v>153</v>
      </c>
      <c r="C44" s="14" t="s">
        <v>154</v>
      </c>
      <c r="D44" s="15" t="s">
        <v>154</v>
      </c>
      <c r="E44" s="16" t="s">
        <v>154</v>
      </c>
      <c r="F44" s="17">
        <v>1</v>
      </c>
      <c r="G44" s="18"/>
      <c r="H44" s="18"/>
      <c r="I44" s="19">
        <f t="shared" si="0"/>
        <v>0</v>
      </c>
    </row>
    <row r="45" spans="1:9" ht="15.6" customHeight="1" x14ac:dyDescent="0.25">
      <c r="A45" s="13">
        <v>41</v>
      </c>
      <c r="B45" s="14" t="s">
        <v>155</v>
      </c>
      <c r="C45" s="14" t="s">
        <v>156</v>
      </c>
      <c r="D45" s="15" t="s">
        <v>156</v>
      </c>
      <c r="E45" s="16" t="s">
        <v>156</v>
      </c>
      <c r="F45" s="17">
        <v>1</v>
      </c>
      <c r="G45" s="18"/>
      <c r="H45" s="18"/>
      <c r="I45" s="19">
        <f t="shared" si="0"/>
        <v>0</v>
      </c>
    </row>
    <row r="46" spans="1:9" ht="15.6" customHeight="1" x14ac:dyDescent="0.25">
      <c r="A46" s="13">
        <v>42</v>
      </c>
      <c r="B46" s="14" t="s">
        <v>163</v>
      </c>
      <c r="C46" s="14" t="s">
        <v>164</v>
      </c>
      <c r="D46" s="15" t="s">
        <v>165</v>
      </c>
      <c r="E46" s="16" t="s">
        <v>165</v>
      </c>
      <c r="F46" s="17">
        <v>0.5</v>
      </c>
      <c r="G46" s="18"/>
      <c r="H46" s="18"/>
      <c r="I46" s="19">
        <f t="shared" si="0"/>
        <v>0</v>
      </c>
    </row>
    <row r="47" spans="1:9" ht="15.6" customHeight="1" x14ac:dyDescent="0.25">
      <c r="A47" s="13">
        <v>43</v>
      </c>
      <c r="B47" s="14" t="s">
        <v>166</v>
      </c>
      <c r="C47" s="14" t="s">
        <v>167</v>
      </c>
      <c r="D47" s="15" t="s">
        <v>165</v>
      </c>
      <c r="E47" s="16" t="s">
        <v>165</v>
      </c>
      <c r="F47" s="17">
        <v>0.5</v>
      </c>
      <c r="G47" s="18"/>
      <c r="H47" s="18"/>
      <c r="I47" s="19">
        <f t="shared" si="0"/>
        <v>0</v>
      </c>
    </row>
    <row r="48" spans="1:9" ht="15.6" customHeight="1" x14ac:dyDescent="0.25">
      <c r="A48" s="13">
        <v>44</v>
      </c>
      <c r="B48" s="14" t="s">
        <v>170</v>
      </c>
      <c r="C48" s="14" t="s">
        <v>169</v>
      </c>
      <c r="D48" s="15" t="s">
        <v>165</v>
      </c>
      <c r="E48" s="16" t="s">
        <v>165</v>
      </c>
      <c r="F48" s="17">
        <v>0.5</v>
      </c>
      <c r="G48" s="18"/>
      <c r="H48" s="18"/>
      <c r="I48" s="19">
        <f t="shared" si="0"/>
        <v>0</v>
      </c>
    </row>
    <row r="49" spans="1:9" ht="15.6" customHeight="1" x14ac:dyDescent="0.25">
      <c r="A49" s="13">
        <v>45</v>
      </c>
      <c r="B49" s="14" t="s">
        <v>173</v>
      </c>
      <c r="C49" s="14" t="s">
        <v>174</v>
      </c>
      <c r="D49" s="15" t="s">
        <v>165</v>
      </c>
      <c r="E49" s="16" t="s">
        <v>165</v>
      </c>
      <c r="F49" s="17">
        <v>0.5</v>
      </c>
      <c r="G49" s="18"/>
      <c r="H49" s="18"/>
      <c r="I49" s="19">
        <f t="shared" si="0"/>
        <v>0</v>
      </c>
    </row>
    <row r="50" spans="1:9" ht="15.6" customHeight="1" x14ac:dyDescent="0.25">
      <c r="A50" s="13">
        <v>46</v>
      </c>
      <c r="B50" s="14" t="s">
        <v>177</v>
      </c>
      <c r="C50" s="14" t="s">
        <v>178</v>
      </c>
      <c r="D50" s="15" t="s">
        <v>165</v>
      </c>
      <c r="E50" s="16" t="s">
        <v>165</v>
      </c>
      <c r="F50" s="17">
        <v>0.5</v>
      </c>
      <c r="G50" s="18"/>
      <c r="H50" s="18"/>
      <c r="I50" s="19">
        <f t="shared" si="0"/>
        <v>0</v>
      </c>
    </row>
    <row r="51" spans="1:9" ht="15.6" customHeight="1" x14ac:dyDescent="0.25">
      <c r="A51" s="13">
        <v>47</v>
      </c>
      <c r="B51" s="14" t="s">
        <v>179</v>
      </c>
      <c r="C51" s="14" t="s">
        <v>180</v>
      </c>
      <c r="D51" s="15" t="s">
        <v>181</v>
      </c>
      <c r="E51" s="16" t="s">
        <v>181</v>
      </c>
      <c r="F51" s="17">
        <v>1.5</v>
      </c>
      <c r="G51" s="18"/>
      <c r="H51" s="18"/>
      <c r="I51" s="19">
        <f t="shared" si="0"/>
        <v>0</v>
      </c>
    </row>
    <row r="52" spans="1:9" ht="15.6" customHeight="1" x14ac:dyDescent="0.25">
      <c r="A52" s="13">
        <v>48</v>
      </c>
      <c r="B52" s="14" t="s">
        <v>184</v>
      </c>
      <c r="C52" s="14" t="s">
        <v>185</v>
      </c>
      <c r="D52" s="15" t="s">
        <v>165</v>
      </c>
      <c r="E52" s="16" t="s">
        <v>165</v>
      </c>
      <c r="F52" s="17">
        <v>0.5</v>
      </c>
      <c r="G52" s="18"/>
      <c r="H52" s="18"/>
      <c r="I52" s="19">
        <f t="shared" si="0"/>
        <v>0</v>
      </c>
    </row>
    <row r="53" spans="1:9" ht="15.6" customHeight="1" x14ac:dyDescent="0.25">
      <c r="A53" s="13">
        <v>49</v>
      </c>
      <c r="B53" s="14" t="s">
        <v>192</v>
      </c>
      <c r="C53" s="14" t="s">
        <v>193</v>
      </c>
      <c r="D53" s="15" t="s">
        <v>165</v>
      </c>
      <c r="E53" s="16" t="s">
        <v>165</v>
      </c>
      <c r="F53" s="17">
        <v>0</v>
      </c>
      <c r="G53" s="18"/>
      <c r="H53" s="18"/>
      <c r="I53" s="19" t="e">
        <f t="shared" si="0"/>
        <v>#DIV/0!</v>
      </c>
    </row>
    <row r="54" spans="1:9" ht="15.6" customHeight="1" x14ac:dyDescent="0.25">
      <c r="A54" s="13">
        <v>50</v>
      </c>
      <c r="B54" s="14" t="s">
        <v>194</v>
      </c>
      <c r="C54" s="14" t="s">
        <v>195</v>
      </c>
      <c r="D54" s="15" t="s">
        <v>165</v>
      </c>
      <c r="E54" s="16" t="s">
        <v>165</v>
      </c>
      <c r="F54" s="17">
        <v>0</v>
      </c>
      <c r="G54" s="18"/>
      <c r="H54" s="18"/>
      <c r="I54" s="19" t="e">
        <f t="shared" si="0"/>
        <v>#DIV/0!</v>
      </c>
    </row>
    <row r="55" spans="1:9" ht="15.6" customHeight="1" x14ac:dyDescent="0.25">
      <c r="A55" s="13">
        <v>51</v>
      </c>
      <c r="B55" s="14" t="s">
        <v>196</v>
      </c>
      <c r="C55" s="14" t="s">
        <v>197</v>
      </c>
      <c r="D55" s="15" t="s">
        <v>165</v>
      </c>
      <c r="E55" s="16" t="s">
        <v>165</v>
      </c>
      <c r="F55" s="17">
        <v>0</v>
      </c>
      <c r="G55" s="18"/>
      <c r="H55" s="18"/>
      <c r="I55" s="19" t="e">
        <f t="shared" si="0"/>
        <v>#DIV/0!</v>
      </c>
    </row>
    <row r="56" spans="1:9" ht="15.6" customHeight="1" x14ac:dyDescent="0.25">
      <c r="A56" s="13">
        <v>52</v>
      </c>
      <c r="B56" s="14" t="s">
        <v>218</v>
      </c>
      <c r="C56" s="14" t="s">
        <v>219</v>
      </c>
      <c r="D56" s="15" t="s">
        <v>165</v>
      </c>
      <c r="E56" s="16" t="s">
        <v>165</v>
      </c>
      <c r="F56" s="17">
        <v>3.1</v>
      </c>
      <c r="G56" s="18"/>
      <c r="H56" s="18"/>
      <c r="I56" s="19">
        <f t="shared" si="0"/>
        <v>0</v>
      </c>
    </row>
    <row r="57" spans="1:9" ht="15.6" customHeight="1" x14ac:dyDescent="0.25">
      <c r="A57" s="13">
        <v>53</v>
      </c>
      <c r="B57" s="14" t="s">
        <v>220</v>
      </c>
      <c r="C57" s="14" t="s">
        <v>221</v>
      </c>
      <c r="D57" s="15" t="s">
        <v>165</v>
      </c>
      <c r="E57" s="16" t="s">
        <v>165</v>
      </c>
      <c r="F57" s="17">
        <v>4</v>
      </c>
      <c r="G57" s="18"/>
      <c r="H57" s="18"/>
      <c r="I57" s="19">
        <f t="shared" si="0"/>
        <v>0</v>
      </c>
    </row>
    <row r="58" spans="1:9" ht="15.6" customHeight="1" x14ac:dyDescent="0.25">
      <c r="A58" s="13">
        <v>54</v>
      </c>
      <c r="B58" s="14" t="s">
        <v>230</v>
      </c>
      <c r="C58" s="14" t="s">
        <v>231</v>
      </c>
      <c r="D58" s="15" t="s">
        <v>165</v>
      </c>
      <c r="E58" s="16" t="s">
        <v>165</v>
      </c>
      <c r="F58" s="17">
        <v>0</v>
      </c>
      <c r="G58" s="18"/>
      <c r="H58" s="18"/>
      <c r="I58" s="19" t="e">
        <f t="shared" si="0"/>
        <v>#DIV/0!</v>
      </c>
    </row>
    <row r="59" spans="1:9" ht="15.6" customHeight="1" x14ac:dyDescent="0.25">
      <c r="A59" s="13">
        <v>55</v>
      </c>
      <c r="B59" s="14" t="s">
        <v>234</v>
      </c>
      <c r="C59" s="14" t="s">
        <v>235</v>
      </c>
      <c r="D59" s="15"/>
      <c r="E59" s="16"/>
      <c r="F59" s="17">
        <v>0</v>
      </c>
      <c r="G59" s="18"/>
      <c r="H59" s="18"/>
      <c r="I59" s="19" t="e">
        <f t="shared" si="0"/>
        <v>#DIV/0!</v>
      </c>
    </row>
    <row r="60" spans="1:9" ht="15.6" customHeight="1" x14ac:dyDescent="0.25">
      <c r="A60" s="13">
        <v>56</v>
      </c>
      <c r="B60" s="14" t="s">
        <v>236</v>
      </c>
      <c r="C60" s="14" t="s">
        <v>237</v>
      </c>
      <c r="D60" s="15"/>
      <c r="E60" s="16"/>
      <c r="F60" s="17">
        <v>0</v>
      </c>
      <c r="G60" s="18"/>
      <c r="H60" s="18"/>
      <c r="I60" s="19" t="e">
        <f t="shared" si="0"/>
        <v>#DIV/0!</v>
      </c>
    </row>
    <row r="61" spans="1:9" ht="15.6" customHeight="1" x14ac:dyDescent="0.25">
      <c r="A61" s="13">
        <v>57</v>
      </c>
      <c r="B61" s="14" t="s">
        <v>238</v>
      </c>
      <c r="C61" s="14" t="s">
        <v>239</v>
      </c>
      <c r="D61" s="15"/>
      <c r="E61" s="16"/>
      <c r="F61" s="17">
        <v>0</v>
      </c>
      <c r="G61" s="18"/>
      <c r="H61" s="18"/>
      <c r="I61" s="19" t="e">
        <f t="shared" si="0"/>
        <v>#DIV/0!</v>
      </c>
    </row>
    <row r="62" spans="1:9" ht="16.8" customHeight="1" x14ac:dyDescent="0.25">
      <c r="A62" s="5" t="s">
        <v>240</v>
      </c>
      <c r="B62" s="5"/>
      <c r="C62" s="5"/>
      <c r="D62" s="21" t="s">
        <v>250</v>
      </c>
      <c r="E62" s="22"/>
      <c r="F62" s="23">
        <f>SUM(F5:F61)</f>
        <v>83.100000000000009</v>
      </c>
      <c r="G62" s="24"/>
      <c r="H62" s="23">
        <f>SUM(H5:H61)</f>
        <v>0</v>
      </c>
      <c r="I62" s="25">
        <f t="shared" si="0"/>
        <v>0</v>
      </c>
    </row>
  </sheetData>
  <mergeCells count="65">
    <mergeCell ref="D59:E59"/>
    <mergeCell ref="D60:E60"/>
    <mergeCell ref="D61:E61"/>
    <mergeCell ref="A62:C62"/>
    <mergeCell ref="D62:E62"/>
    <mergeCell ref="D56:E56"/>
    <mergeCell ref="D57:E57"/>
    <mergeCell ref="D58:E58"/>
    <mergeCell ref="D53:E53"/>
    <mergeCell ref="D54:E54"/>
    <mergeCell ref="D55:E55"/>
    <mergeCell ref="D51:E51"/>
    <mergeCell ref="D52:E52"/>
    <mergeCell ref="D48:E48"/>
    <mergeCell ref="D49:E49"/>
    <mergeCell ref="D50:E50"/>
    <mergeCell ref="D45:E45"/>
    <mergeCell ref="D46:E46"/>
    <mergeCell ref="D47:E47"/>
    <mergeCell ref="D40:E40"/>
    <mergeCell ref="D41:E41"/>
    <mergeCell ref="D42:E42"/>
    <mergeCell ref="D43:E43"/>
    <mergeCell ref="D44:E44"/>
    <mergeCell ref="D36:E36"/>
    <mergeCell ref="D37:E37"/>
    <mergeCell ref="D38:E38"/>
    <mergeCell ref="D39:E39"/>
    <mergeCell ref="D34:E34"/>
    <mergeCell ref="D35:E35"/>
    <mergeCell ref="D28:E28"/>
    <mergeCell ref="D29:E29"/>
    <mergeCell ref="D30:E30"/>
    <mergeCell ref="D31:E31"/>
    <mergeCell ref="D32:E32"/>
    <mergeCell ref="D33:E33"/>
    <mergeCell ref="D23:E23"/>
    <mergeCell ref="D24:E24"/>
    <mergeCell ref="D25:E25"/>
    <mergeCell ref="D26:E26"/>
    <mergeCell ref="D27:E27"/>
    <mergeCell ref="D22:E22"/>
    <mergeCell ref="D18:E18"/>
    <mergeCell ref="D19:E19"/>
    <mergeCell ref="D20:E20"/>
    <mergeCell ref="D21:E21"/>
    <mergeCell ref="D13:E13"/>
    <mergeCell ref="D14:E14"/>
    <mergeCell ref="D15:E15"/>
    <mergeCell ref="D16:E16"/>
    <mergeCell ref="D17:E17"/>
    <mergeCell ref="D12:E12"/>
    <mergeCell ref="D8:E8"/>
    <mergeCell ref="D9:E9"/>
    <mergeCell ref="D10:E10"/>
    <mergeCell ref="D11:E11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BA0C-264C-46A1-8E0F-AE82CA9F33DA}">
  <dimension ref="A1:I16"/>
  <sheetViews>
    <sheetView zoomScaleNormal="100" workbookViewId="0">
      <selection activeCell="D21" sqref="D2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12</v>
      </c>
      <c r="E5" s="16" t="s">
        <v>12</v>
      </c>
      <c r="F5" s="17">
        <v>27.8</v>
      </c>
      <c r="G5" s="18"/>
      <c r="H5" s="18"/>
      <c r="I5" s="19">
        <f t="shared" ref="I5:I16" si="0">H5/F5</f>
        <v>0</v>
      </c>
    </row>
    <row r="6" spans="1:9" ht="15.6" customHeight="1" x14ac:dyDescent="0.25">
      <c r="A6" s="13">
        <v>2</v>
      </c>
      <c r="B6" s="14" t="s">
        <v>25</v>
      </c>
      <c r="C6" s="14" t="s">
        <v>26</v>
      </c>
      <c r="D6" s="15" t="s">
        <v>26</v>
      </c>
      <c r="E6" s="16" t="s">
        <v>26</v>
      </c>
      <c r="F6" s="17">
        <v>5.2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93</v>
      </c>
      <c r="C7" s="14" t="s">
        <v>94</v>
      </c>
      <c r="D7" s="15" t="s">
        <v>94</v>
      </c>
      <c r="E7" s="16" t="s">
        <v>94</v>
      </c>
      <c r="F7" s="17">
        <v>11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95</v>
      </c>
      <c r="C8" s="14" t="s">
        <v>96</v>
      </c>
      <c r="D8" s="15" t="s">
        <v>96</v>
      </c>
      <c r="E8" s="16" t="s">
        <v>96</v>
      </c>
      <c r="F8" s="17">
        <v>6.1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97</v>
      </c>
      <c r="C9" s="14" t="s">
        <v>98</v>
      </c>
      <c r="D9" s="15" t="s">
        <v>98</v>
      </c>
      <c r="E9" s="16" t="s">
        <v>98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105</v>
      </c>
      <c r="C10" s="14" t="s">
        <v>106</v>
      </c>
      <c r="D10" s="15" t="s">
        <v>106</v>
      </c>
      <c r="E10" s="16" t="s">
        <v>106</v>
      </c>
      <c r="F10" s="17">
        <v>17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121</v>
      </c>
      <c r="C11" s="14" t="s">
        <v>122</v>
      </c>
      <c r="D11" s="15" t="s">
        <v>122</v>
      </c>
      <c r="E11" s="16" t="s">
        <v>122</v>
      </c>
      <c r="F11" s="17">
        <v>2.1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179</v>
      </c>
      <c r="C12" s="14" t="s">
        <v>180</v>
      </c>
      <c r="D12" s="15" t="s">
        <v>181</v>
      </c>
      <c r="E12" s="16" t="s">
        <v>181</v>
      </c>
      <c r="F12" s="17">
        <v>1.5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225</v>
      </c>
      <c r="C13" s="14" t="s">
        <v>226</v>
      </c>
      <c r="D13" s="15" t="s">
        <v>227</v>
      </c>
      <c r="E13" s="16" t="s">
        <v>227</v>
      </c>
      <c r="F13" s="17">
        <v>20.100000000000001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228</v>
      </c>
      <c r="C14" s="14" t="s">
        <v>229</v>
      </c>
      <c r="D14" s="15" t="s">
        <v>227</v>
      </c>
      <c r="E14" s="16" t="s">
        <v>227</v>
      </c>
      <c r="F14" s="17">
        <v>11.6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232</v>
      </c>
      <c r="C15" s="14" t="s">
        <v>233</v>
      </c>
      <c r="D15" s="15"/>
      <c r="E15" s="16"/>
      <c r="F15" s="17">
        <v>4.7</v>
      </c>
      <c r="G15" s="18"/>
      <c r="H15" s="18"/>
      <c r="I15" s="19">
        <f t="shared" si="0"/>
        <v>0</v>
      </c>
    </row>
    <row r="16" spans="1:9" ht="16.8" customHeight="1" x14ac:dyDescent="0.25">
      <c r="A16" s="5" t="s">
        <v>240</v>
      </c>
      <c r="B16" s="5"/>
      <c r="C16" s="5"/>
      <c r="D16" s="21" t="s">
        <v>251</v>
      </c>
      <c r="E16" s="22"/>
      <c r="F16" s="23">
        <f>SUM(F5:F15)</f>
        <v>107.09999999999998</v>
      </c>
      <c r="G16" s="24"/>
      <c r="H16" s="23">
        <f>SUM(H5:H15)</f>
        <v>0</v>
      </c>
      <c r="I16" s="25">
        <f t="shared" si="0"/>
        <v>0</v>
      </c>
    </row>
  </sheetData>
  <mergeCells count="19">
    <mergeCell ref="D15:E15"/>
    <mergeCell ref="A16:C16"/>
    <mergeCell ref="D16:E16"/>
    <mergeCell ref="D13:E13"/>
    <mergeCell ref="D14:E14"/>
    <mergeCell ref="D12:E12"/>
    <mergeCell ref="D11:E11"/>
    <mergeCell ref="D8:E8"/>
    <mergeCell ref="D9:E9"/>
    <mergeCell ref="D10:E10"/>
    <mergeCell ref="D7:E7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2E83-9392-473C-A940-1CC64DAD6A6E}">
  <dimension ref="A2:I8"/>
  <sheetViews>
    <sheetView tabSelected="1" zoomScaleNormal="100" workbookViewId="0">
      <selection activeCell="C17" sqref="C1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242</v>
      </c>
    </row>
    <row r="4" spans="1:9" s="27" customFormat="1" ht="17.399999999999999" customHeight="1" x14ac:dyDescent="0.25">
      <c r="A4" s="5" t="s">
        <v>1</v>
      </c>
      <c r="B4" s="26" t="s">
        <v>2</v>
      </c>
      <c r="C4" s="26"/>
      <c r="D4" s="7" t="s">
        <v>3</v>
      </c>
      <c r="E4" s="8"/>
      <c r="F4" s="26" t="s">
        <v>243</v>
      </c>
      <c r="G4" s="6" t="s">
        <v>5</v>
      </c>
      <c r="H4" s="5" t="s">
        <v>6</v>
      </c>
      <c r="I4" s="5"/>
    </row>
    <row r="5" spans="1:9" s="27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6"/>
      <c r="G5" s="6"/>
      <c r="H5" s="10" t="s">
        <v>9</v>
      </c>
      <c r="I5" s="10" t="s">
        <v>10</v>
      </c>
    </row>
    <row r="6" spans="1:9" ht="16.2" customHeight="1" x14ac:dyDescent="0.25">
      <c r="A6" s="28">
        <v>1</v>
      </c>
      <c r="B6" s="29" t="s">
        <v>244</v>
      </c>
      <c r="C6" s="30" t="s">
        <v>245</v>
      </c>
      <c r="D6" s="31" t="s">
        <v>245</v>
      </c>
      <c r="E6" s="32" t="s">
        <v>245</v>
      </c>
      <c r="F6" s="33">
        <v>0.8</v>
      </c>
      <c r="G6" s="18"/>
      <c r="H6" s="18"/>
      <c r="I6" s="19">
        <f>H6/F6</f>
        <v>0</v>
      </c>
    </row>
    <row r="7" spans="1:9" ht="16.2" customHeight="1" x14ac:dyDescent="0.25">
      <c r="A7" s="28">
        <v>2</v>
      </c>
      <c r="B7" s="29" t="s">
        <v>246</v>
      </c>
      <c r="C7" s="34" t="s">
        <v>247</v>
      </c>
      <c r="D7" s="31" t="s">
        <v>247</v>
      </c>
      <c r="E7" s="32" t="s">
        <v>247</v>
      </c>
      <c r="F7" s="33">
        <v>1.5</v>
      </c>
      <c r="G7" s="18"/>
      <c r="H7" s="18"/>
      <c r="I7" s="19">
        <f>H7/F7</f>
        <v>0</v>
      </c>
    </row>
    <row r="8" spans="1:9" ht="16.8" customHeight="1" x14ac:dyDescent="0.25">
      <c r="A8" s="5" t="s">
        <v>240</v>
      </c>
      <c r="B8" s="5"/>
      <c r="C8" s="5"/>
      <c r="D8" s="5" t="s">
        <v>248</v>
      </c>
      <c r="E8" s="5"/>
      <c r="F8" s="23">
        <f>SUM(F6:F7)</f>
        <v>2.2999999999999998</v>
      </c>
      <c r="G8" s="24"/>
      <c r="H8" s="23">
        <f>SUM(H6:H7)</f>
        <v>0</v>
      </c>
      <c r="I8" s="25">
        <f>H8/F8</f>
        <v>0</v>
      </c>
    </row>
  </sheetData>
  <mergeCells count="10">
    <mergeCell ref="D6:E6"/>
    <mergeCell ref="D7:E7"/>
    <mergeCell ref="A8:C8"/>
    <mergeCell ref="D8:E8"/>
    <mergeCell ref="A4:A5"/>
    <mergeCell ref="B4:C4"/>
    <mergeCell ref="D4:E5"/>
    <mergeCell ref="F4:F5"/>
    <mergeCell ref="G4:G5"/>
    <mergeCell ref="H4:I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Inv__Ujitjes_Tirane</vt:lpstr>
      <vt:lpstr>Rezevuar</vt:lpstr>
      <vt:lpstr>Stacion Pompimi</vt:lpstr>
      <vt:lpstr>Lume &amp; Burime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2026-10-07T11:55:24Z</dcterms:created>
  <dcterms:modified xsi:type="dcterms:W3CDTF">2026-10-07T12:02:34Z</dcterms:modified>
</cp:coreProperties>
</file>