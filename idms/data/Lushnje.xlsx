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38FB22D9-338E-4651-8D6C-DA7B1046492E}" xr6:coauthVersionLast="47" xr6:coauthVersionMax="47" xr10:uidLastSave="{00000000-0000-0000-0000-000000000000}"/>
  <bookViews>
    <workbookView xWindow="-28920" yWindow="-1470" windowWidth="29040" windowHeight="15720" activeTab="3" xr2:uid="{F8C8D8DA-50A8-40FF-A32C-A7628D72FC2C}"/>
  </bookViews>
  <sheets>
    <sheet name="Inv__Ujitjes_Lushnje" sheetId="1" r:id="rId1"/>
    <sheet name="Rezervuar" sheetId="2" r:id="rId2"/>
    <sheet name="Stacion Pompimi" sheetId="3" r:id="rId3"/>
    <sheet name="Skema Pjeserisht te transferuar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4" l="1"/>
  <c r="F7" i="4"/>
  <c r="I6" i="4"/>
  <c r="H16" i="3"/>
  <c r="F16" i="3"/>
  <c r="I15" i="3"/>
  <c r="I10" i="3"/>
  <c r="I9" i="3"/>
  <c r="I8" i="3"/>
  <c r="I7" i="3"/>
  <c r="I6" i="3"/>
  <c r="I5" i="3"/>
  <c r="H21" i="2"/>
  <c r="F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39" i="1"/>
  <c r="I39" i="1" s="1"/>
  <c r="F39" i="1"/>
  <c r="I38" i="1"/>
  <c r="H32" i="1"/>
  <c r="F32" i="1"/>
  <c r="I31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7" i="4" l="1"/>
  <c r="I32" i="1"/>
  <c r="I16" i="3"/>
  <c r="I21" i="2"/>
</calcChain>
</file>

<file path=xl/sharedStrings.xml><?xml version="1.0" encoding="utf-8"?>
<sst xmlns="http://schemas.openxmlformats.org/spreadsheetml/2006/main" count="229" uniqueCount="82">
  <si>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</si>
  <si>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</si>
  <si>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</si>
  <si>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</si>
  <si>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</si>
  <si>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</si>
  <si>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</si>
  <si>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</si>
  <si>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</si>
  <si>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</si>
  <si>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</si>
  <si>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LUU 1 -2</t>
  </si>
  <si>
    <t>Rezervuari Kasharajt</t>
  </si>
  <si>
    <t>Rezervuar</t>
  </si>
  <si>
    <t>LUU 4-1</t>
  </si>
  <si>
    <t>Rezervuari I Pajallise</t>
  </si>
  <si>
    <t>LUU 4-2</t>
  </si>
  <si>
    <t>Rezervuari I Manasufajt</t>
  </si>
  <si>
    <t>LUU 4-3</t>
  </si>
  <si>
    <t>Rezervuari I Shegasit</t>
  </si>
  <si>
    <t>LUU 4-4</t>
  </si>
  <si>
    <t>Rezervuari Dushkut</t>
  </si>
  <si>
    <t>LUU 4-5</t>
  </si>
  <si>
    <t>Rezervuari Ballaj</t>
  </si>
  <si>
    <t>LUU 4-6</t>
  </si>
  <si>
    <t>Rezervuari Gramsh</t>
  </si>
  <si>
    <t>LUU 4-7</t>
  </si>
  <si>
    <t>Rezervuari Golem I Vogel</t>
  </si>
  <si>
    <t>LUU 4-8</t>
  </si>
  <si>
    <t>Rezervuari I Garunjasit</t>
  </si>
  <si>
    <t>LUU 4-9</t>
  </si>
  <si>
    <t>Rezervuari Canakaj</t>
  </si>
  <si>
    <t>LUU 4-10</t>
  </si>
  <si>
    <t>Rezervuari Lekaj</t>
  </si>
  <si>
    <t>LUU 4-11</t>
  </si>
  <si>
    <t>Rezervuari Skilaj</t>
  </si>
  <si>
    <t>LUU 4-12</t>
  </si>
  <si>
    <t>Rezervuari Tatajt</t>
  </si>
  <si>
    <t>LUU 4-13</t>
  </si>
  <si>
    <t>Rezervuari Gjuzaj</t>
  </si>
  <si>
    <t>LUU 4-14</t>
  </si>
  <si>
    <t>Rezervuari Kurtin Nr.1</t>
  </si>
  <si>
    <t>LUU 4-15</t>
  </si>
  <si>
    <t>Rezervuari Kurtin Nr.2</t>
  </si>
  <si>
    <t>LUU 4-16</t>
  </si>
  <si>
    <t>STP Murriz-Peqin Nr.1</t>
  </si>
  <si>
    <t>Rezervuari Pajalli</t>
  </si>
  <si>
    <t>LUU 4-17</t>
  </si>
  <si>
    <t>STP Murriz-Peqin Nr.2</t>
  </si>
  <si>
    <t>LUU 4-18</t>
  </si>
  <si>
    <t>STP Golem</t>
  </si>
  <si>
    <t>Rezervuari Golem</t>
  </si>
  <si>
    <t>LUU 4-19</t>
  </si>
  <si>
    <t>STP Dushk</t>
  </si>
  <si>
    <t>Dega V4</t>
  </si>
  <si>
    <t>LUU 4-20</t>
  </si>
  <si>
    <t>STP Manasufaj</t>
  </si>
  <si>
    <t>Rezervuari Manasufaj</t>
  </si>
  <si>
    <t>LUU 4-21</t>
  </si>
  <si>
    <t>STP Ballaj</t>
  </si>
  <si>
    <t>LUU 4-22</t>
  </si>
  <si>
    <t>LUU 4-23</t>
  </si>
  <si>
    <t>STP Tataj</t>
  </si>
  <si>
    <t>Rezervuari Tataj</t>
  </si>
  <si>
    <t>LUU 4-24</t>
  </si>
  <si>
    <t>STP Sejmenez</t>
  </si>
  <si>
    <t>Kolektori Sejmenez</t>
  </si>
  <si>
    <t>LUU 4-25</t>
  </si>
  <si>
    <t>STP Pajalli</t>
  </si>
  <si>
    <t>LUU 4-26</t>
  </si>
  <si>
    <t>STP Ciflig</t>
  </si>
  <si>
    <t>Dega e Lushnjes</t>
  </si>
  <si>
    <t>Total</t>
  </si>
  <si>
    <t>27 Skema</t>
  </si>
  <si>
    <t>Skema të pjesërisht të transferuara</t>
  </si>
  <si>
    <t>Vetëm Kanale të Dyta në Km</t>
  </si>
  <si>
    <t>LUU 1 -1</t>
  </si>
  <si>
    <t>Murriz Thana</t>
  </si>
  <si>
    <t>Rezervuar. &amp;  Lume</t>
  </si>
  <si>
    <t>1 Skeme</t>
  </si>
  <si>
    <t>16 Skema</t>
  </si>
  <si>
    <t>11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</si>
</sst>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0" fontId="3" fillId="0" borderId="1" xfId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4" fillId="0" borderId="0" xfId="0" applyFont="1"/>
    <xf numFmtId="0" fontId="3" fillId="0" borderId="1" xfId="0" applyFont="1" applyBorder="1" applyAlignment="1">
      <alignment horizontal="center" vertical="center"/>
    </xf>
    <xf numFmtId="0" fontId="3" fillId="0" borderId="1" xfId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wrapText="1"/>
    </xf>
  </cellXfs>
  <cellStyles count="3">
    <cellStyle name="Normal" xfId="0" builtinId="0"/>
    <cellStyle name="Normal 2" xfId="1" xr:uid="{EA7773FB-ED62-43B0-8A34-9B698E700EBE}"/>
    <cellStyle name="Percent 3" xfId="2" xr:uid="{75E02321-ECB6-4959-8529-36722F70BE9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5E117-481E-42D2-B8D4-0C8655FB5567}">
  <sheetPr codeName="Sheet40"/>
  <dimension ref="A1:I39"/>
  <sheetViews>
    <sheetView topLeftCell="A4" zoomScaleNormal="100" workbookViewId="0">
      <selection activeCell="F5" sqref="F5:F3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0</v>
      </c>
      <c r="G5" s="17"/>
      <c r="H5" s="17"/>
      <c r="I5" s="18" t="e">
        <f t="shared" ref="I5:I26" si="0">H5/F5</f>
        <v>#DIV/0!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/>
      <c r="E6" s="16"/>
      <c r="F6" s="19">
        <v>0</v>
      </c>
      <c r="G6" s="17"/>
      <c r="H6" s="17"/>
      <c r="I6" s="18" t="e">
        <f t="shared" si="0"/>
        <v>#DIV/0!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/>
      <c r="E7" s="16"/>
      <c r="F7" s="17">
        <v>1.7999999999999998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/>
      <c r="E8" s="16"/>
      <c r="F8" s="17">
        <v>0.6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/>
      <c r="E9" s="16"/>
      <c r="F9" s="19">
        <v>1.2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/>
      <c r="E10" s="16"/>
      <c r="F10" s="17">
        <v>0</v>
      </c>
      <c r="G10" s="19"/>
      <c r="H10" s="19"/>
      <c r="I10" s="18" t="e">
        <f t="shared" si="0"/>
        <v>#DIV/0!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/>
      <c r="E11" s="16"/>
      <c r="F11" s="17">
        <v>0.89999999999999991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/>
      <c r="E12" s="16"/>
      <c r="F12" s="19">
        <v>1.2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/>
      <c r="E13" s="16"/>
      <c r="F13" s="17">
        <v>0</v>
      </c>
      <c r="G13" s="19"/>
      <c r="H13" s="19"/>
      <c r="I13" s="18" t="e">
        <f t="shared" si="0"/>
        <v>#DIV/0!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/>
      <c r="E14" s="16"/>
      <c r="F14" s="17">
        <v>1.2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/>
      <c r="E15" s="16"/>
      <c r="F15" s="19">
        <v>1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34</v>
      </c>
      <c r="C16" s="14" t="s">
        <v>35</v>
      </c>
      <c r="D16" s="15"/>
      <c r="E16" s="16"/>
      <c r="F16" s="17">
        <v>1</v>
      </c>
      <c r="G16" s="19"/>
      <c r="H16" s="19"/>
      <c r="I16" s="18">
        <f t="shared" si="0"/>
        <v>0</v>
      </c>
    </row>
    <row r="17" spans="1:9" ht="15.6" customHeight="1" x14ac:dyDescent="0.25">
      <c r="A17" s="13">
        <v>13</v>
      </c>
      <c r="B17" s="14" t="s">
        <v>36</v>
      </c>
      <c r="C17" s="14" t="s">
        <v>37</v>
      </c>
      <c r="D17" s="15"/>
      <c r="E17" s="16"/>
      <c r="F17" s="17">
        <v>1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38</v>
      </c>
      <c r="C18" s="14" t="s">
        <v>39</v>
      </c>
      <c r="D18" s="15"/>
      <c r="E18" s="16"/>
      <c r="F18" s="19">
        <v>2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40</v>
      </c>
      <c r="C19" s="14" t="s">
        <v>41</v>
      </c>
      <c r="D19" s="15"/>
      <c r="E19" s="16"/>
      <c r="F19" s="17">
        <v>1</v>
      </c>
      <c r="G19" s="19"/>
      <c r="H19" s="19"/>
      <c r="I19" s="18">
        <f t="shared" si="0"/>
        <v>0</v>
      </c>
    </row>
    <row r="20" spans="1:9" ht="15.6" customHeight="1" x14ac:dyDescent="0.25">
      <c r="A20" s="13">
        <v>16</v>
      </c>
      <c r="B20" s="14" t="s">
        <v>42</v>
      </c>
      <c r="C20" s="14" t="s">
        <v>43</v>
      </c>
      <c r="D20" s="15"/>
      <c r="E20" s="16"/>
      <c r="F20" s="19">
        <v>1</v>
      </c>
      <c r="G20" s="17"/>
      <c r="H20" s="17"/>
      <c r="I20" s="18">
        <f t="shared" si="0"/>
        <v>0</v>
      </c>
    </row>
    <row r="21" spans="1:9" ht="15.6" customHeight="1" x14ac:dyDescent="0.25">
      <c r="A21" s="13">
        <v>17</v>
      </c>
      <c r="B21" s="14" t="s">
        <v>44</v>
      </c>
      <c r="C21" s="14" t="s">
        <v>45</v>
      </c>
      <c r="D21" s="15" t="s">
        <v>46</v>
      </c>
      <c r="E21" s="16" t="s">
        <v>46</v>
      </c>
      <c r="F21" s="17">
        <v>12</v>
      </c>
      <c r="G21" s="17"/>
      <c r="H21" s="17"/>
      <c r="I21" s="18">
        <f t="shared" si="0"/>
        <v>0</v>
      </c>
    </row>
    <row r="22" spans="1:9" ht="15.6" customHeight="1" x14ac:dyDescent="0.25">
      <c r="A22" s="13">
        <v>18</v>
      </c>
      <c r="B22" s="14" t="s">
        <v>47</v>
      </c>
      <c r="C22" s="14" t="s">
        <v>48</v>
      </c>
      <c r="D22" s="15" t="s">
        <v>46</v>
      </c>
      <c r="E22" s="16" t="s">
        <v>46</v>
      </c>
      <c r="F22" s="17">
        <v>6</v>
      </c>
      <c r="G22" s="19"/>
      <c r="H22" s="19"/>
      <c r="I22" s="18">
        <f t="shared" si="0"/>
        <v>0</v>
      </c>
    </row>
    <row r="23" spans="1:9" ht="15.6" customHeight="1" x14ac:dyDescent="0.25">
      <c r="A23" s="13">
        <v>19</v>
      </c>
      <c r="B23" s="14" t="s">
        <v>49</v>
      </c>
      <c r="C23" s="14" t="s">
        <v>50</v>
      </c>
      <c r="D23" s="15" t="s">
        <v>51</v>
      </c>
      <c r="E23" s="16" t="s">
        <v>51</v>
      </c>
      <c r="F23" s="19">
        <v>5</v>
      </c>
      <c r="G23" s="17"/>
      <c r="H23" s="17"/>
      <c r="I23" s="18">
        <f t="shared" si="0"/>
        <v>0</v>
      </c>
    </row>
    <row r="24" spans="1:9" ht="15.6" customHeight="1" x14ac:dyDescent="0.25">
      <c r="A24" s="13">
        <v>20</v>
      </c>
      <c r="B24" s="14" t="s">
        <v>52</v>
      </c>
      <c r="C24" s="14" t="s">
        <v>53</v>
      </c>
      <c r="D24" s="15" t="s">
        <v>54</v>
      </c>
      <c r="E24" s="16" t="s">
        <v>54</v>
      </c>
      <c r="F24" s="17">
        <v>5</v>
      </c>
      <c r="G24" s="17"/>
      <c r="H24" s="17"/>
      <c r="I24" s="18">
        <f t="shared" si="0"/>
        <v>0</v>
      </c>
    </row>
    <row r="25" spans="1:9" ht="15.6" customHeight="1" x14ac:dyDescent="0.25">
      <c r="A25" s="13">
        <v>21</v>
      </c>
      <c r="B25" s="14" t="s">
        <v>55</v>
      </c>
      <c r="C25" s="14" t="s">
        <v>56</v>
      </c>
      <c r="D25" s="15" t="s">
        <v>57</v>
      </c>
      <c r="E25" s="16" t="s">
        <v>57</v>
      </c>
      <c r="F25" s="17">
        <v>5</v>
      </c>
      <c r="G25" s="19"/>
      <c r="H25" s="19"/>
      <c r="I25" s="18">
        <f t="shared" si="0"/>
        <v>0</v>
      </c>
    </row>
    <row r="26" spans="1:9" ht="15.6" customHeight="1" x14ac:dyDescent="0.25">
      <c r="A26" s="13">
        <v>22</v>
      </c>
      <c r="B26" s="14" t="s">
        <v>58</v>
      </c>
      <c r="C26" s="14" t="s">
        <v>59</v>
      </c>
      <c r="D26" s="15" t="s">
        <v>23</v>
      </c>
      <c r="E26" s="16" t="s">
        <v>23</v>
      </c>
      <c r="F26" s="19">
        <v>6</v>
      </c>
      <c r="G26" s="17"/>
      <c r="H26" s="17"/>
      <c r="I26" s="18">
        <f t="shared" si="0"/>
        <v>0</v>
      </c>
    </row>
    <row r="27" spans="1:9" ht="15.6" customHeight="1" x14ac:dyDescent="0.25">
      <c r="A27" s="13">
        <v>23</v>
      </c>
      <c r="B27" s="14" t="s">
        <v>60</v>
      </c>
      <c r="C27" s="14" t="s">
        <v>50</v>
      </c>
      <c r="D27" s="15" t="s">
        <v>54</v>
      </c>
      <c r="E27" s="16" t="s">
        <v>54</v>
      </c>
      <c r="F27" s="17">
        <v>5</v>
      </c>
      <c r="G27" s="17"/>
      <c r="H27" s="17"/>
      <c r="I27" s="18"/>
    </row>
    <row r="28" spans="1:9" ht="15.6" customHeight="1" x14ac:dyDescent="0.25">
      <c r="A28" s="13">
        <v>24</v>
      </c>
      <c r="B28" s="14" t="s">
        <v>61</v>
      </c>
      <c r="C28" s="14" t="s">
        <v>62</v>
      </c>
      <c r="D28" s="15" t="s">
        <v>63</v>
      </c>
      <c r="E28" s="16" t="s">
        <v>63</v>
      </c>
      <c r="F28" s="17">
        <v>5</v>
      </c>
      <c r="G28" s="17"/>
      <c r="H28" s="17"/>
      <c r="I28" s="18"/>
    </row>
    <row r="29" spans="1:9" ht="15.6" customHeight="1" x14ac:dyDescent="0.25">
      <c r="A29" s="13">
        <v>25</v>
      </c>
      <c r="B29" s="14" t="s">
        <v>64</v>
      </c>
      <c r="C29" s="14" t="s">
        <v>65</v>
      </c>
      <c r="D29" s="15" t="s">
        <v>66</v>
      </c>
      <c r="E29" s="16" t="s">
        <v>66</v>
      </c>
      <c r="F29" s="19">
        <v>2</v>
      </c>
      <c r="G29" s="17"/>
      <c r="H29" s="17"/>
      <c r="I29" s="18"/>
    </row>
    <row r="30" spans="1:9" ht="15.6" customHeight="1" x14ac:dyDescent="0.25">
      <c r="A30" s="13">
        <v>26</v>
      </c>
      <c r="B30" s="14" t="s">
        <v>67</v>
      </c>
      <c r="C30" s="14" t="s">
        <v>68</v>
      </c>
      <c r="D30" s="15" t="s">
        <v>46</v>
      </c>
      <c r="E30" s="16" t="s">
        <v>46</v>
      </c>
      <c r="F30" s="17">
        <v>36</v>
      </c>
      <c r="G30" s="17"/>
      <c r="H30" s="17"/>
      <c r="I30" s="18"/>
    </row>
    <row r="31" spans="1:9" ht="15.6" customHeight="1" x14ac:dyDescent="0.25">
      <c r="A31" s="13">
        <v>27</v>
      </c>
      <c r="B31" s="14" t="s">
        <v>69</v>
      </c>
      <c r="C31" s="14" t="s">
        <v>70</v>
      </c>
      <c r="D31" s="15" t="s">
        <v>71</v>
      </c>
      <c r="E31" s="16" t="s">
        <v>71</v>
      </c>
      <c r="F31" s="17">
        <v>10</v>
      </c>
      <c r="G31" s="17"/>
      <c r="H31" s="17"/>
      <c r="I31" s="18">
        <f>H31/F31</f>
        <v>0</v>
      </c>
    </row>
    <row r="32" spans="1:9" ht="16.8" customHeight="1" x14ac:dyDescent="0.25">
      <c r="A32" s="5" t="s">
        <v>72</v>
      </c>
      <c r="B32" s="5"/>
      <c r="C32" s="5"/>
      <c r="D32" s="5" t="s">
        <v>73</v>
      </c>
      <c r="E32" s="5"/>
      <c r="F32" s="20">
        <f>SUM(F5:F31)</f>
        <v>110.9</v>
      </c>
      <c r="G32" s="21"/>
      <c r="H32" s="20">
        <f>SUM(H5:H31)</f>
        <v>0</v>
      </c>
      <c r="I32" s="22">
        <f>H32/F32</f>
        <v>0</v>
      </c>
    </row>
    <row r="34" spans="1:9" ht="15" x14ac:dyDescent="0.25">
      <c r="A34" s="1" t="s">
        <v>74</v>
      </c>
    </row>
    <row r="36" spans="1:9" s="24" customFormat="1" ht="17.399999999999999" customHeight="1" x14ac:dyDescent="0.25">
      <c r="A36" s="5" t="s">
        <v>1</v>
      </c>
      <c r="B36" s="23" t="s">
        <v>2</v>
      </c>
      <c r="C36" s="23"/>
      <c r="D36" s="7" t="s">
        <v>3</v>
      </c>
      <c r="E36" s="8"/>
      <c r="F36" s="23" t="s">
        <v>75</v>
      </c>
      <c r="G36" s="6" t="s">
        <v>5</v>
      </c>
      <c r="H36" s="5" t="s">
        <v>6</v>
      </c>
      <c r="I36" s="5"/>
    </row>
    <row r="37" spans="1:9" s="24" customFormat="1" ht="17.399999999999999" customHeight="1" x14ac:dyDescent="0.25">
      <c r="A37" s="5"/>
      <c r="B37" s="10" t="s">
        <v>7</v>
      </c>
      <c r="C37" s="10" t="s">
        <v>8</v>
      </c>
      <c r="D37" s="11"/>
      <c r="E37" s="12"/>
      <c r="F37" s="23"/>
      <c r="G37" s="6"/>
      <c r="H37" s="10" t="s">
        <v>9</v>
      </c>
      <c r="I37" s="10" t="s">
        <v>10</v>
      </c>
    </row>
    <row r="38" spans="1:9" ht="16.2" customHeight="1" x14ac:dyDescent="0.25">
      <c r="A38" s="25">
        <v>1</v>
      </c>
      <c r="B38" s="26" t="s">
        <v>76</v>
      </c>
      <c r="C38" s="27" t="s">
        <v>77</v>
      </c>
      <c r="D38" s="28" t="s">
        <v>78</v>
      </c>
      <c r="E38" s="29" t="s">
        <v>78</v>
      </c>
      <c r="F38" s="30">
        <v>803</v>
      </c>
      <c r="G38" s="17"/>
      <c r="H38" s="17"/>
      <c r="I38" s="18">
        <f>H38/F38</f>
        <v>0</v>
      </c>
    </row>
    <row r="39" spans="1:9" ht="16.8" customHeight="1" x14ac:dyDescent="0.25">
      <c r="A39" s="5" t="s">
        <v>72</v>
      </c>
      <c r="B39" s="5"/>
      <c r="C39" s="5"/>
      <c r="D39" s="5" t="s">
        <v>79</v>
      </c>
      <c r="E39" s="5"/>
      <c r="F39" s="20">
        <f>SUM(F38:F38)</f>
        <v>803</v>
      </c>
      <c r="G39" s="21"/>
      <c r="H39" s="20">
        <f>SUM(H38:H38)</f>
        <v>0</v>
      </c>
      <c r="I39" s="22">
        <f>H39/F39</f>
        <v>0</v>
      </c>
    </row>
  </sheetData>
  <mergeCells count="44">
    <mergeCell ref="F36:F37"/>
    <mergeCell ref="G36:G37"/>
    <mergeCell ref="H36:I36"/>
    <mergeCell ref="D38:E38"/>
    <mergeCell ref="A39:C39"/>
    <mergeCell ref="D39:E39"/>
    <mergeCell ref="D29:E29"/>
    <mergeCell ref="D30:E30"/>
    <mergeCell ref="D31:E31"/>
    <mergeCell ref="A32:C32"/>
    <mergeCell ref="D32:E32"/>
    <mergeCell ref="A36:A37"/>
    <mergeCell ref="B36:C36"/>
    <mergeCell ref="D36:E37"/>
    <mergeCell ref="D23:E23"/>
    <mergeCell ref="D24:E24"/>
    <mergeCell ref="D25:E25"/>
    <mergeCell ref="D26:E26"/>
    <mergeCell ref="D27:E27"/>
    <mergeCell ref="D28:E28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4C212-677B-4D01-926A-76EE68EEECDD}">
  <sheetPr codeName="Sheet41"/>
  <dimension ref="A1:I21"/>
  <sheetViews>
    <sheetView zoomScaleNormal="100" workbookViewId="0">
      <selection activeCell="D21" sqref="D21:E2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31">
        <v>0</v>
      </c>
      <c r="G5" s="17"/>
      <c r="H5" s="17"/>
      <c r="I5" s="18" t="e">
        <f t="shared" ref="I5:I20" si="0">H5/F5</f>
        <v>#DIV/0!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/>
      <c r="E6" s="16"/>
      <c r="F6" s="31">
        <v>0</v>
      </c>
      <c r="G6" s="17"/>
      <c r="H6" s="17"/>
      <c r="I6" s="18" t="e">
        <f t="shared" si="0"/>
        <v>#DIV/0!</v>
      </c>
    </row>
    <row r="7" spans="1:9" ht="15.6" customHeight="1" x14ac:dyDescent="0.25">
      <c r="A7" s="13">
        <v>3</v>
      </c>
      <c r="B7" s="14" t="s">
        <v>16</v>
      </c>
      <c r="C7" s="14" t="s">
        <v>17</v>
      </c>
      <c r="D7" s="15"/>
      <c r="E7" s="16"/>
      <c r="F7" s="31">
        <v>1.7999999999999998</v>
      </c>
      <c r="G7" s="19"/>
      <c r="H7" s="19"/>
      <c r="I7" s="18">
        <f t="shared" si="0"/>
        <v>0</v>
      </c>
    </row>
    <row r="8" spans="1:9" ht="15.6" customHeight="1" x14ac:dyDescent="0.25">
      <c r="A8" s="13">
        <v>4</v>
      </c>
      <c r="B8" s="14" t="s">
        <v>18</v>
      </c>
      <c r="C8" s="14" t="s">
        <v>19</v>
      </c>
      <c r="D8" s="15"/>
      <c r="E8" s="16"/>
      <c r="F8" s="31">
        <v>0.6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20</v>
      </c>
      <c r="C9" s="14" t="s">
        <v>21</v>
      </c>
      <c r="D9" s="15"/>
      <c r="E9" s="16"/>
      <c r="F9" s="31">
        <v>1.2</v>
      </c>
      <c r="G9" s="17"/>
      <c r="H9" s="17"/>
      <c r="I9" s="18">
        <f t="shared" si="0"/>
        <v>0</v>
      </c>
    </row>
    <row r="10" spans="1:9" ht="15.6" customHeight="1" x14ac:dyDescent="0.25">
      <c r="A10" s="13">
        <v>6</v>
      </c>
      <c r="B10" s="14" t="s">
        <v>22</v>
      </c>
      <c r="C10" s="14" t="s">
        <v>23</v>
      </c>
      <c r="D10" s="15"/>
      <c r="E10" s="16"/>
      <c r="F10" s="31">
        <v>0</v>
      </c>
      <c r="G10" s="19"/>
      <c r="H10" s="19"/>
      <c r="I10" s="18" t="e">
        <f t="shared" si="0"/>
        <v>#DIV/0!</v>
      </c>
    </row>
    <row r="11" spans="1:9" ht="15.6" customHeight="1" x14ac:dyDescent="0.25">
      <c r="A11" s="13">
        <v>7</v>
      </c>
      <c r="B11" s="14" t="s">
        <v>24</v>
      </c>
      <c r="C11" s="14" t="s">
        <v>25</v>
      </c>
      <c r="D11" s="15"/>
      <c r="E11" s="16"/>
      <c r="F11" s="31">
        <v>0.89999999999999991</v>
      </c>
      <c r="G11" s="17"/>
      <c r="H11" s="17"/>
      <c r="I11" s="18">
        <f t="shared" si="0"/>
        <v>0</v>
      </c>
    </row>
    <row r="12" spans="1:9" ht="15.6" customHeight="1" x14ac:dyDescent="0.25">
      <c r="A12" s="13">
        <v>8</v>
      </c>
      <c r="B12" s="14" t="s">
        <v>26</v>
      </c>
      <c r="C12" s="14" t="s">
        <v>27</v>
      </c>
      <c r="D12" s="15"/>
      <c r="E12" s="16"/>
      <c r="F12" s="31">
        <v>1.2</v>
      </c>
      <c r="G12" s="17"/>
      <c r="H12" s="17"/>
      <c r="I12" s="18">
        <f t="shared" si="0"/>
        <v>0</v>
      </c>
    </row>
    <row r="13" spans="1:9" ht="15.6" customHeight="1" x14ac:dyDescent="0.25">
      <c r="A13" s="13">
        <v>9</v>
      </c>
      <c r="B13" s="14" t="s">
        <v>28</v>
      </c>
      <c r="C13" s="14" t="s">
        <v>29</v>
      </c>
      <c r="D13" s="15"/>
      <c r="E13" s="16"/>
      <c r="F13" s="31">
        <v>0</v>
      </c>
      <c r="G13" s="19"/>
      <c r="H13" s="19"/>
      <c r="I13" s="18" t="e">
        <f t="shared" si="0"/>
        <v>#DIV/0!</v>
      </c>
    </row>
    <row r="14" spans="1:9" ht="15.6" customHeight="1" x14ac:dyDescent="0.25">
      <c r="A14" s="13">
        <v>10</v>
      </c>
      <c r="B14" s="14" t="s">
        <v>30</v>
      </c>
      <c r="C14" s="14" t="s">
        <v>31</v>
      </c>
      <c r="D14" s="15"/>
      <c r="E14" s="16"/>
      <c r="F14" s="31">
        <v>1.2</v>
      </c>
      <c r="G14" s="17"/>
      <c r="H14" s="17"/>
      <c r="I14" s="18">
        <f t="shared" si="0"/>
        <v>0</v>
      </c>
    </row>
    <row r="15" spans="1:9" ht="15.6" customHeight="1" x14ac:dyDescent="0.25">
      <c r="A15" s="13">
        <v>11</v>
      </c>
      <c r="B15" s="14" t="s">
        <v>32</v>
      </c>
      <c r="C15" s="14" t="s">
        <v>33</v>
      </c>
      <c r="D15" s="15"/>
      <c r="E15" s="16"/>
      <c r="F15" s="31">
        <v>1</v>
      </c>
      <c r="G15" s="17"/>
      <c r="H15" s="17"/>
      <c r="I15" s="18">
        <f t="shared" si="0"/>
        <v>0</v>
      </c>
    </row>
    <row r="16" spans="1:9" ht="15.6" customHeight="1" x14ac:dyDescent="0.25">
      <c r="A16" s="13">
        <v>12</v>
      </c>
      <c r="B16" s="14" t="s">
        <v>34</v>
      </c>
      <c r="C16" s="14" t="s">
        <v>35</v>
      </c>
      <c r="D16" s="15"/>
      <c r="E16" s="16"/>
      <c r="F16" s="31">
        <v>1</v>
      </c>
      <c r="G16" s="19"/>
      <c r="H16" s="19"/>
      <c r="I16" s="18">
        <f t="shared" si="0"/>
        <v>0</v>
      </c>
    </row>
    <row r="17" spans="1:9" ht="15.6" customHeight="1" x14ac:dyDescent="0.25">
      <c r="A17" s="13">
        <v>13</v>
      </c>
      <c r="B17" s="14" t="s">
        <v>36</v>
      </c>
      <c r="C17" s="14" t="s">
        <v>37</v>
      </c>
      <c r="D17" s="15"/>
      <c r="E17" s="16"/>
      <c r="F17" s="31">
        <v>1</v>
      </c>
      <c r="G17" s="17"/>
      <c r="H17" s="17"/>
      <c r="I17" s="18">
        <f t="shared" si="0"/>
        <v>0</v>
      </c>
    </row>
    <row r="18" spans="1:9" ht="15.6" customHeight="1" x14ac:dyDescent="0.25">
      <c r="A18" s="13">
        <v>14</v>
      </c>
      <c r="B18" s="14" t="s">
        <v>38</v>
      </c>
      <c r="C18" s="14" t="s">
        <v>39</v>
      </c>
      <c r="D18" s="15"/>
      <c r="E18" s="16"/>
      <c r="F18" s="31">
        <v>2</v>
      </c>
      <c r="G18" s="17"/>
      <c r="H18" s="17"/>
      <c r="I18" s="18">
        <f t="shared" si="0"/>
        <v>0</v>
      </c>
    </row>
    <row r="19" spans="1:9" ht="15.6" customHeight="1" x14ac:dyDescent="0.25">
      <c r="A19" s="13">
        <v>15</v>
      </c>
      <c r="B19" s="14" t="s">
        <v>40</v>
      </c>
      <c r="C19" s="14" t="s">
        <v>41</v>
      </c>
      <c r="D19" s="15"/>
      <c r="E19" s="16"/>
      <c r="F19" s="31">
        <v>1</v>
      </c>
      <c r="G19" s="19"/>
      <c r="H19" s="19"/>
      <c r="I19" s="18">
        <f t="shared" si="0"/>
        <v>0</v>
      </c>
    </row>
    <row r="20" spans="1:9" ht="15.6" customHeight="1" x14ac:dyDescent="0.25">
      <c r="A20" s="13">
        <v>16</v>
      </c>
      <c r="B20" s="14" t="s">
        <v>42</v>
      </c>
      <c r="C20" s="14" t="s">
        <v>43</v>
      </c>
      <c r="D20" s="15"/>
      <c r="E20" s="16"/>
      <c r="F20" s="31">
        <v>1</v>
      </c>
      <c r="G20" s="17"/>
      <c r="H20" s="17"/>
      <c r="I20" s="18">
        <f t="shared" si="0"/>
        <v>0</v>
      </c>
    </row>
    <row r="21" spans="1:9" ht="16.8" customHeight="1" x14ac:dyDescent="0.25">
      <c r="A21" s="5" t="s">
        <v>72</v>
      </c>
      <c r="B21" s="5"/>
      <c r="C21" s="5"/>
      <c r="D21" s="5" t="s">
        <v>80</v>
      </c>
      <c r="E21" s="5"/>
      <c r="F21" s="20">
        <f>SUM(F5:F20)</f>
        <v>13.9</v>
      </c>
      <c r="G21" s="21"/>
      <c r="H21" s="20">
        <f>SUM(H5:H20)</f>
        <v>0</v>
      </c>
      <c r="I21" s="22">
        <f>H21/F21</f>
        <v>0</v>
      </c>
    </row>
  </sheetData>
  <mergeCells count="24">
    <mergeCell ref="A21:C21"/>
    <mergeCell ref="D21:E21"/>
    <mergeCell ref="D17:E17"/>
    <mergeCell ref="D18:E18"/>
    <mergeCell ref="D19:E19"/>
    <mergeCell ref="D20:E20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10679-42A3-4BE1-B738-D92A098BD917}">
  <sheetPr codeName="Sheet42"/>
  <dimension ref="A1:I16"/>
  <sheetViews>
    <sheetView zoomScaleNormal="100" workbookViewId="0">
      <selection activeCell="F16" sqref="F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44</v>
      </c>
      <c r="C5" s="14" t="s">
        <v>45</v>
      </c>
      <c r="D5" s="15" t="s">
        <v>46</v>
      </c>
      <c r="E5" s="16" t="s">
        <v>46</v>
      </c>
      <c r="F5" s="17">
        <v>12</v>
      </c>
      <c r="G5" s="17"/>
      <c r="H5" s="17"/>
      <c r="I5" s="18">
        <f t="shared" ref="I5:I10" si="0">H5/F5</f>
        <v>0</v>
      </c>
    </row>
    <row r="6" spans="1:9" ht="15.6" customHeight="1" x14ac:dyDescent="0.25">
      <c r="A6" s="13">
        <v>2</v>
      </c>
      <c r="B6" s="14" t="s">
        <v>47</v>
      </c>
      <c r="C6" s="14" t="s">
        <v>48</v>
      </c>
      <c r="D6" s="15" t="s">
        <v>46</v>
      </c>
      <c r="E6" s="16" t="s">
        <v>46</v>
      </c>
      <c r="F6" s="17">
        <v>6</v>
      </c>
      <c r="G6" s="19"/>
      <c r="H6" s="19"/>
      <c r="I6" s="18">
        <f t="shared" si="0"/>
        <v>0</v>
      </c>
    </row>
    <row r="7" spans="1:9" ht="15.6" customHeight="1" x14ac:dyDescent="0.25">
      <c r="A7" s="13">
        <v>3</v>
      </c>
      <c r="B7" s="14" t="s">
        <v>49</v>
      </c>
      <c r="C7" s="14" t="s">
        <v>50</v>
      </c>
      <c r="D7" s="15" t="s">
        <v>51</v>
      </c>
      <c r="E7" s="16" t="s">
        <v>51</v>
      </c>
      <c r="F7" s="19">
        <v>5</v>
      </c>
      <c r="G7" s="17"/>
      <c r="H7" s="17"/>
      <c r="I7" s="18">
        <f t="shared" si="0"/>
        <v>0</v>
      </c>
    </row>
    <row r="8" spans="1:9" ht="15.6" customHeight="1" x14ac:dyDescent="0.25">
      <c r="A8" s="13">
        <v>4</v>
      </c>
      <c r="B8" s="14" t="s">
        <v>52</v>
      </c>
      <c r="C8" s="14" t="s">
        <v>53</v>
      </c>
      <c r="D8" s="15" t="s">
        <v>54</v>
      </c>
      <c r="E8" s="16" t="s">
        <v>54</v>
      </c>
      <c r="F8" s="17">
        <v>5</v>
      </c>
      <c r="G8" s="17"/>
      <c r="H8" s="17"/>
      <c r="I8" s="18">
        <f t="shared" si="0"/>
        <v>0</v>
      </c>
    </row>
    <row r="9" spans="1:9" ht="15.6" customHeight="1" x14ac:dyDescent="0.25">
      <c r="A9" s="13">
        <v>5</v>
      </c>
      <c r="B9" s="14" t="s">
        <v>55</v>
      </c>
      <c r="C9" s="14" t="s">
        <v>56</v>
      </c>
      <c r="D9" s="15" t="s">
        <v>57</v>
      </c>
      <c r="E9" s="16" t="s">
        <v>57</v>
      </c>
      <c r="F9" s="17">
        <v>5</v>
      </c>
      <c r="G9" s="19"/>
      <c r="H9" s="19"/>
      <c r="I9" s="18">
        <f t="shared" si="0"/>
        <v>0</v>
      </c>
    </row>
    <row r="10" spans="1:9" ht="15.6" customHeight="1" x14ac:dyDescent="0.25">
      <c r="A10" s="13">
        <v>6</v>
      </c>
      <c r="B10" s="14" t="s">
        <v>58</v>
      </c>
      <c r="C10" s="14" t="s">
        <v>59</v>
      </c>
      <c r="D10" s="15" t="s">
        <v>23</v>
      </c>
      <c r="E10" s="16" t="s">
        <v>23</v>
      </c>
      <c r="F10" s="17">
        <v>6</v>
      </c>
      <c r="G10" s="17"/>
      <c r="H10" s="17"/>
      <c r="I10" s="18">
        <f t="shared" si="0"/>
        <v>0</v>
      </c>
    </row>
    <row r="11" spans="1:9" ht="15.6" customHeight="1" x14ac:dyDescent="0.25">
      <c r="A11" s="13">
        <v>7</v>
      </c>
      <c r="B11" s="14" t="s">
        <v>60</v>
      </c>
      <c r="C11" s="14" t="s">
        <v>50</v>
      </c>
      <c r="D11" s="15" t="s">
        <v>54</v>
      </c>
      <c r="E11" s="16" t="s">
        <v>54</v>
      </c>
      <c r="F11" s="17">
        <v>5</v>
      </c>
      <c r="G11" s="17"/>
      <c r="H11" s="17"/>
      <c r="I11" s="18"/>
    </row>
    <row r="12" spans="1:9" ht="15.6" customHeight="1" x14ac:dyDescent="0.25">
      <c r="A12" s="13">
        <v>8</v>
      </c>
      <c r="B12" s="14" t="s">
        <v>61</v>
      </c>
      <c r="C12" s="14" t="s">
        <v>62</v>
      </c>
      <c r="D12" s="15" t="s">
        <v>63</v>
      </c>
      <c r="E12" s="16" t="s">
        <v>63</v>
      </c>
      <c r="F12" s="17">
        <v>5</v>
      </c>
      <c r="G12" s="17"/>
      <c r="H12" s="17"/>
      <c r="I12" s="18"/>
    </row>
    <row r="13" spans="1:9" ht="15.6" customHeight="1" x14ac:dyDescent="0.25">
      <c r="A13" s="13">
        <v>9</v>
      </c>
      <c r="B13" s="14" t="s">
        <v>64</v>
      </c>
      <c r="C13" s="14" t="s">
        <v>65</v>
      </c>
      <c r="D13" s="15" t="s">
        <v>66</v>
      </c>
      <c r="E13" s="16" t="s">
        <v>66</v>
      </c>
      <c r="F13" s="19">
        <v>2</v>
      </c>
      <c r="G13" s="17"/>
      <c r="H13" s="17"/>
      <c r="I13" s="18"/>
    </row>
    <row r="14" spans="1:9" ht="15.6" customHeight="1" x14ac:dyDescent="0.25">
      <c r="A14" s="13">
        <v>10</v>
      </c>
      <c r="B14" s="14" t="s">
        <v>67</v>
      </c>
      <c r="C14" s="14" t="s">
        <v>68</v>
      </c>
      <c r="D14" s="15" t="s">
        <v>46</v>
      </c>
      <c r="E14" s="16" t="s">
        <v>46</v>
      </c>
      <c r="F14" s="17">
        <v>36</v>
      </c>
      <c r="G14" s="17"/>
      <c r="H14" s="17"/>
      <c r="I14" s="18"/>
    </row>
    <row r="15" spans="1:9" ht="15.6" customHeight="1" x14ac:dyDescent="0.25">
      <c r="A15" s="13">
        <v>11</v>
      </c>
      <c r="B15" s="14" t="s">
        <v>69</v>
      </c>
      <c r="C15" s="14" t="s">
        <v>70</v>
      </c>
      <c r="D15" s="15" t="s">
        <v>71</v>
      </c>
      <c r="E15" s="16" t="s">
        <v>71</v>
      </c>
      <c r="F15" s="17">
        <v>10</v>
      </c>
      <c r="G15" s="17"/>
      <c r="H15" s="17"/>
      <c r="I15" s="18">
        <f>H15/F15</f>
        <v>0</v>
      </c>
    </row>
    <row r="16" spans="1:9" ht="16.8" customHeight="1" x14ac:dyDescent="0.25">
      <c r="A16" s="5" t="s">
        <v>72</v>
      </c>
      <c r="B16" s="5"/>
      <c r="C16" s="5"/>
      <c r="D16" s="5" t="s">
        <v>81</v>
      </c>
      <c r="E16" s="5"/>
      <c r="F16" s="20">
        <f>SUM(F5:F15)</f>
        <v>97</v>
      </c>
      <c r="G16" s="21"/>
      <c r="H16" s="20">
        <f>SUM(H5:H15)</f>
        <v>0</v>
      </c>
      <c r="I16" s="22">
        <f>H16/F16</f>
        <v>0</v>
      </c>
    </row>
  </sheetData>
  <mergeCells count="19">
    <mergeCell ref="D13:E13"/>
    <mergeCell ref="D14:E14"/>
    <mergeCell ref="D15:E15"/>
    <mergeCell ref="A16:C16"/>
    <mergeCell ref="D16:E16"/>
    <mergeCell ref="D7:E7"/>
    <mergeCell ref="D8:E8"/>
    <mergeCell ref="D9:E9"/>
    <mergeCell ref="D10:E10"/>
    <mergeCell ref="D11:E11"/>
    <mergeCell ref="D12:E12"/>
    <mergeCell ref="D5:E5"/>
    <mergeCell ref="D6:E6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69253-5B4A-48FC-862F-5A96616A89D2}">
  <sheetPr codeName="Sheet43"/>
  <dimension ref="A2:I7"/>
  <sheetViews>
    <sheetView tabSelected="1" zoomScaleNormal="100" workbookViewId="0">
      <selection activeCell="C16" sqref="C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2" spans="1:9" ht="15" x14ac:dyDescent="0.25">
      <c r="A2" s="1" t="s">
        <v>74</v>
      </c>
    </row>
    <row r="4" spans="1:9" s="24" customFormat="1" ht="17.399999999999999" customHeight="1" x14ac:dyDescent="0.25">
      <c r="A4" s="5" t="s">
        <v>1</v>
      </c>
      <c r="B4" s="23" t="s">
        <v>2</v>
      </c>
      <c r="C4" s="23"/>
      <c r="D4" s="7" t="s">
        <v>3</v>
      </c>
      <c r="E4" s="8"/>
      <c r="F4" s="23" t="s">
        <v>75</v>
      </c>
      <c r="G4" s="6" t="s">
        <v>5</v>
      </c>
      <c r="H4" s="5" t="s">
        <v>6</v>
      </c>
      <c r="I4" s="5"/>
    </row>
    <row r="5" spans="1:9" s="24" customFormat="1" ht="17.399999999999999" customHeight="1" x14ac:dyDescent="0.25">
      <c r="A5" s="5"/>
      <c r="B5" s="10" t="s">
        <v>7</v>
      </c>
      <c r="C5" s="10" t="s">
        <v>8</v>
      </c>
      <c r="D5" s="11"/>
      <c r="E5" s="12"/>
      <c r="F5" s="23"/>
      <c r="G5" s="6"/>
      <c r="H5" s="10" t="s">
        <v>9</v>
      </c>
      <c r="I5" s="10" t="s">
        <v>10</v>
      </c>
    </row>
    <row r="6" spans="1:9" ht="16.2" customHeight="1" x14ac:dyDescent="0.25">
      <c r="A6" s="25">
        <v>1</v>
      </c>
      <c r="B6" s="26" t="s">
        <v>76</v>
      </c>
      <c r="C6" s="27" t="s">
        <v>77</v>
      </c>
      <c r="D6" s="28" t="s">
        <v>78</v>
      </c>
      <c r="E6" s="29" t="s">
        <v>78</v>
      </c>
      <c r="F6" s="30">
        <v>803</v>
      </c>
      <c r="G6" s="17"/>
      <c r="H6" s="17"/>
      <c r="I6" s="18">
        <f>H6/F6</f>
        <v>0</v>
      </c>
    </row>
    <row r="7" spans="1:9" ht="16.8" customHeight="1" x14ac:dyDescent="0.25">
      <c r="A7" s="5" t="s">
        <v>72</v>
      </c>
      <c r="B7" s="5"/>
      <c r="C7" s="5"/>
      <c r="D7" s="5" t="s">
        <v>79</v>
      </c>
      <c r="E7" s="5"/>
      <c r="F7" s="20">
        <f>SUM(F6:F6)</f>
        <v>803</v>
      </c>
      <c r="G7" s="21"/>
      <c r="H7" s="20">
        <f>SUM(H6:H6)</f>
        <v>0</v>
      </c>
      <c r="I7" s="22">
        <f>H7/F7</f>
        <v>0</v>
      </c>
    </row>
  </sheetData>
  <mergeCells count="9">
    <mergeCell ref="F4:F5"/>
    <mergeCell ref="G4:G5"/>
    <mergeCell ref="H4:I4"/>
    <mergeCell ref="D6:E6"/>
    <mergeCell ref="A7:C7"/>
    <mergeCell ref="D7:E7"/>
    <mergeCell ref="A4:A5"/>
    <mergeCell ref="B4:C4"/>
    <mergeCell ref="D4:E5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Inv__Ujitjes_Lushnje</vt:lpstr>
      <vt:lpstr>Rezervuar</vt:lpstr>
      <vt:lpstr>Stacion Pompimi</vt:lpstr>
      <vt:lpstr>Skema Pjeserisht te transferuar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2026-10-06T13:29:23Z</dcterms:created>
  <dcterms:modified xsi:type="dcterms:W3CDTF">2026-10-06T13:32:14Z</dcterms:modified>
</cp:coreProperties>
</file>