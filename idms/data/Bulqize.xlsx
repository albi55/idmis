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2B33754E-6AAC-4D68-9C05-C85EBDD71070}" xr6:coauthVersionLast="47" xr6:coauthVersionMax="47" xr10:uidLastSave="{00000000-0000-0000-0000-000000000000}"/>
  <bookViews>
    <workbookView xWindow="-28920" yWindow="-1470" windowWidth="29040" windowHeight="15720" activeTab="4" xr2:uid="{76612BB4-F505-4903-97A1-77E574D3A6D0}"/>
  </bookViews>
  <sheets>
    <sheet name="Inv__Ujitjes_Bulqize" sheetId="1" r:id="rId1"/>
    <sheet name="Rezervuar" sheetId="2" r:id="rId2"/>
    <sheet name="Stacion Pompimi" sheetId="3" r:id="rId3"/>
    <sheet name="Lume &amp; Prrua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F7" i="5"/>
  <c r="I6" i="5"/>
  <c r="H36" i="4"/>
  <c r="F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0" i="3"/>
  <c r="F10" i="3"/>
  <c r="I9" i="3"/>
  <c r="I8" i="3"/>
  <c r="I7" i="3"/>
  <c r="I6" i="3"/>
  <c r="I5" i="3"/>
  <c r="H10" i="2"/>
  <c r="F10" i="2"/>
  <c r="I9" i="2"/>
  <c r="I8" i="2"/>
  <c r="I7" i="2"/>
  <c r="I6" i="2"/>
  <c r="I5" i="2"/>
  <c r="H54" i="1"/>
  <c r="I54" i="1" s="1"/>
  <c r="F54" i="1"/>
  <c r="I53" i="1"/>
  <c r="H47" i="1"/>
  <c r="F47" i="1"/>
  <c r="I47" i="1" s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7" i="5" l="1"/>
  <c r="I36" i="4"/>
  <c r="I10" i="3"/>
  <c r="I10" i="2"/>
</calcChain>
</file>

<file path=xl/sharedStrings.xml><?xml version="1.0" encoding="utf-8"?>
<sst xmlns="http://schemas.openxmlformats.org/spreadsheetml/2006/main" count="418" uniqueCount="115">
  <si>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</si>
  <si>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</si>
  <si>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</si>
  <si>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</si>
  <si>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</si>
  <si>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</si>
  <si>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</si>
  <si>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</si>
  <si>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</si>
  <si>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</si>
  <si>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</si>
  <si>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DIU(N) - 65</t>
  </si>
  <si>
    <t>Rezervuari Valit</t>
  </si>
  <si>
    <t>Rezervuar</t>
  </si>
  <si>
    <t>DIU(N) - 61</t>
  </si>
  <si>
    <t>Rezervuari Ballenje</t>
  </si>
  <si>
    <t>BZU - V20</t>
  </si>
  <si>
    <t>Kanali Ujites Shupenze</t>
  </si>
  <si>
    <t>Perrua</t>
  </si>
  <si>
    <t>BZU - V4</t>
  </si>
  <si>
    <t>Bllace Maqellare</t>
  </si>
  <si>
    <t>Rezervuari Bllaces</t>
  </si>
  <si>
    <t>BZU - V11</t>
  </si>
  <si>
    <t>Kanali Ujites Ura e Qytetit Krajke</t>
  </si>
  <si>
    <t>BZU - V10</t>
  </si>
  <si>
    <t>kanali ujites Liqeni i zi Gollobord (okshtun)</t>
  </si>
  <si>
    <t>Liqen i Zi</t>
  </si>
  <si>
    <t>BZU - V30</t>
  </si>
  <si>
    <t>Kanali Ujites Reduç - Klenje</t>
  </si>
  <si>
    <t>BZU - V15</t>
  </si>
  <si>
    <t>Kanali Ujites Priftak</t>
  </si>
  <si>
    <t>BZU - V6</t>
  </si>
  <si>
    <t>Kanali Ujites Pjesa Tuçep</t>
  </si>
  <si>
    <t>BZU - V2</t>
  </si>
  <si>
    <t>Kanali Ujites Ternove e madhe</t>
  </si>
  <si>
    <t>Liqen</t>
  </si>
  <si>
    <t>BZU - V8</t>
  </si>
  <si>
    <t>Kanali Ujites Fushe Okshatine</t>
  </si>
  <si>
    <t>BZU - V5</t>
  </si>
  <si>
    <t>Kanali Ujites Vajkal</t>
  </si>
  <si>
    <t>BZU - V35</t>
  </si>
  <si>
    <t>Kanali Ujites Pacnik</t>
  </si>
  <si>
    <t>Kanal</t>
  </si>
  <si>
    <t>BZU - V3</t>
  </si>
  <si>
    <t>Kanali Ujites  Dragua</t>
  </si>
  <si>
    <t>BZU - V25</t>
  </si>
  <si>
    <t>Kanali Ujites Strickan</t>
  </si>
  <si>
    <t>BZU - V27</t>
  </si>
  <si>
    <t>Kanali Ujites Viçisht</t>
  </si>
  <si>
    <t>Lume</t>
  </si>
  <si>
    <t>BZU - V1</t>
  </si>
  <si>
    <t>Kanali Ujites Tuçep - Çerenec</t>
  </si>
  <si>
    <t>BZU - V7</t>
  </si>
  <si>
    <t>Kanali Ujites Gotvi</t>
  </si>
  <si>
    <t>BZU - V12</t>
  </si>
  <si>
    <t>Kanali Ujites Sofraçan</t>
  </si>
  <si>
    <t>BZU - V13</t>
  </si>
  <si>
    <t>Kanali Ujites Ternove e Vogel</t>
  </si>
  <si>
    <t>BZU - V14</t>
  </si>
  <si>
    <t>Kanali Ujites Majmej</t>
  </si>
  <si>
    <t>BZU - V16</t>
  </si>
  <si>
    <t>Kanali Ujites Gjorice e Siperme</t>
  </si>
  <si>
    <t>BZU - V17</t>
  </si>
  <si>
    <t>Kanali Ujites Gjorice e Poshtme</t>
  </si>
  <si>
    <t>BZU - V18</t>
  </si>
  <si>
    <t>Kanali Ujites Varret e Vrame - Strikçan</t>
  </si>
  <si>
    <t>BZU - V19</t>
  </si>
  <si>
    <t>Kanali Ujitesi Pishave Drague</t>
  </si>
  <si>
    <t>BZU - V21</t>
  </si>
  <si>
    <t>Kanali Ujites Qafe - Gjon</t>
  </si>
  <si>
    <t>BZU - V22</t>
  </si>
  <si>
    <t>Kanali Ujites i pishave Lagje Kice</t>
  </si>
  <si>
    <t>BZU - V23</t>
  </si>
  <si>
    <t>kanali ujites liqeni i Zi Gollobord (Ostren)</t>
  </si>
  <si>
    <t>Liqeni i Zi</t>
  </si>
  <si>
    <t>BZU - V24</t>
  </si>
  <si>
    <t>Kanali Ujites i Telit</t>
  </si>
  <si>
    <t>BZU - V26</t>
  </si>
  <si>
    <t>Kanali Ujites Terbaç</t>
  </si>
  <si>
    <t>BZU - V28</t>
  </si>
  <si>
    <t>Kanali Ujites Ruse - Homesh</t>
  </si>
  <si>
    <t>BZU - V29</t>
  </si>
  <si>
    <t>Kanali Ujites pjesa Fushe Ozhanen</t>
  </si>
  <si>
    <t>BZU - V31</t>
  </si>
  <si>
    <t>Kanali Ujites Gjon</t>
  </si>
  <si>
    <t>BZU - V32</t>
  </si>
  <si>
    <t>Kanali Ujites Polemicel Tuçep</t>
  </si>
  <si>
    <t>BZU - V33</t>
  </si>
  <si>
    <t>Kanali Ujites Hotishan Maqedon</t>
  </si>
  <si>
    <t>BZU - V34</t>
  </si>
  <si>
    <t>Kanali Ujites Pjesa Lladomerice</t>
  </si>
  <si>
    <t>BZU - V36</t>
  </si>
  <si>
    <t>K.U.Stp.Pompe Ostren i Vogel</t>
  </si>
  <si>
    <t>Stacion pompimi</t>
  </si>
  <si>
    <t>BZU - V37</t>
  </si>
  <si>
    <t>K.U.Stp.pompe Laçjan</t>
  </si>
  <si>
    <t>BZU - V38</t>
  </si>
  <si>
    <t>Dragun</t>
  </si>
  <si>
    <t>Stacion pompimi Fushe Bulqize</t>
  </si>
  <si>
    <t>BZU - V39</t>
  </si>
  <si>
    <t>Vajkal</t>
  </si>
  <si>
    <t>BZU - V40</t>
  </si>
  <si>
    <t>Hidrovori Vajkal</t>
  </si>
  <si>
    <t>BZU - V41</t>
  </si>
  <si>
    <t>Kanali Ujites Ostren i Voge - Vernice</t>
  </si>
  <si>
    <t>Total</t>
  </si>
  <si>
    <t>42 Skema</t>
  </si>
  <si>
    <t>Skema të pjesërisht të transferuara</t>
  </si>
  <si>
    <t>Vetëm Kanale të Dyta në Km</t>
  </si>
  <si>
    <t>DIU (J) - 1</t>
  </si>
  <si>
    <t>Bllace - Maqellare</t>
  </si>
  <si>
    <t>Rezervuar  + Burime</t>
  </si>
  <si>
    <t>2 Skema</t>
  </si>
  <si>
    <t>5 Skema</t>
  </si>
  <si>
    <t>31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</si>
</sst>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A9DC4ADC-739C-4F3A-896A-3B81AB404657}"/>
    <cellStyle name="Percent 3" xfId="2" xr:uid="{844A7CBD-D809-4267-90EA-EDB0F1F16D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09A6-042B-4DF4-B90D-D9B57CFDAA05}">
  <sheetPr codeName="Sheet41"/>
  <dimension ref="A1:I54"/>
  <sheetViews>
    <sheetView topLeftCell="A22" zoomScaleNormal="100" workbookViewId="0">
      <selection activeCell="C61" sqref="C6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0.5</v>
      </c>
      <c r="G5" s="18"/>
      <c r="H5" s="18"/>
      <c r="I5" s="19">
        <f t="shared" ref="I5:I45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18</v>
      </c>
      <c r="E7" s="16" t="s">
        <v>18</v>
      </c>
      <c r="F7" s="17">
        <v>8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11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18</v>
      </c>
      <c r="E9" s="16" t="s">
        <v>18</v>
      </c>
      <c r="F9" s="17">
        <v>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26</v>
      </c>
      <c r="E10" s="16" t="s">
        <v>26</v>
      </c>
      <c r="F10" s="17">
        <v>12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27</v>
      </c>
      <c r="C11" s="14" t="s">
        <v>28</v>
      </c>
      <c r="D11" s="15" t="s">
        <v>18</v>
      </c>
      <c r="E11" s="16" t="s">
        <v>18</v>
      </c>
      <c r="F11" s="17">
        <v>14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29</v>
      </c>
      <c r="C12" s="14" t="s">
        <v>30</v>
      </c>
      <c r="D12" s="15" t="s">
        <v>18</v>
      </c>
      <c r="E12" s="16" t="s">
        <v>18</v>
      </c>
      <c r="F12" s="17">
        <v>1.5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31</v>
      </c>
      <c r="C13" s="14" t="s">
        <v>32</v>
      </c>
      <c r="D13" s="15" t="s">
        <v>18</v>
      </c>
      <c r="E13" s="16" t="s">
        <v>18</v>
      </c>
      <c r="F13" s="17">
        <v>8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33</v>
      </c>
      <c r="C14" s="14" t="s">
        <v>34</v>
      </c>
      <c r="D14" s="15" t="s">
        <v>35</v>
      </c>
      <c r="E14" s="16" t="s">
        <v>35</v>
      </c>
      <c r="F14" s="17">
        <v>7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36</v>
      </c>
      <c r="C15" s="14" t="s">
        <v>37</v>
      </c>
      <c r="D15" s="15" t="s">
        <v>18</v>
      </c>
      <c r="E15" s="16" t="s">
        <v>18</v>
      </c>
      <c r="F15" s="17">
        <v>4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38</v>
      </c>
      <c r="C16" s="14" t="s">
        <v>39</v>
      </c>
      <c r="D16" s="15" t="s">
        <v>18</v>
      </c>
      <c r="E16" s="16" t="s">
        <v>18</v>
      </c>
      <c r="F16" s="17">
        <v>2.8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40</v>
      </c>
      <c r="C17" s="14" t="s">
        <v>41</v>
      </c>
      <c r="D17" s="15" t="s">
        <v>42</v>
      </c>
      <c r="E17" s="16" t="s">
        <v>42</v>
      </c>
      <c r="F17" s="17">
        <v>1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43</v>
      </c>
      <c r="C18" s="14" t="s">
        <v>44</v>
      </c>
      <c r="D18" s="15" t="s">
        <v>18</v>
      </c>
      <c r="E18" s="16" t="s">
        <v>18</v>
      </c>
      <c r="F18" s="17">
        <v>5.2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45</v>
      </c>
      <c r="C19" s="14" t="s">
        <v>46</v>
      </c>
      <c r="D19" s="15" t="s">
        <v>18</v>
      </c>
      <c r="E19" s="16" t="s">
        <v>18</v>
      </c>
      <c r="F19" s="17">
        <v>4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47</v>
      </c>
      <c r="C20" s="14" t="s">
        <v>48</v>
      </c>
      <c r="D20" s="15" t="s">
        <v>49</v>
      </c>
      <c r="E20" s="16" t="s">
        <v>49</v>
      </c>
      <c r="F20" s="17">
        <v>1.5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50</v>
      </c>
      <c r="C21" s="14" t="s">
        <v>51</v>
      </c>
      <c r="D21" s="15" t="s">
        <v>49</v>
      </c>
      <c r="E21" s="16" t="s">
        <v>49</v>
      </c>
      <c r="F21" s="20">
        <v>19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52</v>
      </c>
      <c r="C22" s="14" t="s">
        <v>53</v>
      </c>
      <c r="D22" s="15" t="s">
        <v>18</v>
      </c>
      <c r="E22" s="16" t="s">
        <v>18</v>
      </c>
      <c r="F22" s="17">
        <v>3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54</v>
      </c>
      <c r="C23" s="14" t="s">
        <v>55</v>
      </c>
      <c r="D23" s="15" t="s">
        <v>18</v>
      </c>
      <c r="E23" s="16" t="s">
        <v>18</v>
      </c>
      <c r="F23" s="17">
        <v>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56</v>
      </c>
      <c r="C24" s="14" t="s">
        <v>57</v>
      </c>
      <c r="D24" s="15" t="s">
        <v>35</v>
      </c>
      <c r="E24" s="16" t="s">
        <v>35</v>
      </c>
      <c r="F24" s="17">
        <v>2.5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58</v>
      </c>
      <c r="C25" s="14" t="s">
        <v>59</v>
      </c>
      <c r="D25" s="15" t="s">
        <v>18</v>
      </c>
      <c r="E25" s="16" t="s">
        <v>18</v>
      </c>
      <c r="F25" s="17">
        <v>2.5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60</v>
      </c>
      <c r="C26" s="14" t="s">
        <v>61</v>
      </c>
      <c r="D26" s="15" t="s">
        <v>49</v>
      </c>
      <c r="E26" s="16" t="s">
        <v>49</v>
      </c>
      <c r="F26" s="17">
        <v>3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62</v>
      </c>
      <c r="C27" s="14" t="s">
        <v>63</v>
      </c>
      <c r="D27" s="15" t="s">
        <v>49</v>
      </c>
      <c r="E27" s="16" t="s">
        <v>49</v>
      </c>
      <c r="F27" s="17">
        <v>3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64</v>
      </c>
      <c r="C28" s="14" t="s">
        <v>65</v>
      </c>
      <c r="D28" s="15" t="s">
        <v>35</v>
      </c>
      <c r="E28" s="16" t="s">
        <v>35</v>
      </c>
      <c r="F28" s="17">
        <v>30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66</v>
      </c>
      <c r="C29" s="14" t="s">
        <v>67</v>
      </c>
      <c r="D29" s="15" t="s">
        <v>18</v>
      </c>
      <c r="E29" s="16" t="s">
        <v>18</v>
      </c>
      <c r="F29" s="17">
        <v>2.1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68</v>
      </c>
      <c r="C30" s="14" t="s">
        <v>69</v>
      </c>
      <c r="D30" s="15" t="s">
        <v>13</v>
      </c>
      <c r="E30" s="16" t="s">
        <v>13</v>
      </c>
      <c r="F30" s="17">
        <v>2.2000000000000002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70</v>
      </c>
      <c r="C31" s="14" t="s">
        <v>71</v>
      </c>
      <c r="D31" s="15" t="s">
        <v>18</v>
      </c>
      <c r="E31" s="16" t="s">
        <v>18</v>
      </c>
      <c r="F31" s="17">
        <v>2.2999999999999998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72</v>
      </c>
      <c r="C32" s="14" t="s">
        <v>73</v>
      </c>
      <c r="D32" s="15" t="s">
        <v>74</v>
      </c>
      <c r="E32" s="16" t="s">
        <v>74</v>
      </c>
      <c r="F32" s="17">
        <v>5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75</v>
      </c>
      <c r="C33" s="14" t="s">
        <v>76</v>
      </c>
      <c r="D33" s="15" t="s">
        <v>18</v>
      </c>
      <c r="E33" s="16" t="s">
        <v>18</v>
      </c>
      <c r="F33" s="17">
        <v>3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77</v>
      </c>
      <c r="C34" s="14" t="s">
        <v>78</v>
      </c>
      <c r="D34" s="15" t="s">
        <v>42</v>
      </c>
      <c r="E34" s="16" t="s">
        <v>42</v>
      </c>
      <c r="F34" s="17">
        <v>1.2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79</v>
      </c>
      <c r="C35" s="14" t="s">
        <v>80</v>
      </c>
      <c r="D35" s="15" t="s">
        <v>18</v>
      </c>
      <c r="E35" s="16" t="s">
        <v>18</v>
      </c>
      <c r="F35" s="17">
        <v>2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81</v>
      </c>
      <c r="C36" s="14" t="s">
        <v>82</v>
      </c>
      <c r="D36" s="15" t="s">
        <v>74</v>
      </c>
      <c r="E36" s="16" t="s">
        <v>74</v>
      </c>
      <c r="F36" s="17">
        <v>3.5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83</v>
      </c>
      <c r="C37" s="14" t="s">
        <v>84</v>
      </c>
      <c r="D37" s="15" t="s">
        <v>15</v>
      </c>
      <c r="E37" s="16" t="s">
        <v>15</v>
      </c>
      <c r="F37" s="17">
        <v>1.5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85</v>
      </c>
      <c r="C38" s="14" t="s">
        <v>86</v>
      </c>
      <c r="D38" s="15" t="s">
        <v>26</v>
      </c>
      <c r="E38" s="16" t="s">
        <v>26</v>
      </c>
      <c r="F38" s="17">
        <v>3.5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87</v>
      </c>
      <c r="C39" s="14" t="s">
        <v>88</v>
      </c>
      <c r="D39" s="15" t="s">
        <v>18</v>
      </c>
      <c r="E39" s="16" t="s">
        <v>18</v>
      </c>
      <c r="F39" s="17">
        <v>3.5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89</v>
      </c>
      <c r="C40" s="14" t="s">
        <v>90</v>
      </c>
      <c r="D40" s="15" t="s">
        <v>18</v>
      </c>
      <c r="E40" s="16" t="s">
        <v>18</v>
      </c>
      <c r="F40" s="17">
        <v>2.5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91</v>
      </c>
      <c r="C41" s="14" t="s">
        <v>92</v>
      </c>
      <c r="D41" s="15" t="s">
        <v>93</v>
      </c>
      <c r="E41" s="16" t="s">
        <v>93</v>
      </c>
      <c r="F41" s="17">
        <v>2.5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94</v>
      </c>
      <c r="C42" s="14" t="s">
        <v>95</v>
      </c>
      <c r="D42" s="15" t="s">
        <v>93</v>
      </c>
      <c r="E42" s="16" t="s">
        <v>93</v>
      </c>
      <c r="F42" s="17">
        <v>6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96</v>
      </c>
      <c r="C43" s="14" t="s">
        <v>97</v>
      </c>
      <c r="D43" s="15" t="s">
        <v>98</v>
      </c>
      <c r="E43" s="16" t="s">
        <v>98</v>
      </c>
      <c r="F43" s="17">
        <v>3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99</v>
      </c>
      <c r="C44" s="14" t="s">
        <v>100</v>
      </c>
      <c r="D44" s="15" t="s">
        <v>98</v>
      </c>
      <c r="E44" s="16" t="s">
        <v>98</v>
      </c>
      <c r="F44" s="17">
        <v>3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101</v>
      </c>
      <c r="C45" s="14" t="s">
        <v>102</v>
      </c>
      <c r="D45" s="15" t="s">
        <v>98</v>
      </c>
      <c r="E45" s="16" t="s">
        <v>98</v>
      </c>
      <c r="F45" s="17">
        <v>3</v>
      </c>
      <c r="G45" s="18"/>
      <c r="H45" s="18"/>
      <c r="I45" s="19">
        <f t="shared" si="0"/>
        <v>0</v>
      </c>
    </row>
    <row r="46" spans="1:9" ht="15.6" customHeight="1" x14ac:dyDescent="0.25">
      <c r="A46" s="13">
        <v>42</v>
      </c>
      <c r="B46" s="14" t="s">
        <v>103</v>
      </c>
      <c r="C46" s="14" t="s">
        <v>104</v>
      </c>
      <c r="D46" s="15" t="s">
        <v>18</v>
      </c>
      <c r="E46" s="16" t="s">
        <v>18</v>
      </c>
      <c r="F46" s="17">
        <v>6</v>
      </c>
      <c r="G46" s="18"/>
      <c r="H46" s="18"/>
      <c r="I46" s="19">
        <f>H46/F46</f>
        <v>0</v>
      </c>
    </row>
    <row r="47" spans="1:9" ht="16.8" customHeight="1" x14ac:dyDescent="0.25">
      <c r="A47" s="5" t="s">
        <v>105</v>
      </c>
      <c r="B47" s="5"/>
      <c r="C47" s="5"/>
      <c r="D47" s="5" t="s">
        <v>106</v>
      </c>
      <c r="E47" s="5"/>
      <c r="F47" s="21">
        <f>SUM(F5:F46)</f>
        <v>212.79999999999998</v>
      </c>
      <c r="G47" s="22"/>
      <c r="H47" s="21">
        <f>SUM(H5:H46)</f>
        <v>0</v>
      </c>
      <c r="I47" s="23">
        <f>H47/F47</f>
        <v>0</v>
      </c>
    </row>
    <row r="49" spans="1:9" ht="15" x14ac:dyDescent="0.25">
      <c r="A49" s="1" t="s">
        <v>107</v>
      </c>
    </row>
    <row r="51" spans="1:9" s="25" customFormat="1" ht="17.399999999999999" customHeight="1" x14ac:dyDescent="0.25">
      <c r="A51" s="5" t="s">
        <v>1</v>
      </c>
      <c r="B51" s="24" t="s">
        <v>2</v>
      </c>
      <c r="C51" s="24"/>
      <c r="D51" s="7" t="s">
        <v>3</v>
      </c>
      <c r="E51" s="8"/>
      <c r="F51" s="24" t="s">
        <v>108</v>
      </c>
      <c r="G51" s="6" t="s">
        <v>5</v>
      </c>
      <c r="H51" s="5" t="s">
        <v>6</v>
      </c>
      <c r="I51" s="5"/>
    </row>
    <row r="52" spans="1:9" s="25" customFormat="1" ht="17.399999999999999" customHeight="1" x14ac:dyDescent="0.25">
      <c r="A52" s="5"/>
      <c r="B52" s="10" t="s">
        <v>7</v>
      </c>
      <c r="C52" s="10" t="s">
        <v>8</v>
      </c>
      <c r="D52" s="11"/>
      <c r="E52" s="12"/>
      <c r="F52" s="24"/>
      <c r="G52" s="6"/>
      <c r="H52" s="10" t="s">
        <v>9</v>
      </c>
      <c r="I52" s="10" t="s">
        <v>10</v>
      </c>
    </row>
    <row r="53" spans="1:9" ht="16.2" customHeight="1" x14ac:dyDescent="0.25">
      <c r="A53" s="26">
        <v>1</v>
      </c>
      <c r="B53" s="27" t="s">
        <v>109</v>
      </c>
      <c r="C53" s="28" t="s">
        <v>110</v>
      </c>
      <c r="D53" s="29" t="s">
        <v>111</v>
      </c>
      <c r="E53" s="30" t="s">
        <v>111</v>
      </c>
      <c r="F53" s="31">
        <v>0</v>
      </c>
      <c r="G53" s="18"/>
      <c r="H53" s="18"/>
      <c r="I53" s="19" t="e">
        <f>H53/F53</f>
        <v>#DIV/0!</v>
      </c>
    </row>
    <row r="54" spans="1:9" ht="16.8" customHeight="1" x14ac:dyDescent="0.25">
      <c r="A54" s="5" t="s">
        <v>105</v>
      </c>
      <c r="B54" s="5"/>
      <c r="C54" s="5"/>
      <c r="D54" s="5" t="s">
        <v>112</v>
      </c>
      <c r="E54" s="5"/>
      <c r="F54" s="21">
        <f>SUM(F53:F53)</f>
        <v>0</v>
      </c>
      <c r="G54" s="22"/>
      <c r="H54" s="21">
        <f>SUM(H53:H53)</f>
        <v>0</v>
      </c>
      <c r="I54" s="23" t="e">
        <f>H54/F54</f>
        <v>#DIV/0!</v>
      </c>
    </row>
  </sheetData>
  <mergeCells count="59">
    <mergeCell ref="G51:G52"/>
    <mergeCell ref="H51:I51"/>
    <mergeCell ref="D53:E53"/>
    <mergeCell ref="A54:C54"/>
    <mergeCell ref="D54:E54"/>
    <mergeCell ref="A47:C47"/>
    <mergeCell ref="D47:E47"/>
    <mergeCell ref="A51:A52"/>
    <mergeCell ref="B51:C51"/>
    <mergeCell ref="D51:E52"/>
    <mergeCell ref="F51:F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1AEB-3638-4196-BA7B-4DABFDCF6D8C}">
  <sheetPr codeName="Sheet42"/>
  <dimension ref="A1:I1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0.5</v>
      </c>
      <c r="G5" s="18"/>
      <c r="H5" s="18"/>
      <c r="I5" s="19">
        <f t="shared" ref="I5:I9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21</v>
      </c>
      <c r="E7" s="16" t="s">
        <v>21</v>
      </c>
      <c r="F7" s="17">
        <v>11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68</v>
      </c>
      <c r="C8" s="14" t="s">
        <v>69</v>
      </c>
      <c r="D8" s="15" t="s">
        <v>13</v>
      </c>
      <c r="E8" s="16" t="s">
        <v>13</v>
      </c>
      <c r="F8" s="17">
        <v>2.2000000000000002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83</v>
      </c>
      <c r="C9" s="14" t="s">
        <v>84</v>
      </c>
      <c r="D9" s="15" t="s">
        <v>15</v>
      </c>
      <c r="E9" s="16" t="s">
        <v>15</v>
      </c>
      <c r="F9" s="17">
        <v>1.5</v>
      </c>
      <c r="G9" s="18"/>
      <c r="H9" s="18"/>
      <c r="I9" s="19">
        <f t="shared" si="0"/>
        <v>0</v>
      </c>
    </row>
    <row r="10" spans="1:9" ht="16.8" customHeight="1" x14ac:dyDescent="0.25">
      <c r="A10" s="5" t="s">
        <v>105</v>
      </c>
      <c r="B10" s="5"/>
      <c r="C10" s="5"/>
      <c r="D10" s="5" t="s">
        <v>113</v>
      </c>
      <c r="E10" s="5"/>
      <c r="F10" s="21">
        <f>SUM(F5:F9)</f>
        <v>18.7</v>
      </c>
      <c r="G10" s="22"/>
      <c r="H10" s="21">
        <f>SUM(H5:H9)</f>
        <v>0</v>
      </c>
      <c r="I10" s="23">
        <f>H10/F10</f>
        <v>0</v>
      </c>
    </row>
  </sheetData>
  <mergeCells count="13">
    <mergeCell ref="A10:C10"/>
    <mergeCell ref="D10:E10"/>
    <mergeCell ref="D9:E9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96A2-D350-48C7-8611-F2CC4B78259C}">
  <sheetPr codeName="Sheet43"/>
  <dimension ref="A1:I10"/>
  <sheetViews>
    <sheetView zoomScaleNormal="100" workbookViewId="0">
      <selection activeCell="A10" sqref="A10:C1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91</v>
      </c>
      <c r="C5" s="14" t="s">
        <v>92</v>
      </c>
      <c r="D5" s="15" t="s">
        <v>93</v>
      </c>
      <c r="E5" s="16" t="s">
        <v>93</v>
      </c>
      <c r="F5" s="17">
        <v>2.5</v>
      </c>
      <c r="G5" s="18"/>
      <c r="H5" s="18"/>
      <c r="I5" s="19">
        <f t="shared" ref="I5:I9" si="0">H5/F5</f>
        <v>0</v>
      </c>
    </row>
    <row r="6" spans="1:9" ht="15.6" customHeight="1" x14ac:dyDescent="0.25">
      <c r="A6" s="13">
        <v>2</v>
      </c>
      <c r="B6" s="14" t="s">
        <v>94</v>
      </c>
      <c r="C6" s="14" t="s">
        <v>95</v>
      </c>
      <c r="D6" s="15" t="s">
        <v>93</v>
      </c>
      <c r="E6" s="16" t="s">
        <v>93</v>
      </c>
      <c r="F6" s="17">
        <v>6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96</v>
      </c>
      <c r="C7" s="14" t="s">
        <v>97</v>
      </c>
      <c r="D7" s="15" t="s">
        <v>98</v>
      </c>
      <c r="E7" s="16" t="s">
        <v>98</v>
      </c>
      <c r="F7" s="17">
        <v>3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99</v>
      </c>
      <c r="C8" s="14" t="s">
        <v>100</v>
      </c>
      <c r="D8" s="15" t="s">
        <v>98</v>
      </c>
      <c r="E8" s="16" t="s">
        <v>98</v>
      </c>
      <c r="F8" s="17">
        <v>3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101</v>
      </c>
      <c r="C9" s="14" t="s">
        <v>102</v>
      </c>
      <c r="D9" s="15" t="s">
        <v>98</v>
      </c>
      <c r="E9" s="16" t="s">
        <v>98</v>
      </c>
      <c r="F9" s="17">
        <v>3</v>
      </c>
      <c r="G9" s="18"/>
      <c r="H9" s="18"/>
      <c r="I9" s="19">
        <f t="shared" si="0"/>
        <v>0</v>
      </c>
    </row>
    <row r="10" spans="1:9" ht="16.8" customHeight="1" x14ac:dyDescent="0.25">
      <c r="A10" s="5" t="s">
        <v>105</v>
      </c>
      <c r="B10" s="5"/>
      <c r="C10" s="5"/>
      <c r="D10" s="5" t="s">
        <v>113</v>
      </c>
      <c r="E10" s="5"/>
      <c r="F10" s="21">
        <f>SUM(F5:F9)</f>
        <v>17.5</v>
      </c>
      <c r="G10" s="22"/>
      <c r="H10" s="21">
        <f>SUM(H5:H9)</f>
        <v>0</v>
      </c>
      <c r="I10" s="23">
        <f>H10/F10</f>
        <v>0</v>
      </c>
    </row>
  </sheetData>
  <mergeCells count="13">
    <mergeCell ref="A10:C10"/>
    <mergeCell ref="D10:E10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82A2-B37A-4514-856C-2D2BC70EBEF2}">
  <sheetPr codeName="Sheet44"/>
  <dimension ref="A1:I36"/>
  <sheetViews>
    <sheetView topLeftCell="A13" zoomScaleNormal="100" workbookViewId="0">
      <selection activeCell="D37" sqref="D3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16</v>
      </c>
      <c r="C5" s="14" t="s">
        <v>17</v>
      </c>
      <c r="D5" s="15" t="s">
        <v>18</v>
      </c>
      <c r="E5" s="16" t="s">
        <v>18</v>
      </c>
      <c r="F5" s="17">
        <v>8</v>
      </c>
      <c r="G5" s="17"/>
      <c r="H5" s="17"/>
      <c r="I5" s="19">
        <f t="shared" ref="I5:I35" si="0">H5/F5</f>
        <v>0</v>
      </c>
    </row>
    <row r="6" spans="1:9" ht="15.6" customHeight="1" x14ac:dyDescent="0.25">
      <c r="A6" s="13">
        <v>2</v>
      </c>
      <c r="B6" s="14" t="s">
        <v>22</v>
      </c>
      <c r="C6" s="14" t="s">
        <v>23</v>
      </c>
      <c r="D6" s="15" t="s">
        <v>18</v>
      </c>
      <c r="E6" s="16" t="s">
        <v>18</v>
      </c>
      <c r="F6" s="17">
        <v>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24</v>
      </c>
      <c r="C7" s="14" t="s">
        <v>25</v>
      </c>
      <c r="D7" s="15" t="s">
        <v>26</v>
      </c>
      <c r="E7" s="16" t="s">
        <v>26</v>
      </c>
      <c r="F7" s="17">
        <v>12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27</v>
      </c>
      <c r="C8" s="14" t="s">
        <v>28</v>
      </c>
      <c r="D8" s="15" t="s">
        <v>18</v>
      </c>
      <c r="E8" s="16" t="s">
        <v>18</v>
      </c>
      <c r="F8" s="17">
        <v>14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29</v>
      </c>
      <c r="C9" s="14" t="s">
        <v>30</v>
      </c>
      <c r="D9" s="15" t="s">
        <v>18</v>
      </c>
      <c r="E9" s="16" t="s">
        <v>18</v>
      </c>
      <c r="F9" s="17">
        <v>1.5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31</v>
      </c>
      <c r="C10" s="14" t="s">
        <v>32</v>
      </c>
      <c r="D10" s="15" t="s">
        <v>18</v>
      </c>
      <c r="E10" s="16" t="s">
        <v>18</v>
      </c>
      <c r="F10" s="17">
        <v>8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33</v>
      </c>
      <c r="C11" s="14" t="s">
        <v>34</v>
      </c>
      <c r="D11" s="15" t="s">
        <v>35</v>
      </c>
      <c r="E11" s="16" t="s">
        <v>35</v>
      </c>
      <c r="F11" s="17">
        <v>7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36</v>
      </c>
      <c r="C12" s="14" t="s">
        <v>37</v>
      </c>
      <c r="D12" s="15" t="s">
        <v>18</v>
      </c>
      <c r="E12" s="16" t="s">
        <v>18</v>
      </c>
      <c r="F12" s="17">
        <v>4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38</v>
      </c>
      <c r="C13" s="14" t="s">
        <v>39</v>
      </c>
      <c r="D13" s="15" t="s">
        <v>18</v>
      </c>
      <c r="E13" s="16" t="s">
        <v>18</v>
      </c>
      <c r="F13" s="17">
        <v>2.8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40</v>
      </c>
      <c r="C14" s="14" t="s">
        <v>41</v>
      </c>
      <c r="D14" s="15" t="s">
        <v>42</v>
      </c>
      <c r="E14" s="16" t="s">
        <v>42</v>
      </c>
      <c r="F14" s="17">
        <v>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43</v>
      </c>
      <c r="C15" s="14" t="s">
        <v>44</v>
      </c>
      <c r="D15" s="15" t="s">
        <v>18</v>
      </c>
      <c r="E15" s="16" t="s">
        <v>18</v>
      </c>
      <c r="F15" s="17">
        <v>5.2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45</v>
      </c>
      <c r="C16" s="14" t="s">
        <v>46</v>
      </c>
      <c r="D16" s="15" t="s">
        <v>18</v>
      </c>
      <c r="E16" s="16" t="s">
        <v>18</v>
      </c>
      <c r="F16" s="17">
        <v>4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47</v>
      </c>
      <c r="C17" s="14" t="s">
        <v>48</v>
      </c>
      <c r="D17" s="15" t="s">
        <v>49</v>
      </c>
      <c r="E17" s="16" t="s">
        <v>49</v>
      </c>
      <c r="F17" s="17">
        <v>1.5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50</v>
      </c>
      <c r="C18" s="14" t="s">
        <v>51</v>
      </c>
      <c r="D18" s="15" t="s">
        <v>49</v>
      </c>
      <c r="E18" s="16" t="s">
        <v>49</v>
      </c>
      <c r="F18" s="20">
        <v>19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52</v>
      </c>
      <c r="C19" s="14" t="s">
        <v>53</v>
      </c>
      <c r="D19" s="15" t="s">
        <v>18</v>
      </c>
      <c r="E19" s="16" t="s">
        <v>18</v>
      </c>
      <c r="F19" s="17">
        <v>3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54</v>
      </c>
      <c r="C20" s="14" t="s">
        <v>55</v>
      </c>
      <c r="D20" s="15" t="s">
        <v>18</v>
      </c>
      <c r="E20" s="16" t="s">
        <v>18</v>
      </c>
      <c r="F20" s="17">
        <v>5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56</v>
      </c>
      <c r="C21" s="14" t="s">
        <v>57</v>
      </c>
      <c r="D21" s="15" t="s">
        <v>35</v>
      </c>
      <c r="E21" s="16" t="s">
        <v>35</v>
      </c>
      <c r="F21" s="17">
        <v>2.5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58</v>
      </c>
      <c r="C22" s="14" t="s">
        <v>59</v>
      </c>
      <c r="D22" s="15" t="s">
        <v>18</v>
      </c>
      <c r="E22" s="16" t="s">
        <v>18</v>
      </c>
      <c r="F22" s="17">
        <v>2.5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60</v>
      </c>
      <c r="C23" s="14" t="s">
        <v>61</v>
      </c>
      <c r="D23" s="15" t="s">
        <v>49</v>
      </c>
      <c r="E23" s="16" t="s">
        <v>49</v>
      </c>
      <c r="F23" s="17">
        <v>3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62</v>
      </c>
      <c r="C24" s="14" t="s">
        <v>63</v>
      </c>
      <c r="D24" s="15" t="s">
        <v>49</v>
      </c>
      <c r="E24" s="16" t="s">
        <v>49</v>
      </c>
      <c r="F24" s="17">
        <v>3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64</v>
      </c>
      <c r="C25" s="14" t="s">
        <v>65</v>
      </c>
      <c r="D25" s="15" t="s">
        <v>35</v>
      </c>
      <c r="E25" s="16" t="s">
        <v>35</v>
      </c>
      <c r="F25" s="17">
        <v>30</v>
      </c>
      <c r="G25" s="18"/>
      <c r="H25" s="18"/>
      <c r="I25" s="19">
        <f t="shared" si="0"/>
        <v>0</v>
      </c>
    </row>
    <row r="26" spans="1:9" ht="15.6" customHeight="1" x14ac:dyDescent="0.25">
      <c r="A26" s="13">
        <v>22</v>
      </c>
      <c r="B26" s="14" t="s">
        <v>66</v>
      </c>
      <c r="C26" s="14" t="s">
        <v>67</v>
      </c>
      <c r="D26" s="15" t="s">
        <v>18</v>
      </c>
      <c r="E26" s="16" t="s">
        <v>18</v>
      </c>
      <c r="F26" s="17">
        <v>2.1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70</v>
      </c>
      <c r="C27" s="14" t="s">
        <v>71</v>
      </c>
      <c r="D27" s="15" t="s">
        <v>18</v>
      </c>
      <c r="E27" s="16" t="s">
        <v>18</v>
      </c>
      <c r="F27" s="17">
        <v>2.2999999999999998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72</v>
      </c>
      <c r="C28" s="14" t="s">
        <v>73</v>
      </c>
      <c r="D28" s="15" t="s">
        <v>74</v>
      </c>
      <c r="E28" s="16" t="s">
        <v>74</v>
      </c>
      <c r="F28" s="17">
        <v>5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75</v>
      </c>
      <c r="C29" s="14" t="s">
        <v>76</v>
      </c>
      <c r="D29" s="15" t="s">
        <v>18</v>
      </c>
      <c r="E29" s="16" t="s">
        <v>18</v>
      </c>
      <c r="F29" s="17">
        <v>3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77</v>
      </c>
      <c r="C30" s="14" t="s">
        <v>78</v>
      </c>
      <c r="D30" s="15" t="s">
        <v>42</v>
      </c>
      <c r="E30" s="16" t="s">
        <v>42</v>
      </c>
      <c r="F30" s="17">
        <v>1.2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79</v>
      </c>
      <c r="C31" s="14" t="s">
        <v>80</v>
      </c>
      <c r="D31" s="15" t="s">
        <v>18</v>
      </c>
      <c r="E31" s="16" t="s">
        <v>18</v>
      </c>
      <c r="F31" s="17">
        <v>2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81</v>
      </c>
      <c r="C32" s="14" t="s">
        <v>82</v>
      </c>
      <c r="D32" s="15" t="s">
        <v>74</v>
      </c>
      <c r="E32" s="16" t="s">
        <v>74</v>
      </c>
      <c r="F32" s="17">
        <v>3.5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85</v>
      </c>
      <c r="C33" s="14" t="s">
        <v>86</v>
      </c>
      <c r="D33" s="15" t="s">
        <v>26</v>
      </c>
      <c r="E33" s="16" t="s">
        <v>26</v>
      </c>
      <c r="F33" s="17">
        <v>3.5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87</v>
      </c>
      <c r="C34" s="14" t="s">
        <v>88</v>
      </c>
      <c r="D34" s="15" t="s">
        <v>18</v>
      </c>
      <c r="E34" s="16" t="s">
        <v>18</v>
      </c>
      <c r="F34" s="17">
        <v>3.5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89</v>
      </c>
      <c r="C35" s="14" t="s">
        <v>90</v>
      </c>
      <c r="D35" s="15" t="s">
        <v>18</v>
      </c>
      <c r="E35" s="16" t="s">
        <v>18</v>
      </c>
      <c r="F35" s="17">
        <v>2.5</v>
      </c>
      <c r="G35" s="18"/>
      <c r="H35" s="18"/>
      <c r="I35" s="19">
        <f t="shared" si="0"/>
        <v>0</v>
      </c>
    </row>
    <row r="36" spans="1:9" ht="16.8" customHeight="1" x14ac:dyDescent="0.25">
      <c r="A36" s="5" t="s">
        <v>105</v>
      </c>
      <c r="B36" s="5"/>
      <c r="C36" s="5"/>
      <c r="D36" s="5" t="s">
        <v>114</v>
      </c>
      <c r="E36" s="5"/>
      <c r="F36" s="21">
        <f>SUM(F5:F35)</f>
        <v>170.6</v>
      </c>
      <c r="G36" s="22"/>
      <c r="H36" s="21">
        <f>SUM(H5:H35)</f>
        <v>0</v>
      </c>
      <c r="I36" s="23">
        <f>H36/F36</f>
        <v>0</v>
      </c>
    </row>
  </sheetData>
  <mergeCells count="39">
    <mergeCell ref="A36:C36"/>
    <mergeCell ref="D36:E36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E09B-6644-4003-B646-E60D3C3E48AB}">
  <sheetPr codeName="Sheet45"/>
  <dimension ref="A2:I7"/>
  <sheetViews>
    <sheetView tabSelected="1" zoomScaleNormal="100" workbookViewId="0">
      <selection activeCell="C16" sqref="C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107</v>
      </c>
    </row>
    <row r="4" spans="1:9" s="25" customFormat="1" ht="17.399999999999999" customHeight="1" x14ac:dyDescent="0.25">
      <c r="A4" s="5" t="s">
        <v>1</v>
      </c>
      <c r="B4" s="24" t="s">
        <v>2</v>
      </c>
      <c r="C4" s="24"/>
      <c r="D4" s="7" t="s">
        <v>3</v>
      </c>
      <c r="E4" s="8"/>
      <c r="F4" s="24" t="s">
        <v>108</v>
      </c>
      <c r="G4" s="6" t="s">
        <v>5</v>
      </c>
      <c r="H4" s="5" t="s">
        <v>6</v>
      </c>
      <c r="I4" s="5"/>
    </row>
    <row r="5" spans="1:9" s="25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4"/>
      <c r="G5" s="6"/>
      <c r="H5" s="10" t="s">
        <v>9</v>
      </c>
      <c r="I5" s="10" t="s">
        <v>10</v>
      </c>
    </row>
    <row r="6" spans="1:9" ht="16.2" customHeight="1" x14ac:dyDescent="0.25">
      <c r="A6" s="26">
        <v>1</v>
      </c>
      <c r="B6" s="27" t="s">
        <v>109</v>
      </c>
      <c r="C6" s="28" t="s">
        <v>110</v>
      </c>
      <c r="D6" s="29" t="s">
        <v>111</v>
      </c>
      <c r="E6" s="30" t="s">
        <v>111</v>
      </c>
      <c r="F6" s="31">
        <v>0</v>
      </c>
      <c r="G6" s="18"/>
      <c r="H6" s="18"/>
      <c r="I6" s="19" t="e">
        <f>H6/F6</f>
        <v>#DIV/0!</v>
      </c>
    </row>
    <row r="7" spans="1:9" ht="16.8" customHeight="1" x14ac:dyDescent="0.25">
      <c r="A7" s="5" t="s">
        <v>105</v>
      </c>
      <c r="B7" s="5"/>
      <c r="C7" s="5"/>
      <c r="D7" s="5" t="s">
        <v>112</v>
      </c>
      <c r="E7" s="5"/>
      <c r="F7" s="21">
        <f>SUM(F6:F6)</f>
        <v>0</v>
      </c>
      <c r="G7" s="22"/>
      <c r="H7" s="21">
        <f>SUM(H6:H6)</f>
        <v>0</v>
      </c>
      <c r="I7" s="23" t="e">
        <f>H7/F7</f>
        <v>#DIV/0!</v>
      </c>
    </row>
  </sheetData>
  <mergeCells count="9">
    <mergeCell ref="G4:G5"/>
    <mergeCell ref="H4:I4"/>
    <mergeCell ref="D6:E6"/>
    <mergeCell ref="A7:C7"/>
    <mergeCell ref="D7:E7"/>
    <mergeCell ref="A4:A5"/>
    <mergeCell ref="B4:C4"/>
    <mergeCell ref="D4:E5"/>
    <mergeCell ref="F4:F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Inv__Ujitjes_Bulqize</vt:lpstr>
      <vt:lpstr>Rezervuar</vt:lpstr>
      <vt:lpstr>Stacion Pompimi</vt:lpstr>
      <vt:lpstr>Lume &amp; Prrua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2026-10-06T13:33:06Z</dcterms:created>
  <dcterms:modified xsi:type="dcterms:W3CDTF">2026-10-06T13:37:27Z</dcterms:modified>
</cp:coreProperties>
</file>