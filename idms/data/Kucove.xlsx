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"/>
    </mc:Choice>
  </mc:AlternateContent>
  <xr:revisionPtr revIDLastSave="0" documentId="8_{D5940CCF-CA51-4FCE-BE5C-F15F95E1F28E}" xr6:coauthVersionLast="47" xr6:coauthVersionMax="47" xr10:uidLastSave="{00000000-0000-0000-0000-000000000000}"/>
  <bookViews>
    <workbookView xWindow="-28920" yWindow="-1470" windowWidth="29040" windowHeight="15720" xr2:uid="{6FD79F02-BAC9-4308-A57A-54214F7D4642}"/>
  </bookViews>
  <sheets>
    <sheet name="Inv__Ujitjes_Kucove" sheetId="1" r:id="rId1"/>
    <sheet name="Rezervuar" sheetId="2" r:id="rId2"/>
    <sheet name="Stacion Pompimi" sheetId="3" r:id="rId3"/>
    <sheet name="Lume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4" l="1"/>
  <c r="F6" i="4"/>
  <c r="I5" i="4"/>
  <c r="H10" i="3"/>
  <c r="I10" i="3" s="1"/>
  <c r="F10" i="3"/>
  <c r="I9" i="3"/>
  <c r="I8" i="3"/>
  <c r="I7" i="3"/>
  <c r="I6" i="3"/>
  <c r="I5" i="3"/>
  <c r="H13" i="2"/>
  <c r="F13" i="2"/>
  <c r="I12" i="2"/>
  <c r="I11" i="2"/>
  <c r="I10" i="2"/>
  <c r="I9" i="2"/>
  <c r="I8" i="2"/>
  <c r="I7" i="2"/>
  <c r="I6" i="2"/>
  <c r="I5" i="2"/>
  <c r="H16" i="1"/>
  <c r="I16" i="1" s="1"/>
  <c r="F16" i="1"/>
  <c r="I15" i="1"/>
  <c r="I14" i="1"/>
  <c r="I13" i="1"/>
  <c r="I12" i="1"/>
  <c r="I11" i="1"/>
  <c r="I10" i="1"/>
  <c r="I9" i="1"/>
  <c r="I8" i="1"/>
  <c r="I7" i="1"/>
  <c r="I6" i="1"/>
  <c r="I5" i="1"/>
  <c r="I6" i="4" l="1"/>
  <c r="I13" i="2"/>
</calcChain>
</file>

<file path=xl/sharedStrings.xml><?xml version="1.0" encoding="utf-8"?>
<sst xmlns="http://schemas.openxmlformats.org/spreadsheetml/2006/main" count="150" uniqueCount="50">
  <si>
    <t>Skema të plota të transferuara</t>
  </si>
  <si>
    <t>Nr.</t>
  </si>
  <si>
    <t>Skema Ujitëse</t>
  </si>
  <si>
    <t>Burimi Ujor</t>
  </si>
  <si>
    <t>Kanale të Para dhe të Dyta në Km</t>
  </si>
  <si>
    <t>Identifikuar në Teren</t>
  </si>
  <si>
    <t>Përditësuar</t>
  </si>
  <si>
    <t>Kodi</t>
  </si>
  <si>
    <t>Emërtimi</t>
  </si>
  <si>
    <t>Km</t>
  </si>
  <si>
    <t>%</t>
  </si>
  <si>
    <t>BRU - 22</t>
  </si>
  <si>
    <t xml:space="preserve">Sheqez </t>
  </si>
  <si>
    <t>Rezervuar</t>
  </si>
  <si>
    <t>BRU-V3</t>
  </si>
  <si>
    <t>Saraselit Spring</t>
  </si>
  <si>
    <t>Saraselit</t>
  </si>
  <si>
    <t>BRU-V4</t>
  </si>
  <si>
    <t>Dokollare field</t>
  </si>
  <si>
    <t>Belesove</t>
  </si>
  <si>
    <t>BRU-V6</t>
  </si>
  <si>
    <t>Bardhaj - Shegez</t>
  </si>
  <si>
    <t>BRU-V7</t>
  </si>
  <si>
    <t>Vodez - Çiflik</t>
  </si>
  <si>
    <t>KVU - 2</t>
  </si>
  <si>
    <t>Perondi Field by Berat - Ure Kuc</t>
  </si>
  <si>
    <t xml:space="preserve">Lume+ stp Rezervuar </t>
  </si>
  <si>
    <t>Devoll + Goraj</t>
  </si>
  <si>
    <t>KVU - 3</t>
  </si>
  <si>
    <t>Gege Reservoir</t>
  </si>
  <si>
    <t>Rezervuar + Stp.</t>
  </si>
  <si>
    <t>Gege</t>
  </si>
  <si>
    <t>KVU - 1</t>
  </si>
  <si>
    <t>Kozara Field by Banja H.P.S</t>
  </si>
  <si>
    <t>Lume Devoll + stp</t>
  </si>
  <si>
    <t>Kozare</t>
  </si>
  <si>
    <t>KVU - 6</t>
  </si>
  <si>
    <t>Kozare + Fier mimar Field</t>
  </si>
  <si>
    <t>Fier Mimar rezervuar</t>
  </si>
  <si>
    <t>KVU - 4</t>
  </si>
  <si>
    <t>Gege stacion pompimi 2 &amp; 3</t>
  </si>
  <si>
    <t>Stp.</t>
  </si>
  <si>
    <t>KVU - 5</t>
  </si>
  <si>
    <t>Vlashuk stacion pompimi 2</t>
  </si>
  <si>
    <t>Vlaushk</t>
  </si>
  <si>
    <t>Total</t>
  </si>
  <si>
    <t>11 Skema</t>
  </si>
  <si>
    <t>8 Skema</t>
  </si>
  <si>
    <t>1 Skeme</t>
  </si>
  <si>
    <t>5 Skema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</si>
</sst>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entury Gothic"/>
      <family val="2"/>
    </font>
    <font>
      <sz val="11"/>
      <color rgb="FF000000"/>
      <name val="Century Gothic"/>
      <family val="2"/>
    </font>
    <font>
      <b/>
      <sz val="11"/>
      <color rgb="FFC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Border="0" applyProtection="0"/>
  </cellStyleXfs>
  <cellXfs count="25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2" applyFont="1" applyBorder="1" applyAlignment="1">
      <alignment wrapText="1"/>
    </xf>
    <xf numFmtId="1" fontId="5" fillId="0" borderId="6" xfId="2" applyNumberForma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10" fontId="6" fillId="0" borderId="1" xfId="1" applyNumberFormat="1" applyFont="1" applyBorder="1"/>
    <xf numFmtId="0" fontId="3" fillId="0" borderId="1" xfId="2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wrapText="1"/>
    </xf>
    <xf numFmtId="0" fontId="5" fillId="0" borderId="6" xfId="2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0" fontId="4" fillId="2" borderId="1" xfId="1" applyNumberFormat="1" applyFont="1" applyFill="1" applyBorder="1" applyAlignment="1">
      <alignment horizontal="center" vertical="center" wrapText="1"/>
    </xf>
    <xf numFmtId="0" fontId="3" fillId="0" borderId="1" xfId="2" applyFont="1" applyBorder="1" applyAlignment="1"/>
  </cellXfs>
  <cellStyles count="3">
    <cellStyle name="Normal" xfId="0" builtinId="0"/>
    <cellStyle name="Normal 2" xfId="2" xr:uid="{464C492C-CAB0-468E-9781-904DE4886F43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91F1F-72EF-42CD-BA5B-3DB85C0A4BE3}">
  <dimension ref="A1:I16"/>
  <sheetViews>
    <sheetView tabSelected="1" zoomScaleNormal="100" workbookViewId="0">
      <selection activeCell="C27" sqref="C27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4" t="s">
        <v>13</v>
      </c>
      <c r="E5" s="14" t="s">
        <v>12</v>
      </c>
      <c r="F5" s="15">
        <v>1</v>
      </c>
      <c r="G5" s="16"/>
      <c r="H5" s="16"/>
      <c r="I5" s="17">
        <f>H5/F5</f>
        <v>0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4" t="s">
        <v>13</v>
      </c>
      <c r="E6" s="14" t="s">
        <v>16</v>
      </c>
      <c r="F6" s="18">
        <v>1</v>
      </c>
      <c r="G6" s="16"/>
      <c r="H6" s="16"/>
      <c r="I6" s="17">
        <f t="shared" ref="I6:I16" si="0">H6/F6</f>
        <v>0</v>
      </c>
    </row>
    <row r="7" spans="1:9" ht="15.6" customHeight="1" x14ac:dyDescent="0.25">
      <c r="A7" s="13">
        <v>3</v>
      </c>
      <c r="B7" s="14" t="s">
        <v>17</v>
      </c>
      <c r="C7" s="14" t="s">
        <v>18</v>
      </c>
      <c r="D7" s="14" t="s">
        <v>13</v>
      </c>
      <c r="E7" s="14" t="s">
        <v>19</v>
      </c>
      <c r="F7" s="18">
        <v>1.5</v>
      </c>
      <c r="G7" s="19"/>
      <c r="H7" s="19"/>
      <c r="I7" s="17">
        <f t="shared" si="0"/>
        <v>0</v>
      </c>
    </row>
    <row r="8" spans="1:9" ht="15.6" customHeight="1" x14ac:dyDescent="0.25">
      <c r="A8" s="13">
        <v>4</v>
      </c>
      <c r="B8" s="14" t="s">
        <v>20</v>
      </c>
      <c r="C8" s="14" t="s">
        <v>21</v>
      </c>
      <c r="D8" s="14" t="s">
        <v>13</v>
      </c>
      <c r="E8" s="14" t="s">
        <v>19</v>
      </c>
      <c r="F8" s="18">
        <v>2</v>
      </c>
      <c r="G8" s="16"/>
      <c r="H8" s="16"/>
      <c r="I8" s="17">
        <f t="shared" si="0"/>
        <v>0</v>
      </c>
    </row>
    <row r="9" spans="1:9" ht="15.6" customHeight="1" x14ac:dyDescent="0.25">
      <c r="A9" s="13">
        <v>5</v>
      </c>
      <c r="B9" s="14" t="s">
        <v>22</v>
      </c>
      <c r="C9" s="14" t="s">
        <v>23</v>
      </c>
      <c r="D9" s="14" t="s">
        <v>13</v>
      </c>
      <c r="E9" s="14" t="s">
        <v>19</v>
      </c>
      <c r="F9" s="18">
        <v>2.5</v>
      </c>
      <c r="G9" s="16"/>
      <c r="H9" s="16"/>
      <c r="I9" s="17">
        <f t="shared" si="0"/>
        <v>0</v>
      </c>
    </row>
    <row r="10" spans="1:9" ht="30" customHeight="1" x14ac:dyDescent="0.25">
      <c r="A10" s="13">
        <v>6</v>
      </c>
      <c r="B10" s="14" t="s">
        <v>24</v>
      </c>
      <c r="C10" s="14" t="s">
        <v>25</v>
      </c>
      <c r="D10" s="14" t="s">
        <v>26</v>
      </c>
      <c r="E10" s="14" t="s">
        <v>27</v>
      </c>
      <c r="F10" s="18">
        <v>53</v>
      </c>
      <c r="G10" s="19"/>
      <c r="H10" s="19"/>
      <c r="I10" s="17">
        <f t="shared" si="0"/>
        <v>0</v>
      </c>
    </row>
    <row r="11" spans="1:9" ht="15.6" customHeight="1" x14ac:dyDescent="0.25">
      <c r="A11" s="13">
        <v>7</v>
      </c>
      <c r="B11" s="14" t="s">
        <v>28</v>
      </c>
      <c r="C11" s="14" t="s">
        <v>29</v>
      </c>
      <c r="D11" s="14" t="s">
        <v>30</v>
      </c>
      <c r="E11" s="14" t="s">
        <v>31</v>
      </c>
      <c r="F11" s="18">
        <v>4.2</v>
      </c>
      <c r="G11" s="16"/>
      <c r="H11" s="16"/>
      <c r="I11" s="17">
        <f t="shared" si="0"/>
        <v>0</v>
      </c>
    </row>
    <row r="12" spans="1:9" ht="15.6" customHeight="1" x14ac:dyDescent="0.25">
      <c r="A12" s="13">
        <v>8</v>
      </c>
      <c r="B12" s="14" t="s">
        <v>32</v>
      </c>
      <c r="C12" s="14" t="s">
        <v>33</v>
      </c>
      <c r="D12" s="14" t="s">
        <v>34</v>
      </c>
      <c r="E12" s="14" t="s">
        <v>35</v>
      </c>
      <c r="F12" s="18">
        <v>44.6</v>
      </c>
      <c r="G12" s="16"/>
      <c r="H12" s="16"/>
      <c r="I12" s="17">
        <f t="shared" si="0"/>
        <v>0</v>
      </c>
    </row>
    <row r="13" spans="1:9" ht="15.6" customHeight="1" x14ac:dyDescent="0.25">
      <c r="A13" s="13">
        <v>9</v>
      </c>
      <c r="B13" s="14" t="s">
        <v>36</v>
      </c>
      <c r="C13" s="14" t="s">
        <v>37</v>
      </c>
      <c r="D13" s="14" t="s">
        <v>38</v>
      </c>
      <c r="E13" s="14"/>
      <c r="F13" s="18">
        <v>32.6</v>
      </c>
      <c r="G13" s="19"/>
      <c r="H13" s="19"/>
      <c r="I13" s="17">
        <f t="shared" si="0"/>
        <v>0</v>
      </c>
    </row>
    <row r="14" spans="1:9" ht="15.6" customHeight="1" x14ac:dyDescent="0.25">
      <c r="A14" s="13">
        <v>10</v>
      </c>
      <c r="B14" s="14" t="s">
        <v>39</v>
      </c>
      <c r="C14" s="14" t="s">
        <v>40</v>
      </c>
      <c r="D14" s="14" t="s">
        <v>41</v>
      </c>
      <c r="E14" s="14" t="s">
        <v>31</v>
      </c>
      <c r="F14" s="18">
        <v>13</v>
      </c>
      <c r="G14" s="16"/>
      <c r="H14" s="16"/>
      <c r="I14" s="17">
        <f t="shared" si="0"/>
        <v>0</v>
      </c>
    </row>
    <row r="15" spans="1:9" ht="15.6" customHeight="1" x14ac:dyDescent="0.25">
      <c r="A15" s="13">
        <v>11</v>
      </c>
      <c r="B15" s="14" t="s">
        <v>42</v>
      </c>
      <c r="C15" s="14" t="s">
        <v>43</v>
      </c>
      <c r="D15" s="14" t="s">
        <v>41</v>
      </c>
      <c r="E15" s="14" t="s">
        <v>44</v>
      </c>
      <c r="F15" s="20">
        <v>7.3</v>
      </c>
      <c r="G15" s="16"/>
      <c r="H15" s="16"/>
      <c r="I15" s="17">
        <f t="shared" si="0"/>
        <v>0</v>
      </c>
    </row>
    <row r="16" spans="1:9" ht="16.8" customHeight="1" x14ac:dyDescent="0.25">
      <c r="A16" s="5" t="s">
        <v>45</v>
      </c>
      <c r="B16" s="5"/>
      <c r="C16" s="5"/>
      <c r="D16" s="5" t="s">
        <v>46</v>
      </c>
      <c r="E16" s="5"/>
      <c r="F16" s="21">
        <f>SUM(F5:F15)</f>
        <v>162.70000000000002</v>
      </c>
      <c r="G16" s="22"/>
      <c r="H16" s="21">
        <f>SUM(H5:H15)</f>
        <v>0</v>
      </c>
      <c r="I16" s="23">
        <f t="shared" si="0"/>
        <v>0</v>
      </c>
    </row>
  </sheetData>
  <mergeCells count="8">
    <mergeCell ref="A16:C16"/>
    <mergeCell ref="D16:E16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9DE90-4907-4534-8944-7D4CAEFB93C0}">
  <dimension ref="A1:I13"/>
  <sheetViews>
    <sheetView zoomScaleNormal="100" workbookViewId="0">
      <selection activeCell="D14" sqref="D14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4" t="s">
        <v>13</v>
      </c>
      <c r="E5" s="14" t="s">
        <v>12</v>
      </c>
      <c r="F5" s="15">
        <v>1</v>
      </c>
      <c r="G5" s="16"/>
      <c r="H5" s="16"/>
      <c r="I5" s="17">
        <f>H5/F5</f>
        <v>0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4" t="s">
        <v>13</v>
      </c>
      <c r="E6" s="14" t="s">
        <v>16</v>
      </c>
      <c r="F6" s="18">
        <v>1</v>
      </c>
      <c r="G6" s="16"/>
      <c r="H6" s="16"/>
      <c r="I6" s="17">
        <f t="shared" ref="I6:I13" si="0">H6/F6</f>
        <v>0</v>
      </c>
    </row>
    <row r="7" spans="1:9" ht="15.6" customHeight="1" x14ac:dyDescent="0.25">
      <c r="A7" s="13">
        <v>3</v>
      </c>
      <c r="B7" s="14" t="s">
        <v>17</v>
      </c>
      <c r="C7" s="14" t="s">
        <v>18</v>
      </c>
      <c r="D7" s="14" t="s">
        <v>13</v>
      </c>
      <c r="E7" s="14" t="s">
        <v>19</v>
      </c>
      <c r="F7" s="18">
        <v>1.5</v>
      </c>
      <c r="G7" s="19"/>
      <c r="H7" s="19"/>
      <c r="I7" s="17">
        <f t="shared" si="0"/>
        <v>0</v>
      </c>
    </row>
    <row r="8" spans="1:9" ht="15.6" customHeight="1" x14ac:dyDescent="0.25">
      <c r="A8" s="13">
        <v>4</v>
      </c>
      <c r="B8" s="14" t="s">
        <v>20</v>
      </c>
      <c r="C8" s="14" t="s">
        <v>21</v>
      </c>
      <c r="D8" s="14" t="s">
        <v>13</v>
      </c>
      <c r="E8" s="14" t="s">
        <v>19</v>
      </c>
      <c r="F8" s="18">
        <v>2</v>
      </c>
      <c r="G8" s="16"/>
      <c r="H8" s="16"/>
      <c r="I8" s="17">
        <f t="shared" si="0"/>
        <v>0</v>
      </c>
    </row>
    <row r="9" spans="1:9" ht="15.6" customHeight="1" x14ac:dyDescent="0.25">
      <c r="A9" s="13">
        <v>5</v>
      </c>
      <c r="B9" s="14" t="s">
        <v>22</v>
      </c>
      <c r="C9" s="14" t="s">
        <v>23</v>
      </c>
      <c r="D9" s="14" t="s">
        <v>13</v>
      </c>
      <c r="E9" s="14" t="s">
        <v>19</v>
      </c>
      <c r="F9" s="18">
        <v>2.5</v>
      </c>
      <c r="G9" s="16"/>
      <c r="H9" s="16"/>
      <c r="I9" s="17">
        <f t="shared" si="0"/>
        <v>0</v>
      </c>
    </row>
    <row r="10" spans="1:9" ht="30" customHeight="1" x14ac:dyDescent="0.25">
      <c r="A10" s="13">
        <v>6</v>
      </c>
      <c r="B10" s="14" t="s">
        <v>24</v>
      </c>
      <c r="C10" s="14" t="s">
        <v>25</v>
      </c>
      <c r="D10" s="14" t="s">
        <v>26</v>
      </c>
      <c r="E10" s="14" t="s">
        <v>27</v>
      </c>
      <c r="F10" s="18">
        <v>53</v>
      </c>
      <c r="G10" s="19"/>
      <c r="H10" s="19"/>
      <c r="I10" s="17">
        <f t="shared" si="0"/>
        <v>0</v>
      </c>
    </row>
    <row r="11" spans="1:9" ht="15.6" customHeight="1" x14ac:dyDescent="0.25">
      <c r="A11" s="13">
        <v>7</v>
      </c>
      <c r="B11" s="14" t="s">
        <v>28</v>
      </c>
      <c r="C11" s="14" t="s">
        <v>29</v>
      </c>
      <c r="D11" s="14" t="s">
        <v>30</v>
      </c>
      <c r="E11" s="14" t="s">
        <v>31</v>
      </c>
      <c r="F11" s="18">
        <v>4.2</v>
      </c>
      <c r="G11" s="16"/>
      <c r="H11" s="16"/>
      <c r="I11" s="17">
        <f t="shared" si="0"/>
        <v>0</v>
      </c>
    </row>
    <row r="12" spans="1:9" ht="15.6" customHeight="1" x14ac:dyDescent="0.25">
      <c r="A12" s="13">
        <v>8</v>
      </c>
      <c r="B12" s="14" t="s">
        <v>36</v>
      </c>
      <c r="C12" s="14" t="s">
        <v>37</v>
      </c>
      <c r="D12" s="14" t="s">
        <v>38</v>
      </c>
      <c r="E12" s="14"/>
      <c r="F12" s="18">
        <v>32.6</v>
      </c>
      <c r="G12" s="19"/>
      <c r="H12" s="19"/>
      <c r="I12" s="17">
        <f t="shared" si="0"/>
        <v>0</v>
      </c>
    </row>
    <row r="13" spans="1:9" ht="16.8" customHeight="1" x14ac:dyDescent="0.25">
      <c r="A13" s="5" t="s">
        <v>45</v>
      </c>
      <c r="B13" s="5"/>
      <c r="C13" s="5"/>
      <c r="D13" s="5" t="s">
        <v>47</v>
      </c>
      <c r="E13" s="5"/>
      <c r="F13" s="21">
        <f>SUM(F5:F12)</f>
        <v>97.800000000000011</v>
      </c>
      <c r="G13" s="22"/>
      <c r="H13" s="21">
        <f>SUM(H5:H12)</f>
        <v>0</v>
      </c>
      <c r="I13" s="23">
        <f t="shared" si="0"/>
        <v>0</v>
      </c>
    </row>
  </sheetData>
  <mergeCells count="8">
    <mergeCell ref="A13:C13"/>
    <mergeCell ref="D13:E13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13BE9-9CFD-47A3-B7B1-272F6E5A1088}">
  <dimension ref="A1:I10"/>
  <sheetViews>
    <sheetView zoomScaleNormal="100" workbookViewId="0">
      <selection activeCell="D11" sqref="D11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30" customHeight="1" x14ac:dyDescent="0.25">
      <c r="A5" s="13">
        <v>1</v>
      </c>
      <c r="B5" s="14" t="s">
        <v>24</v>
      </c>
      <c r="C5" s="14" t="s">
        <v>25</v>
      </c>
      <c r="D5" s="14" t="s">
        <v>26</v>
      </c>
      <c r="E5" s="14" t="s">
        <v>27</v>
      </c>
      <c r="F5" s="18">
        <v>53</v>
      </c>
      <c r="G5" s="19"/>
      <c r="H5" s="19"/>
      <c r="I5" s="17">
        <f t="shared" ref="I5:I10" si="0">H5/F5</f>
        <v>0</v>
      </c>
    </row>
    <row r="6" spans="1:9" ht="15.6" customHeight="1" x14ac:dyDescent="0.25">
      <c r="A6" s="13">
        <v>2</v>
      </c>
      <c r="B6" s="14" t="s">
        <v>28</v>
      </c>
      <c r="C6" s="14" t="s">
        <v>29</v>
      </c>
      <c r="D6" s="14" t="s">
        <v>30</v>
      </c>
      <c r="E6" s="14" t="s">
        <v>31</v>
      </c>
      <c r="F6" s="18">
        <v>4.2</v>
      </c>
      <c r="G6" s="16"/>
      <c r="H6" s="16"/>
      <c r="I6" s="17">
        <f t="shared" si="0"/>
        <v>0</v>
      </c>
    </row>
    <row r="7" spans="1:9" ht="15.6" customHeight="1" x14ac:dyDescent="0.25">
      <c r="A7" s="13">
        <v>3</v>
      </c>
      <c r="B7" s="14" t="s">
        <v>32</v>
      </c>
      <c r="C7" s="14" t="s">
        <v>33</v>
      </c>
      <c r="D7" s="14" t="s">
        <v>34</v>
      </c>
      <c r="E7" s="14" t="s">
        <v>35</v>
      </c>
      <c r="F7" s="18">
        <v>44.6</v>
      </c>
      <c r="G7" s="16"/>
      <c r="H7" s="16"/>
      <c r="I7" s="17">
        <f t="shared" si="0"/>
        <v>0</v>
      </c>
    </row>
    <row r="8" spans="1:9" ht="15.6" customHeight="1" x14ac:dyDescent="0.25">
      <c r="A8" s="13">
        <v>4</v>
      </c>
      <c r="B8" s="14" t="s">
        <v>39</v>
      </c>
      <c r="C8" s="14" t="s">
        <v>40</v>
      </c>
      <c r="D8" s="14" t="s">
        <v>41</v>
      </c>
      <c r="E8" s="14" t="s">
        <v>31</v>
      </c>
      <c r="F8" s="18">
        <v>13</v>
      </c>
      <c r="G8" s="16"/>
      <c r="H8" s="16"/>
      <c r="I8" s="17">
        <f t="shared" si="0"/>
        <v>0</v>
      </c>
    </row>
    <row r="9" spans="1:9" ht="15.6" customHeight="1" x14ac:dyDescent="0.25">
      <c r="A9" s="13">
        <v>5</v>
      </c>
      <c r="B9" s="14" t="s">
        <v>42</v>
      </c>
      <c r="C9" s="14" t="s">
        <v>43</v>
      </c>
      <c r="D9" s="14" t="s">
        <v>41</v>
      </c>
      <c r="E9" s="14" t="s">
        <v>44</v>
      </c>
      <c r="F9" s="20">
        <v>7.3</v>
      </c>
      <c r="G9" s="16"/>
      <c r="H9" s="16"/>
      <c r="I9" s="17">
        <f t="shared" si="0"/>
        <v>0</v>
      </c>
    </row>
    <row r="10" spans="1:9" ht="16.8" customHeight="1" x14ac:dyDescent="0.25">
      <c r="A10" s="5" t="s">
        <v>45</v>
      </c>
      <c r="B10" s="5"/>
      <c r="C10" s="5"/>
      <c r="D10" s="5" t="s">
        <v>49</v>
      </c>
      <c r="E10" s="5"/>
      <c r="F10" s="21">
        <f>SUM(F5:F9)</f>
        <v>122.10000000000001</v>
      </c>
      <c r="G10" s="22"/>
      <c r="H10" s="21">
        <f>SUM(H5:H9)</f>
        <v>0</v>
      </c>
      <c r="I10" s="23">
        <f t="shared" si="0"/>
        <v>0</v>
      </c>
    </row>
  </sheetData>
  <mergeCells count="8">
    <mergeCell ref="A10:C10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D5F30-CE30-47F9-B250-58DB27E4F29D}">
  <dimension ref="A1:I6"/>
  <sheetViews>
    <sheetView zoomScaleNormal="100" workbookViewId="0">
      <selection activeCell="D7" sqref="D7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4" width="21.6640625" style="2" customWidth="1"/>
    <col min="5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3.2" customHeight="1" x14ac:dyDescent="0.25">
      <c r="A5" s="13">
        <v>1</v>
      </c>
      <c r="B5" s="14" t="s">
        <v>24</v>
      </c>
      <c r="C5" s="14" t="s">
        <v>25</v>
      </c>
      <c r="D5" s="24" t="s">
        <v>26</v>
      </c>
      <c r="E5" s="14" t="s">
        <v>27</v>
      </c>
      <c r="F5" s="18">
        <v>53</v>
      </c>
      <c r="G5" s="19"/>
      <c r="H5" s="19"/>
      <c r="I5" s="17">
        <f t="shared" ref="I5:I6" si="0">H5/F5</f>
        <v>0</v>
      </c>
    </row>
    <row r="6" spans="1:9" ht="16.8" customHeight="1" x14ac:dyDescent="0.25">
      <c r="A6" s="5" t="s">
        <v>45</v>
      </c>
      <c r="B6" s="5"/>
      <c r="C6" s="5"/>
      <c r="D6" s="5" t="s">
        <v>48</v>
      </c>
      <c r="E6" s="5"/>
      <c r="F6" s="21">
        <f>SUM(F5:F5)</f>
        <v>53</v>
      </c>
      <c r="G6" s="22"/>
      <c r="H6" s="21">
        <f>SUM(H5:H5)</f>
        <v>0</v>
      </c>
      <c r="I6" s="23">
        <f t="shared" si="0"/>
        <v>0</v>
      </c>
    </row>
  </sheetData>
  <mergeCells count="8">
    <mergeCell ref="A6:C6"/>
    <mergeCell ref="D6:E6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Inv__Ujitjes_Kucove</vt:lpstr>
      <vt:lpstr>Rezervuar</vt:lpstr>
      <vt:lpstr>Stacion Pompimi</vt:lpstr>
      <vt:lpstr>Lume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2026-10-05T10:00:20Z</dcterms:created>
  <dcterms:modified xsi:type="dcterms:W3CDTF">2026-10-05T10:13:54Z</dcterms:modified>
</cp:coreProperties>
</file>