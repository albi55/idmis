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509F295A-B382-4657-9732-EBE724298A05}" xr6:coauthVersionLast="47" xr6:coauthVersionMax="47" xr10:uidLastSave="{00000000-0000-0000-0000-000000000000}"/>
  <bookViews>
    <workbookView xWindow="-28920" yWindow="-1470" windowWidth="29040" windowHeight="15720" xr2:uid="{B4C2704A-B1B2-4423-9CEA-7C8B892B25E5}"/>
  </bookViews>
  <sheets>
    <sheet name="Inv__Ujitjes_Divjake" sheetId="1" r:id="rId1"/>
    <sheet name="Rezervuar" sheetId="2" r:id="rId2"/>
    <sheet name="Stacione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4" l="1"/>
  <c r="F9" i="4"/>
  <c r="I8" i="4"/>
  <c r="I7" i="4"/>
  <c r="I6" i="4"/>
  <c r="I5" i="4"/>
  <c r="H20" i="3"/>
  <c r="F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26" i="2"/>
  <c r="F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46" i="1"/>
  <c r="I46" i="1" s="1"/>
  <c r="F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9" i="4" l="1"/>
  <c r="I20" i="3"/>
  <c r="I26" i="2"/>
</calcChain>
</file>

<file path=xl/sharedStrings.xml><?xml version="1.0" encoding="utf-8"?>
<sst xmlns="http://schemas.openxmlformats.org/spreadsheetml/2006/main" count="296" uniqueCount="109">
  <si>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</si>
  <si>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</si>
  <si>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</si>
  <si>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</si>
  <si>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</si>
  <si>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</si>
  <si>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</si>
  <si>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</si>
  <si>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</si>
  <si>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</si>
  <si>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</si>
  <si>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LUU 3-1</t>
  </si>
  <si>
    <t>STP Rrogozhine</t>
  </si>
  <si>
    <t xml:space="preserve">Lumi </t>
  </si>
  <si>
    <t>LUU 3-2</t>
  </si>
  <si>
    <t>STP Cerme</t>
  </si>
  <si>
    <t>LUU 3-3</t>
  </si>
  <si>
    <t>STP Cerm Shkumbin</t>
  </si>
  <si>
    <t>LUU 1 -3</t>
  </si>
  <si>
    <t>UFSH Bedat nr.1</t>
  </si>
  <si>
    <t>Emisari Myzeqese</t>
  </si>
  <si>
    <t>LUU 1 -4</t>
  </si>
  <si>
    <t>UFSH Bedat nr.2</t>
  </si>
  <si>
    <t>LUU 1 -5</t>
  </si>
  <si>
    <t>UFSH Terbuf</t>
  </si>
  <si>
    <t>Kolektori Dushk</t>
  </si>
  <si>
    <t>LUU 1 -6</t>
  </si>
  <si>
    <t>UFSH Grabian</t>
  </si>
  <si>
    <t>K 10/2</t>
  </si>
  <si>
    <t>LUU 1 -7</t>
  </si>
  <si>
    <t>STP K4 Bedat</t>
  </si>
  <si>
    <t>LUK 3-4</t>
  </si>
  <si>
    <t>LUU 2-1</t>
  </si>
  <si>
    <t>Rezervuari Divjakes</t>
  </si>
  <si>
    <t>LUU 2-2</t>
  </si>
  <si>
    <t>Rezervuari Xeng 1</t>
  </si>
  <si>
    <t>LUU 2-3</t>
  </si>
  <si>
    <t>Rezervuari Xeng 2</t>
  </si>
  <si>
    <t>LUU 2-4</t>
  </si>
  <si>
    <t>Rezervuari Mizes</t>
  </si>
  <si>
    <t>LUU 2-5</t>
  </si>
  <si>
    <t>STP Divjake</t>
  </si>
  <si>
    <t>Emisari Terbufit</t>
  </si>
  <si>
    <t>LUU 2-6</t>
  </si>
  <si>
    <t>STP Pulari Divjake</t>
  </si>
  <si>
    <t>LUU 2-7</t>
  </si>
  <si>
    <t>UFSH Mize</t>
  </si>
  <si>
    <t>Rezervuari Xeng</t>
  </si>
  <si>
    <t>LUU 5-1</t>
  </si>
  <si>
    <t>Rezervuari I Kryekuqit Nr.1</t>
  </si>
  <si>
    <t>LUU 5-2</t>
  </si>
  <si>
    <t>Rezervuari I Kryekuqit Nr.2</t>
  </si>
  <si>
    <t>LUU 5-3</t>
  </si>
  <si>
    <t>Rezervuari Spolate Nr.1</t>
  </si>
  <si>
    <t>LUU 5-4</t>
  </si>
  <si>
    <t>Rezervuari Spolate Nr.2</t>
  </si>
  <si>
    <t>LUU 5-5</t>
  </si>
  <si>
    <t>Rezervuari Spolate Nr.3</t>
  </si>
  <si>
    <t>LUU 5-6</t>
  </si>
  <si>
    <t>Rezervuari Plemaj</t>
  </si>
  <si>
    <t>LUU 5-7</t>
  </si>
  <si>
    <t>Rezervuari Shenkollas Nr.1</t>
  </si>
  <si>
    <t>LUU 5-8</t>
  </si>
  <si>
    <t>Rezervuari Shenkollas Nr.2</t>
  </si>
  <si>
    <t>LUU 5-9</t>
  </si>
  <si>
    <t>Rezervuari Grabian Nr.1</t>
  </si>
  <si>
    <t>LUU 5-10</t>
  </si>
  <si>
    <t>Rezervuari Grabian Nr.2</t>
  </si>
  <si>
    <t>LUU 5-11</t>
  </si>
  <si>
    <t>Rezervuari Ardenice</t>
  </si>
  <si>
    <t>LUU 5-12</t>
  </si>
  <si>
    <t>Rezervuari Kolonje</t>
  </si>
  <si>
    <t>LUU 5-13</t>
  </si>
  <si>
    <t>Rezervuari Fierseman</t>
  </si>
  <si>
    <t>LUU 5-14</t>
  </si>
  <si>
    <t>Rezervuari Bicukas</t>
  </si>
  <si>
    <t>LUU 5-15</t>
  </si>
  <si>
    <t>Rezervuari Germenj</t>
  </si>
  <si>
    <t>LUU 5-16</t>
  </si>
  <si>
    <t>Rezervuari Dushk Can</t>
  </si>
  <si>
    <t>LUU 5-17</t>
  </si>
  <si>
    <t>STP Bicukas</t>
  </si>
  <si>
    <t>LUU 5-18</t>
  </si>
  <si>
    <t>STP Sulzotaj</t>
  </si>
  <si>
    <t>LUU 5-19</t>
  </si>
  <si>
    <t>STP Shenepremte</t>
  </si>
  <si>
    <t>LUU 5-20</t>
  </si>
  <si>
    <t>STP 105 Grabian</t>
  </si>
  <si>
    <t>K 10/1</t>
  </si>
  <si>
    <t>LUU 5-21</t>
  </si>
  <si>
    <t>STP Spolat</t>
  </si>
  <si>
    <t>Dega Terbuf</t>
  </si>
  <si>
    <t>LUU 5-22</t>
  </si>
  <si>
    <t>STP Gradisht</t>
  </si>
  <si>
    <t>LUU 5-23</t>
  </si>
  <si>
    <t>STP Korie</t>
  </si>
  <si>
    <t>Dega e Krutjes</t>
  </si>
  <si>
    <t>LUU 5-24</t>
  </si>
  <si>
    <t>STP Ardenice</t>
  </si>
  <si>
    <t>Kolektori Bitaj</t>
  </si>
  <si>
    <t>LUU 5-25</t>
  </si>
  <si>
    <t>STP Kolonje</t>
  </si>
  <si>
    <t>LUU 5-26</t>
  </si>
  <si>
    <t>STP Gure</t>
  </si>
  <si>
    <t>V2 Dega e Krutjes</t>
  </si>
  <si>
    <t>Total</t>
  </si>
  <si>
    <t>41 Skema</t>
  </si>
  <si>
    <t>21 Skema</t>
  </si>
  <si>
    <t>15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</si>
</sst>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A0ED9C6-3834-402E-B431-1E6766CA63D7}"/>
    <cellStyle name="Percent 3" xfId="2" xr:uid="{79A35077-65F2-4C46-AF4B-54415C2EB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52A8-3B0E-403E-B463-8699A823B51C}">
  <sheetPr codeName="Sheet39"/>
  <dimension ref="A1:I46"/>
  <sheetViews>
    <sheetView tabSelected="1" zoomScaleNormal="100" workbookViewId="0">
      <selection activeCell="J44" sqref="J4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38.5</v>
      </c>
      <c r="G5" s="18"/>
      <c r="H5" s="18"/>
      <c r="I5" s="19">
        <f t="shared" ref="I5:I4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1.9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20</v>
      </c>
      <c r="E8" s="16" t="s">
        <v>20</v>
      </c>
      <c r="F8" s="17">
        <v>10.799999999999999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20</v>
      </c>
      <c r="E9" s="16" t="s">
        <v>20</v>
      </c>
      <c r="F9" s="17">
        <v>10.799999999999999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25</v>
      </c>
      <c r="E10" s="16" t="s">
        <v>25</v>
      </c>
      <c r="F10" s="17">
        <v>18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28</v>
      </c>
      <c r="E11" s="16" t="s">
        <v>28</v>
      </c>
      <c r="F11" s="17">
        <v>13.5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29</v>
      </c>
      <c r="C12" s="14" t="s">
        <v>30</v>
      </c>
      <c r="D12" s="15" t="s">
        <v>31</v>
      </c>
      <c r="E12" s="16" t="s">
        <v>31</v>
      </c>
      <c r="F12" s="17">
        <v>6.3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32</v>
      </c>
      <c r="C13" s="14" t="s">
        <v>33</v>
      </c>
      <c r="D13" s="15"/>
      <c r="E13" s="16"/>
      <c r="F13" s="17">
        <v>32.799999999999997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34</v>
      </c>
      <c r="C14" s="14" t="s">
        <v>35</v>
      </c>
      <c r="D14" s="15"/>
      <c r="E14" s="16"/>
      <c r="F14" s="17">
        <v>0.2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36</v>
      </c>
      <c r="C15" s="14" t="s">
        <v>37</v>
      </c>
      <c r="D15" s="15"/>
      <c r="E15" s="16"/>
      <c r="F15" s="17">
        <v>0.2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38</v>
      </c>
      <c r="C16" s="14" t="s">
        <v>39</v>
      </c>
      <c r="D16" s="15"/>
      <c r="E16" s="16"/>
      <c r="F16" s="17">
        <v>0.6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40</v>
      </c>
      <c r="C17" s="14" t="s">
        <v>41</v>
      </c>
      <c r="D17" s="15" t="s">
        <v>42</v>
      </c>
      <c r="E17" s="16" t="s">
        <v>42</v>
      </c>
      <c r="F17" s="17">
        <v>13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43</v>
      </c>
      <c r="C18" s="14" t="s">
        <v>44</v>
      </c>
      <c r="D18" s="15" t="s">
        <v>42</v>
      </c>
      <c r="E18" s="16" t="s">
        <v>42</v>
      </c>
      <c r="F18" s="17">
        <v>7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45</v>
      </c>
      <c r="C19" s="14" t="s">
        <v>46</v>
      </c>
      <c r="D19" s="15" t="s">
        <v>47</v>
      </c>
      <c r="E19" s="16" t="s">
        <v>47</v>
      </c>
      <c r="F19" s="17">
        <v>2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48</v>
      </c>
      <c r="C20" s="14" t="s">
        <v>49</v>
      </c>
      <c r="D20" s="15"/>
      <c r="E20" s="16"/>
      <c r="F20" s="17">
        <v>1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50</v>
      </c>
      <c r="C21" s="14" t="s">
        <v>51</v>
      </c>
      <c r="D21" s="15"/>
      <c r="E21" s="16"/>
      <c r="F21" s="17">
        <v>1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52</v>
      </c>
      <c r="C22" s="14" t="s">
        <v>53</v>
      </c>
      <c r="D22" s="15"/>
      <c r="E22" s="16"/>
      <c r="F22" s="17">
        <v>1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54</v>
      </c>
      <c r="C23" s="14" t="s">
        <v>55</v>
      </c>
      <c r="D23" s="15"/>
      <c r="E23" s="16"/>
      <c r="F23" s="17">
        <v>1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56</v>
      </c>
      <c r="C24" s="14" t="s">
        <v>57</v>
      </c>
      <c r="D24" s="15"/>
      <c r="E24" s="16"/>
      <c r="F24" s="17">
        <v>1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58</v>
      </c>
      <c r="C25" s="14" t="s">
        <v>59</v>
      </c>
      <c r="D25" s="15"/>
      <c r="E25" s="16"/>
      <c r="F25" s="17">
        <v>1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60</v>
      </c>
      <c r="C26" s="14" t="s">
        <v>61</v>
      </c>
      <c r="D26" s="15"/>
      <c r="E26" s="16"/>
      <c r="F26" s="17">
        <v>1</v>
      </c>
      <c r="G26" s="17"/>
      <c r="H26" s="17"/>
      <c r="I26" s="19">
        <f t="shared" si="0"/>
        <v>0</v>
      </c>
    </row>
    <row r="27" spans="1:9" ht="15.6" customHeight="1" x14ac:dyDescent="0.25">
      <c r="A27" s="13">
        <v>23</v>
      </c>
      <c r="B27" s="14" t="s">
        <v>62</v>
      </c>
      <c r="C27" s="14" t="s">
        <v>63</v>
      </c>
      <c r="D27" s="15"/>
      <c r="E27" s="16"/>
      <c r="F27" s="17">
        <v>1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64</v>
      </c>
      <c r="C28" s="14" t="s">
        <v>65</v>
      </c>
      <c r="D28" s="15"/>
      <c r="E28" s="16"/>
      <c r="F28" s="17">
        <v>1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66</v>
      </c>
      <c r="C29" s="14" t="s">
        <v>67</v>
      </c>
      <c r="D29" s="15"/>
      <c r="E29" s="16"/>
      <c r="F29" s="17">
        <v>1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68</v>
      </c>
      <c r="C30" s="14" t="s">
        <v>69</v>
      </c>
      <c r="D30" s="15"/>
      <c r="E30" s="16"/>
      <c r="F30" s="17">
        <v>1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70</v>
      </c>
      <c r="C31" s="14" t="s">
        <v>71</v>
      </c>
      <c r="D31" s="15"/>
      <c r="E31" s="16"/>
      <c r="F31" s="17">
        <v>1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72</v>
      </c>
      <c r="C32" s="14" t="s">
        <v>73</v>
      </c>
      <c r="D32" s="15"/>
      <c r="E32" s="16"/>
      <c r="F32" s="17">
        <v>1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74</v>
      </c>
      <c r="C33" s="14" t="s">
        <v>75</v>
      </c>
      <c r="D33" s="15"/>
      <c r="E33" s="16"/>
      <c r="F33" s="17">
        <v>1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76</v>
      </c>
      <c r="C34" s="14" t="s">
        <v>77</v>
      </c>
      <c r="D34" s="15"/>
      <c r="E34" s="16"/>
      <c r="F34" s="17">
        <v>1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78</v>
      </c>
      <c r="C35" s="14" t="s">
        <v>79</v>
      </c>
      <c r="D35" s="15"/>
      <c r="E35" s="16"/>
      <c r="F35" s="17">
        <v>1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80</v>
      </c>
      <c r="C36" s="14" t="s">
        <v>81</v>
      </c>
      <c r="D36" s="15" t="s">
        <v>42</v>
      </c>
      <c r="E36" s="16" t="s">
        <v>42</v>
      </c>
      <c r="F36" s="17">
        <v>1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82</v>
      </c>
      <c r="C37" s="14" t="s">
        <v>83</v>
      </c>
      <c r="D37" s="15" t="s">
        <v>42</v>
      </c>
      <c r="E37" s="16" t="s">
        <v>42</v>
      </c>
      <c r="F37" s="17">
        <v>1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84</v>
      </c>
      <c r="C38" s="14" t="s">
        <v>85</v>
      </c>
      <c r="D38" s="15" t="s">
        <v>42</v>
      </c>
      <c r="E38" s="16" t="s">
        <v>42</v>
      </c>
      <c r="F38" s="17">
        <v>1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86</v>
      </c>
      <c r="C39" s="14" t="s">
        <v>87</v>
      </c>
      <c r="D39" s="15" t="s">
        <v>88</v>
      </c>
      <c r="E39" s="16" t="s">
        <v>88</v>
      </c>
      <c r="F39" s="17">
        <v>1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89</v>
      </c>
      <c r="C40" s="14" t="s">
        <v>90</v>
      </c>
      <c r="D40" s="15" t="s">
        <v>91</v>
      </c>
      <c r="E40" s="16" t="s">
        <v>91</v>
      </c>
      <c r="F40" s="17">
        <v>1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92</v>
      </c>
      <c r="C41" s="14" t="s">
        <v>93</v>
      </c>
      <c r="D41" s="15" t="s">
        <v>73</v>
      </c>
      <c r="E41" s="16" t="s">
        <v>73</v>
      </c>
      <c r="F41" s="17">
        <v>1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94</v>
      </c>
      <c r="C42" s="14" t="s">
        <v>95</v>
      </c>
      <c r="D42" s="15" t="s">
        <v>96</v>
      </c>
      <c r="E42" s="16" t="s">
        <v>96</v>
      </c>
      <c r="F42" s="17">
        <v>1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97</v>
      </c>
      <c r="C43" s="14" t="s">
        <v>98</v>
      </c>
      <c r="D43" s="15" t="s">
        <v>99</v>
      </c>
      <c r="E43" s="16" t="s">
        <v>99</v>
      </c>
      <c r="F43" s="17">
        <v>1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100</v>
      </c>
      <c r="C44" s="14" t="s">
        <v>101</v>
      </c>
      <c r="D44" s="15" t="s">
        <v>99</v>
      </c>
      <c r="E44" s="16" t="s">
        <v>99</v>
      </c>
      <c r="F44" s="17">
        <v>1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102</v>
      </c>
      <c r="C45" s="14" t="s">
        <v>103</v>
      </c>
      <c r="D45" s="15" t="s">
        <v>104</v>
      </c>
      <c r="E45" s="16" t="s">
        <v>104</v>
      </c>
      <c r="F45" s="17">
        <v>1</v>
      </c>
      <c r="G45" s="18"/>
      <c r="H45" s="18"/>
      <c r="I45" s="19">
        <f>H45/F45</f>
        <v>0</v>
      </c>
    </row>
    <row r="46" spans="1:9" ht="16.8" customHeight="1" x14ac:dyDescent="0.25">
      <c r="A46" s="5" t="s">
        <v>105</v>
      </c>
      <c r="B46" s="5"/>
      <c r="C46" s="5"/>
      <c r="D46" s="5" t="s">
        <v>106</v>
      </c>
      <c r="E46" s="5"/>
      <c r="F46" s="20">
        <f>SUM(F5:F45)</f>
        <v>183.59999999999997</v>
      </c>
      <c r="G46" s="21"/>
      <c r="H46" s="20">
        <f>SUM(H5:H45)</f>
        <v>0</v>
      </c>
      <c r="I46" s="22">
        <f>H46/F46</f>
        <v>0</v>
      </c>
    </row>
  </sheetData>
  <mergeCells count="49">
    <mergeCell ref="D41:E41"/>
    <mergeCell ref="D42:E42"/>
    <mergeCell ref="D43:E43"/>
    <mergeCell ref="D44:E44"/>
    <mergeCell ref="D45:E45"/>
    <mergeCell ref="A46:C46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5998-5ADF-4DFC-8D44-459BF93EA8B4}">
  <sheetPr codeName="Sheet40"/>
  <dimension ref="A1:I26"/>
  <sheetViews>
    <sheetView zoomScaleNormal="100" workbookViewId="0">
      <selection activeCell="D27" sqref="D2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32</v>
      </c>
      <c r="C5" s="14" t="s">
        <v>33</v>
      </c>
      <c r="D5" s="15"/>
      <c r="E5" s="16"/>
      <c r="F5" s="17">
        <v>32.799999999999997</v>
      </c>
      <c r="G5" s="17"/>
      <c r="H5" s="17"/>
      <c r="I5" s="19">
        <f t="shared" ref="I5:I25" si="0">H5/F5</f>
        <v>0</v>
      </c>
    </row>
    <row r="6" spans="1:9" ht="15.6" customHeight="1" x14ac:dyDescent="0.25">
      <c r="A6" s="13">
        <v>2</v>
      </c>
      <c r="B6" s="14" t="s">
        <v>34</v>
      </c>
      <c r="C6" s="14" t="s">
        <v>35</v>
      </c>
      <c r="D6" s="15"/>
      <c r="E6" s="16"/>
      <c r="F6" s="17">
        <v>0.2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36</v>
      </c>
      <c r="C7" s="14" t="s">
        <v>37</v>
      </c>
      <c r="D7" s="15"/>
      <c r="E7" s="16"/>
      <c r="F7" s="17">
        <v>0.2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38</v>
      </c>
      <c r="C8" s="14" t="s">
        <v>39</v>
      </c>
      <c r="D8" s="15"/>
      <c r="E8" s="16"/>
      <c r="F8" s="17">
        <v>0.6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45</v>
      </c>
      <c r="C9" s="14" t="s">
        <v>46</v>
      </c>
      <c r="D9" s="15" t="s">
        <v>47</v>
      </c>
      <c r="E9" s="16" t="s">
        <v>47</v>
      </c>
      <c r="F9" s="17">
        <v>2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48</v>
      </c>
      <c r="C10" s="14" t="s">
        <v>49</v>
      </c>
      <c r="D10" s="15"/>
      <c r="E10" s="16"/>
      <c r="F10" s="17">
        <v>1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50</v>
      </c>
      <c r="C11" s="14" t="s">
        <v>51</v>
      </c>
      <c r="D11" s="15"/>
      <c r="E11" s="16"/>
      <c r="F11" s="17">
        <v>1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52</v>
      </c>
      <c r="C12" s="14" t="s">
        <v>53</v>
      </c>
      <c r="D12" s="15"/>
      <c r="E12" s="16"/>
      <c r="F12" s="17">
        <v>1</v>
      </c>
      <c r="G12" s="17"/>
      <c r="H12" s="17"/>
      <c r="I12" s="19">
        <f t="shared" si="0"/>
        <v>0</v>
      </c>
    </row>
    <row r="13" spans="1:9" ht="15.6" customHeight="1" x14ac:dyDescent="0.25">
      <c r="A13" s="13">
        <v>9</v>
      </c>
      <c r="B13" s="14" t="s">
        <v>54</v>
      </c>
      <c r="C13" s="14" t="s">
        <v>55</v>
      </c>
      <c r="D13" s="15"/>
      <c r="E13" s="16"/>
      <c r="F13" s="17">
        <v>1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56</v>
      </c>
      <c r="C14" s="14" t="s">
        <v>57</v>
      </c>
      <c r="D14" s="15"/>
      <c r="E14" s="16"/>
      <c r="F14" s="17">
        <v>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58</v>
      </c>
      <c r="C15" s="14" t="s">
        <v>59</v>
      </c>
      <c r="D15" s="15"/>
      <c r="E15" s="16"/>
      <c r="F15" s="17">
        <v>1</v>
      </c>
      <c r="G15" s="17"/>
      <c r="H15" s="17"/>
      <c r="I15" s="19">
        <f t="shared" si="0"/>
        <v>0</v>
      </c>
    </row>
    <row r="16" spans="1:9" ht="15.6" customHeight="1" x14ac:dyDescent="0.25">
      <c r="A16" s="13">
        <v>12</v>
      </c>
      <c r="B16" s="14" t="s">
        <v>60</v>
      </c>
      <c r="C16" s="14" t="s">
        <v>61</v>
      </c>
      <c r="D16" s="15"/>
      <c r="E16" s="16"/>
      <c r="F16" s="17">
        <v>1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62</v>
      </c>
      <c r="C17" s="14" t="s">
        <v>63</v>
      </c>
      <c r="D17" s="15"/>
      <c r="E17" s="16"/>
      <c r="F17" s="17">
        <v>1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64</v>
      </c>
      <c r="C18" s="14" t="s">
        <v>65</v>
      </c>
      <c r="D18" s="15"/>
      <c r="E18" s="16"/>
      <c r="F18" s="17">
        <v>1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66</v>
      </c>
      <c r="C19" s="14" t="s">
        <v>67</v>
      </c>
      <c r="D19" s="15"/>
      <c r="E19" s="16"/>
      <c r="F19" s="17">
        <v>1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68</v>
      </c>
      <c r="C20" s="14" t="s">
        <v>69</v>
      </c>
      <c r="D20" s="15"/>
      <c r="E20" s="16"/>
      <c r="F20" s="17">
        <v>1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70</v>
      </c>
      <c r="C21" s="14" t="s">
        <v>71</v>
      </c>
      <c r="D21" s="15"/>
      <c r="E21" s="16"/>
      <c r="F21" s="17">
        <v>1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72</v>
      </c>
      <c r="C22" s="14" t="s">
        <v>73</v>
      </c>
      <c r="D22" s="15"/>
      <c r="E22" s="16"/>
      <c r="F22" s="17">
        <v>1</v>
      </c>
      <c r="G22" s="18"/>
      <c r="H22" s="18"/>
      <c r="I22" s="19">
        <f t="shared" si="0"/>
        <v>0</v>
      </c>
    </row>
    <row r="23" spans="1:9" ht="15.6" customHeight="1" x14ac:dyDescent="0.25">
      <c r="A23" s="13">
        <v>19</v>
      </c>
      <c r="B23" s="14" t="s">
        <v>74</v>
      </c>
      <c r="C23" s="14" t="s">
        <v>75</v>
      </c>
      <c r="D23" s="15"/>
      <c r="E23" s="16"/>
      <c r="F23" s="17">
        <v>1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76</v>
      </c>
      <c r="C24" s="14" t="s">
        <v>77</v>
      </c>
      <c r="D24" s="15"/>
      <c r="E24" s="16"/>
      <c r="F24" s="17">
        <v>1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78</v>
      </c>
      <c r="C25" s="14" t="s">
        <v>79</v>
      </c>
      <c r="D25" s="15"/>
      <c r="E25" s="16"/>
      <c r="F25" s="17">
        <v>1</v>
      </c>
      <c r="G25" s="18"/>
      <c r="H25" s="18"/>
      <c r="I25" s="19">
        <f t="shared" si="0"/>
        <v>0</v>
      </c>
    </row>
    <row r="26" spans="1:9" ht="16.8" customHeight="1" x14ac:dyDescent="0.25">
      <c r="A26" s="5" t="s">
        <v>105</v>
      </c>
      <c r="B26" s="5"/>
      <c r="C26" s="5"/>
      <c r="D26" s="5" t="s">
        <v>107</v>
      </c>
      <c r="E26" s="5"/>
      <c r="F26" s="20">
        <f>SUM(F5:F25)</f>
        <v>51.800000000000004</v>
      </c>
      <c r="G26" s="21"/>
      <c r="H26" s="20">
        <f>SUM(H5:H25)</f>
        <v>0</v>
      </c>
      <c r="I26" s="22">
        <f>H26/F26</f>
        <v>0</v>
      </c>
    </row>
  </sheetData>
  <mergeCells count="29">
    <mergeCell ref="A26:C26"/>
    <mergeCell ref="D26:E26"/>
    <mergeCell ref="D25:E25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D7E8-2423-4275-A131-2CC5397877A3}">
  <sheetPr codeName="Sheet41"/>
  <dimension ref="A1:I20"/>
  <sheetViews>
    <sheetView zoomScaleNormal="100" workbookViewId="0">
      <selection activeCell="D21" sqref="D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38.5</v>
      </c>
      <c r="G5" s="18"/>
      <c r="H5" s="18"/>
      <c r="I5" s="19">
        <f t="shared" ref="I5:I18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1.9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40</v>
      </c>
      <c r="C8" s="14" t="s">
        <v>41</v>
      </c>
      <c r="D8" s="15" t="s">
        <v>42</v>
      </c>
      <c r="E8" s="16" t="s">
        <v>42</v>
      </c>
      <c r="F8" s="17">
        <v>13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43</v>
      </c>
      <c r="C9" s="14" t="s">
        <v>44</v>
      </c>
      <c r="D9" s="15" t="s">
        <v>42</v>
      </c>
      <c r="E9" s="16" t="s">
        <v>42</v>
      </c>
      <c r="F9" s="17">
        <v>7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80</v>
      </c>
      <c r="C10" s="14" t="s">
        <v>81</v>
      </c>
      <c r="D10" s="15" t="s">
        <v>42</v>
      </c>
      <c r="E10" s="16" t="s">
        <v>42</v>
      </c>
      <c r="F10" s="17">
        <v>1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82</v>
      </c>
      <c r="C11" s="14" t="s">
        <v>83</v>
      </c>
      <c r="D11" s="15" t="s">
        <v>42</v>
      </c>
      <c r="E11" s="16" t="s">
        <v>42</v>
      </c>
      <c r="F11" s="17">
        <v>1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84</v>
      </c>
      <c r="C12" s="14" t="s">
        <v>85</v>
      </c>
      <c r="D12" s="15" t="s">
        <v>42</v>
      </c>
      <c r="E12" s="16" t="s">
        <v>42</v>
      </c>
      <c r="F12" s="17">
        <v>1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86</v>
      </c>
      <c r="C13" s="14" t="s">
        <v>87</v>
      </c>
      <c r="D13" s="15" t="s">
        <v>88</v>
      </c>
      <c r="E13" s="16" t="s">
        <v>88</v>
      </c>
      <c r="F13" s="17">
        <v>1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89</v>
      </c>
      <c r="C14" s="14" t="s">
        <v>90</v>
      </c>
      <c r="D14" s="15" t="s">
        <v>91</v>
      </c>
      <c r="E14" s="16" t="s">
        <v>91</v>
      </c>
      <c r="F14" s="17">
        <v>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92</v>
      </c>
      <c r="C15" s="14" t="s">
        <v>93</v>
      </c>
      <c r="D15" s="15" t="s">
        <v>73</v>
      </c>
      <c r="E15" s="16" t="s">
        <v>73</v>
      </c>
      <c r="F15" s="17">
        <v>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94</v>
      </c>
      <c r="C16" s="14" t="s">
        <v>95</v>
      </c>
      <c r="D16" s="15" t="s">
        <v>96</v>
      </c>
      <c r="E16" s="16" t="s">
        <v>96</v>
      </c>
      <c r="F16" s="17">
        <v>1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97</v>
      </c>
      <c r="C17" s="14" t="s">
        <v>98</v>
      </c>
      <c r="D17" s="15" t="s">
        <v>99</v>
      </c>
      <c r="E17" s="16" t="s">
        <v>99</v>
      </c>
      <c r="F17" s="17">
        <v>1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100</v>
      </c>
      <c r="C18" s="14" t="s">
        <v>101</v>
      </c>
      <c r="D18" s="15" t="s">
        <v>99</v>
      </c>
      <c r="E18" s="16" t="s">
        <v>99</v>
      </c>
      <c r="F18" s="17">
        <v>1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102</v>
      </c>
      <c r="C19" s="14" t="s">
        <v>103</v>
      </c>
      <c r="D19" s="15" t="s">
        <v>104</v>
      </c>
      <c r="E19" s="16" t="s">
        <v>104</v>
      </c>
      <c r="F19" s="17">
        <v>1</v>
      </c>
      <c r="G19" s="18"/>
      <c r="H19" s="18"/>
      <c r="I19" s="19">
        <f>H19/F19</f>
        <v>0</v>
      </c>
    </row>
    <row r="20" spans="1:9" ht="16.8" customHeight="1" x14ac:dyDescent="0.25">
      <c r="A20" s="5" t="s">
        <v>105</v>
      </c>
      <c r="B20" s="5"/>
      <c r="C20" s="5"/>
      <c r="D20" s="5" t="s">
        <v>108</v>
      </c>
      <c r="E20" s="5"/>
      <c r="F20" s="20">
        <f>SUM(F5:F19)</f>
        <v>72.400000000000006</v>
      </c>
      <c r="G20" s="21"/>
      <c r="H20" s="20">
        <f>SUM(H5:H19)</f>
        <v>0</v>
      </c>
      <c r="I20" s="22">
        <f>H20/F20</f>
        <v>0</v>
      </c>
    </row>
  </sheetData>
  <mergeCells count="23">
    <mergeCell ref="D15:E15"/>
    <mergeCell ref="D16:E16"/>
    <mergeCell ref="D17:E17"/>
    <mergeCell ref="D18:E18"/>
    <mergeCell ref="D19:E19"/>
    <mergeCell ref="A20:C20"/>
    <mergeCell ref="D20:E20"/>
    <mergeCell ref="D10:E10"/>
    <mergeCell ref="D11:E11"/>
    <mergeCell ref="D12:E12"/>
    <mergeCell ref="D13:E13"/>
    <mergeCell ref="D14:E14"/>
    <mergeCell ref="D8:E8"/>
    <mergeCell ref="D9:E9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51DE-6488-42B1-B5BD-CB5DD7C04F5B}">
  <sheetPr codeName="Sheet42"/>
  <dimension ref="A1:I9"/>
  <sheetViews>
    <sheetView zoomScaleNormal="100" workbookViewId="0">
      <selection activeCell="A8" sqref="A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18</v>
      </c>
      <c r="C5" s="14" t="s">
        <v>19</v>
      </c>
      <c r="D5" s="15" t="s">
        <v>20</v>
      </c>
      <c r="E5" s="16" t="s">
        <v>20</v>
      </c>
      <c r="F5" s="17">
        <v>10.799999999999999</v>
      </c>
      <c r="G5" s="18"/>
      <c r="H5" s="18"/>
      <c r="I5" s="19">
        <f t="shared" ref="I5:I8" si="0">H5/F5</f>
        <v>0</v>
      </c>
    </row>
    <row r="6" spans="1:9" ht="15.6" customHeight="1" x14ac:dyDescent="0.25">
      <c r="A6" s="13">
        <v>2</v>
      </c>
      <c r="B6" s="14" t="s">
        <v>21</v>
      </c>
      <c r="C6" s="14" t="s">
        <v>22</v>
      </c>
      <c r="D6" s="15" t="s">
        <v>20</v>
      </c>
      <c r="E6" s="16" t="s">
        <v>20</v>
      </c>
      <c r="F6" s="17">
        <v>10.799999999999999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23</v>
      </c>
      <c r="C7" s="14" t="s">
        <v>24</v>
      </c>
      <c r="D7" s="15" t="s">
        <v>25</v>
      </c>
      <c r="E7" s="16" t="s">
        <v>25</v>
      </c>
      <c r="F7" s="17">
        <v>18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26</v>
      </c>
      <c r="C8" s="14" t="s">
        <v>27</v>
      </c>
      <c r="D8" s="15" t="s">
        <v>28</v>
      </c>
      <c r="E8" s="16" t="s">
        <v>28</v>
      </c>
      <c r="F8" s="17">
        <v>13.5</v>
      </c>
      <c r="G8" s="18"/>
      <c r="H8" s="18"/>
      <c r="I8" s="19">
        <f t="shared" si="0"/>
        <v>0</v>
      </c>
    </row>
    <row r="9" spans="1:9" ht="16.8" customHeight="1" x14ac:dyDescent="0.25">
      <c r="A9" s="5" t="s">
        <v>105</v>
      </c>
      <c r="B9" s="5"/>
      <c r="C9" s="5"/>
      <c r="D9" s="5" t="s">
        <v>106</v>
      </c>
      <c r="E9" s="5"/>
      <c r="F9" s="20">
        <f>SUM(F5:F8)</f>
        <v>53.099999999999994</v>
      </c>
      <c r="G9" s="21"/>
      <c r="H9" s="20">
        <f>SUM(H5:H8)</f>
        <v>0</v>
      </c>
      <c r="I9" s="22">
        <f>H9/F9</f>
        <v>0</v>
      </c>
    </row>
  </sheetData>
  <mergeCells count="12">
    <mergeCell ref="A9:C9"/>
    <mergeCell ref="D9:E9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Inv__Ujitjes_Divjake</vt:lpstr>
      <vt:lpstr>Rezervuar</vt:lpstr>
      <vt:lpstr>Stacione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2026-10-06T13:26:12Z</dcterms:created>
  <dcterms:modified xsi:type="dcterms:W3CDTF">2026-10-06T13:28:55Z</dcterms:modified>
</cp:coreProperties>
</file>