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6F26C412-EE9D-4065-BC3B-49033E8FFE09}" xr6:coauthVersionLast="47" xr6:coauthVersionMax="47" xr10:uidLastSave="{00000000-0000-0000-0000-000000000000}"/>
  <bookViews>
    <workbookView xWindow="-28920" yWindow="-1470" windowWidth="29040" windowHeight="15720" activeTab="4" xr2:uid="{2942D046-2C67-4E0D-BFD9-BD3DC9D74F40}"/>
  </bookViews>
  <sheets>
    <sheet name="Inv__Ujitjes_Lezhe" sheetId="1" r:id="rId1"/>
    <sheet name="Rezervuar" sheetId="2" r:id="rId2"/>
    <sheet name="Stacion Pompimi" sheetId="3" r:id="rId3"/>
    <sheet name="Lume &amp; Perrua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5" l="1"/>
  <c r="I7" i="5" s="1"/>
  <c r="F7" i="5"/>
  <c r="I6" i="5"/>
  <c r="H21" i="4"/>
  <c r="F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8" i="3"/>
  <c r="F18" i="3"/>
  <c r="I18" i="3" s="1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10" i="2"/>
  <c r="F10" i="2"/>
  <c r="I9" i="2"/>
  <c r="I8" i="2"/>
  <c r="I7" i="2"/>
  <c r="I6" i="2"/>
  <c r="I5" i="2"/>
  <c r="I48" i="1"/>
  <c r="H48" i="1"/>
  <c r="F48" i="1"/>
  <c r="I47" i="1"/>
  <c r="I41" i="1"/>
  <c r="H41" i="1"/>
  <c r="F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1" i="4" l="1"/>
  <c r="I10" i="2"/>
</calcChain>
</file>

<file path=xl/sharedStrings.xml><?xml version="1.0" encoding="utf-8"?>
<sst xmlns="http://schemas.openxmlformats.org/spreadsheetml/2006/main" count="364" uniqueCount="115">
  <si>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</si>
  <si>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</si>
  <si>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</si>
  <si>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</si>
  <si>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</si>
  <si>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</si>
  <si>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</si>
  <si>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</si>
  <si>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</si>
  <si>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</si>
  <si>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</si>
  <si>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LEU - 3</t>
  </si>
  <si>
    <t>Zadrime</t>
  </si>
  <si>
    <t>Lumi Drin, stp</t>
  </si>
  <si>
    <t>LEU - 5</t>
  </si>
  <si>
    <t>Res Kallmet, Fishte, Troshan</t>
  </si>
  <si>
    <t>LEU - 28/1</t>
  </si>
  <si>
    <t>Bilisht vija</t>
  </si>
  <si>
    <t>kanal 1</t>
  </si>
  <si>
    <t>LEU - 6</t>
  </si>
  <si>
    <t>Fishte Reservoir</t>
  </si>
  <si>
    <t>Rezervuar</t>
  </si>
  <si>
    <t>LEU - 41</t>
  </si>
  <si>
    <t>Vijat Ungrej</t>
  </si>
  <si>
    <t xml:space="preserve">Lumi Dibrit </t>
  </si>
  <si>
    <t>LEU - 9</t>
  </si>
  <si>
    <t>Kashnjet reservoir</t>
  </si>
  <si>
    <t>LEU - 7</t>
  </si>
  <si>
    <t>Troshan Reservoir</t>
  </si>
  <si>
    <t>LEU - 42</t>
  </si>
  <si>
    <t>Vija Kallmet</t>
  </si>
  <si>
    <t>Perrenj</t>
  </si>
  <si>
    <t>LEU - 34</t>
  </si>
  <si>
    <t>Vija Madhe</t>
  </si>
  <si>
    <t>Lumi Gjader)</t>
  </si>
  <si>
    <t>LEU - 36</t>
  </si>
  <si>
    <t>Vija Kalivaç</t>
  </si>
  <si>
    <t>LEU - 40</t>
  </si>
  <si>
    <t>Vija Kalor</t>
  </si>
  <si>
    <t>LEU - 37</t>
  </si>
  <si>
    <t>Vija Zimaj</t>
  </si>
  <si>
    <t>LEU - 39</t>
  </si>
  <si>
    <t>Vija Gjazuve</t>
  </si>
  <si>
    <t>Lumi Gjazuve</t>
  </si>
  <si>
    <t>LEU - 38</t>
  </si>
  <si>
    <t>Vija Kashnjet</t>
  </si>
  <si>
    <t>Rezervuar ( kashnjet )</t>
  </si>
  <si>
    <t>LEU - 43</t>
  </si>
  <si>
    <t>Vija Fregen</t>
  </si>
  <si>
    <t>LEU - 44</t>
  </si>
  <si>
    <t>Vija Qershise</t>
  </si>
  <si>
    <t xml:space="preserve">Perroi Qershise </t>
  </si>
  <si>
    <t>LEU - 46</t>
  </si>
  <si>
    <t>Vija Troshan</t>
  </si>
  <si>
    <t>Perroi Troshan</t>
  </si>
  <si>
    <t>LEU - 47</t>
  </si>
  <si>
    <t>Vija Krajnit</t>
  </si>
  <si>
    <t>Perroi Krajn</t>
  </si>
  <si>
    <t>LEU - 45</t>
  </si>
  <si>
    <t>Vija Mulleze</t>
  </si>
  <si>
    <t>Perroi Mulleze</t>
  </si>
  <si>
    <t>LEU - 10</t>
  </si>
  <si>
    <t>Berzane stacion pompimi</t>
  </si>
  <si>
    <t>Lume ( Mat )</t>
  </si>
  <si>
    <t>LEU - 11</t>
  </si>
  <si>
    <t>Rrile</t>
  </si>
  <si>
    <t>LEU - 12</t>
  </si>
  <si>
    <t>Shengjin Island</t>
  </si>
  <si>
    <t>Stp. ( Drin )</t>
  </si>
  <si>
    <t>LEU - 13</t>
  </si>
  <si>
    <t>Island stacion pompimi 1</t>
  </si>
  <si>
    <t>LEU - 14</t>
  </si>
  <si>
    <t>Island stacion pompimi 3</t>
  </si>
  <si>
    <t>LEU - 15</t>
  </si>
  <si>
    <t>Hotelit stacion pompimi</t>
  </si>
  <si>
    <t>Puse</t>
  </si>
  <si>
    <t>LEU - 17</t>
  </si>
  <si>
    <t>Gryke Zeze stacion pompimi</t>
  </si>
  <si>
    <t>kanal ( Zadrime )</t>
  </si>
  <si>
    <t>LEU - 18</t>
  </si>
  <si>
    <t>Ulliri stacion pompimi</t>
  </si>
  <si>
    <t>LEU - 2</t>
  </si>
  <si>
    <t>Rrile UFSH</t>
  </si>
  <si>
    <t>LEU - 21</t>
  </si>
  <si>
    <t>Raboshte stacion pompimi</t>
  </si>
  <si>
    <t>LEU - 22</t>
  </si>
  <si>
    <t>Koter stacion pompimi</t>
  </si>
  <si>
    <t>Stp. ( Gjader )</t>
  </si>
  <si>
    <t>LEU - 24</t>
  </si>
  <si>
    <t>Dajç stacion pompimi 1</t>
  </si>
  <si>
    <t>LEU - 28</t>
  </si>
  <si>
    <t>Bilisht stacion pompimi</t>
  </si>
  <si>
    <t>stp</t>
  </si>
  <si>
    <t>LEU - 29</t>
  </si>
  <si>
    <t>Kalorit stacion pompimi</t>
  </si>
  <si>
    <t>Stp. ( Dibrit )</t>
  </si>
  <si>
    <t>LEU - 35</t>
  </si>
  <si>
    <t>Vija Kaftalle</t>
  </si>
  <si>
    <t>LEU - 4</t>
  </si>
  <si>
    <t>UFSH Kakariq</t>
  </si>
  <si>
    <t>Stp</t>
  </si>
  <si>
    <t>LEU - 8</t>
  </si>
  <si>
    <t>Patalej reservoir</t>
  </si>
  <si>
    <t>Rezrvuar</t>
  </si>
  <si>
    <t>Total</t>
  </si>
  <si>
    <t>36 Skema</t>
  </si>
  <si>
    <t>Skema të pjesërisht të transferuara</t>
  </si>
  <si>
    <t>Vetëm Kanale të Dyta në Km</t>
  </si>
  <si>
    <t>LEU - 1</t>
  </si>
  <si>
    <t>Mat - Lezhe</t>
  </si>
  <si>
    <t>Lumi. ( Mat )</t>
  </si>
  <si>
    <t>1 Skema</t>
  </si>
  <si>
    <t>5 Skema</t>
  </si>
  <si>
    <t>13 Skema</t>
  </si>
  <si>
    <t>16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</si>
</sst>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68DE63AD-B9CB-48CA-B483-BBB021EF6CA0}"/>
    <cellStyle name="Percent 3" xfId="2" xr:uid="{3EEB77E7-9B89-45D5-8441-4993A47F4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7072-5C0E-41CC-93FD-F1B2F1EB7938}">
  <sheetPr codeName="Sheet37"/>
  <dimension ref="A1:I48"/>
  <sheetViews>
    <sheetView topLeftCell="A13" zoomScaleNormal="100" workbookViewId="0">
      <selection activeCell="K9" sqref="K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80.8</v>
      </c>
      <c r="G5" s="18"/>
      <c r="H5" s="18"/>
      <c r="I5" s="19">
        <f t="shared" ref="I5:I39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12</v>
      </c>
      <c r="D6" s="15" t="s">
        <v>15</v>
      </c>
      <c r="E6" s="16" t="s">
        <v>15</v>
      </c>
      <c r="F6" s="17">
        <v>27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18</v>
      </c>
      <c r="E7" s="16" t="s">
        <v>18</v>
      </c>
      <c r="F7" s="17">
        <v>1.1000000000000001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3.2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24</v>
      </c>
      <c r="E9" s="16" t="s">
        <v>24</v>
      </c>
      <c r="F9" s="17">
        <v>8</v>
      </c>
      <c r="G9" s="17"/>
      <c r="H9" s="17"/>
      <c r="I9" s="19">
        <f t="shared" si="0"/>
        <v>0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 t="s">
        <v>21</v>
      </c>
      <c r="E10" s="16" t="s">
        <v>21</v>
      </c>
      <c r="F10" s="17">
        <v>6.6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27</v>
      </c>
      <c r="C11" s="14" t="s">
        <v>28</v>
      </c>
      <c r="D11" s="15" t="s">
        <v>21</v>
      </c>
      <c r="E11" s="16" t="s">
        <v>21</v>
      </c>
      <c r="F11" s="17">
        <v>1.5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29</v>
      </c>
      <c r="C12" s="14" t="s">
        <v>30</v>
      </c>
      <c r="D12" s="15" t="s">
        <v>31</v>
      </c>
      <c r="E12" s="16" t="s">
        <v>31</v>
      </c>
      <c r="F12" s="17">
        <v>7.5</v>
      </c>
      <c r="G12" s="17"/>
      <c r="H12" s="17"/>
      <c r="I12" s="19">
        <f t="shared" si="0"/>
        <v>0</v>
      </c>
    </row>
    <row r="13" spans="1:9" ht="15.6" customHeight="1" x14ac:dyDescent="0.25">
      <c r="A13" s="13">
        <v>9</v>
      </c>
      <c r="B13" s="14" t="s">
        <v>32</v>
      </c>
      <c r="C13" s="14" t="s">
        <v>33</v>
      </c>
      <c r="D13" s="15" t="s">
        <v>34</v>
      </c>
      <c r="E13" s="16" t="s">
        <v>34</v>
      </c>
      <c r="F13" s="17">
        <v>12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35</v>
      </c>
      <c r="C14" s="14" t="s">
        <v>36</v>
      </c>
      <c r="D14" s="15" t="s">
        <v>34</v>
      </c>
      <c r="E14" s="16" t="s">
        <v>34</v>
      </c>
      <c r="F14" s="17">
        <v>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37</v>
      </c>
      <c r="C15" s="14" t="s">
        <v>38</v>
      </c>
      <c r="D15" s="15" t="s">
        <v>24</v>
      </c>
      <c r="E15" s="16" t="s">
        <v>24</v>
      </c>
      <c r="F15" s="17">
        <v>3</v>
      </c>
      <c r="G15" s="17"/>
      <c r="H15" s="17"/>
      <c r="I15" s="19">
        <f t="shared" si="0"/>
        <v>0</v>
      </c>
    </row>
    <row r="16" spans="1:9" ht="15.6" customHeight="1" x14ac:dyDescent="0.25">
      <c r="A16" s="13">
        <v>12</v>
      </c>
      <c r="B16" s="14" t="s">
        <v>39</v>
      </c>
      <c r="C16" s="14" t="s">
        <v>40</v>
      </c>
      <c r="D16" s="15" t="s">
        <v>34</v>
      </c>
      <c r="E16" s="16" t="s">
        <v>34</v>
      </c>
      <c r="F16" s="17">
        <v>4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41</v>
      </c>
      <c r="C17" s="14" t="s">
        <v>42</v>
      </c>
      <c r="D17" s="15" t="s">
        <v>43</v>
      </c>
      <c r="E17" s="16" t="s">
        <v>43</v>
      </c>
      <c r="F17" s="17">
        <v>4.2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44</v>
      </c>
      <c r="C18" s="14" t="s">
        <v>45</v>
      </c>
      <c r="D18" s="15" t="s">
        <v>46</v>
      </c>
      <c r="E18" s="16" t="s">
        <v>46</v>
      </c>
      <c r="F18" s="17">
        <v>11</v>
      </c>
      <c r="G18" s="17"/>
      <c r="H18" s="17"/>
      <c r="I18" s="19">
        <f t="shared" si="0"/>
        <v>0</v>
      </c>
    </row>
    <row r="19" spans="1:9" ht="15.6" customHeight="1" x14ac:dyDescent="0.25">
      <c r="A19" s="13">
        <v>15</v>
      </c>
      <c r="B19" s="14" t="s">
        <v>47</v>
      </c>
      <c r="C19" s="14" t="s">
        <v>48</v>
      </c>
      <c r="D19" s="15" t="s">
        <v>24</v>
      </c>
      <c r="E19" s="16" t="s">
        <v>24</v>
      </c>
      <c r="F19" s="17">
        <v>1.5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49</v>
      </c>
      <c r="C20" s="14" t="s">
        <v>50</v>
      </c>
      <c r="D20" s="15" t="s">
        <v>51</v>
      </c>
      <c r="E20" s="16" t="s">
        <v>51</v>
      </c>
      <c r="F20" s="17">
        <v>2.2000000000000002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52</v>
      </c>
      <c r="C21" s="14" t="s">
        <v>53</v>
      </c>
      <c r="D21" s="15" t="s">
        <v>54</v>
      </c>
      <c r="E21" s="16" t="s">
        <v>54</v>
      </c>
      <c r="F21" s="17">
        <v>4</v>
      </c>
      <c r="G21" s="17"/>
      <c r="H21" s="17"/>
      <c r="I21" s="19">
        <f t="shared" si="0"/>
        <v>0</v>
      </c>
    </row>
    <row r="22" spans="1:9" ht="15.6" customHeight="1" x14ac:dyDescent="0.25">
      <c r="A22" s="13">
        <v>18</v>
      </c>
      <c r="B22" s="14" t="s">
        <v>55</v>
      </c>
      <c r="C22" s="14" t="s">
        <v>56</v>
      </c>
      <c r="D22" s="15" t="s">
        <v>57</v>
      </c>
      <c r="E22" s="16" t="s">
        <v>57</v>
      </c>
      <c r="F22" s="17">
        <v>4</v>
      </c>
      <c r="G22" s="18"/>
      <c r="H22" s="18"/>
      <c r="I22" s="19">
        <f t="shared" si="0"/>
        <v>0</v>
      </c>
    </row>
    <row r="23" spans="1:9" ht="15.6" customHeight="1" x14ac:dyDescent="0.25">
      <c r="A23" s="13">
        <v>19</v>
      </c>
      <c r="B23" s="14" t="s">
        <v>58</v>
      </c>
      <c r="C23" s="14" t="s">
        <v>59</v>
      </c>
      <c r="D23" s="15" t="s">
        <v>60</v>
      </c>
      <c r="E23" s="16" t="s">
        <v>60</v>
      </c>
      <c r="F23" s="17">
        <v>3.5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61</v>
      </c>
      <c r="C24" s="14" t="s">
        <v>62</v>
      </c>
      <c r="D24" s="15" t="s">
        <v>63</v>
      </c>
      <c r="E24" s="16" t="s">
        <v>63</v>
      </c>
      <c r="F24" s="17">
        <v>2.7</v>
      </c>
      <c r="G24" s="17"/>
      <c r="H24" s="17"/>
      <c r="I24" s="19">
        <f t="shared" si="0"/>
        <v>0</v>
      </c>
    </row>
    <row r="25" spans="1:9" ht="15.6" customHeight="1" x14ac:dyDescent="0.25">
      <c r="A25" s="13">
        <v>21</v>
      </c>
      <c r="B25" s="14" t="s">
        <v>64</v>
      </c>
      <c r="C25" s="14" t="s">
        <v>65</v>
      </c>
      <c r="D25" s="15" t="s">
        <v>63</v>
      </c>
      <c r="E25" s="16" t="s">
        <v>63</v>
      </c>
      <c r="F25" s="17">
        <v>1.1000000000000001</v>
      </c>
      <c r="G25" s="18"/>
      <c r="H25" s="18"/>
      <c r="I25" s="19">
        <f t="shared" si="0"/>
        <v>0</v>
      </c>
    </row>
    <row r="26" spans="1:9" ht="15.6" customHeight="1" x14ac:dyDescent="0.25">
      <c r="A26" s="13">
        <v>22</v>
      </c>
      <c r="B26" s="14" t="s">
        <v>66</v>
      </c>
      <c r="C26" s="14" t="s">
        <v>67</v>
      </c>
      <c r="D26" s="15" t="s">
        <v>68</v>
      </c>
      <c r="E26" s="16" t="s">
        <v>68</v>
      </c>
      <c r="F26" s="17">
        <v>2.1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69</v>
      </c>
      <c r="C27" s="14" t="s">
        <v>70</v>
      </c>
      <c r="D27" s="15" t="s">
        <v>68</v>
      </c>
      <c r="E27" s="16" t="s">
        <v>68</v>
      </c>
      <c r="F27" s="17">
        <v>3.5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71</v>
      </c>
      <c r="C28" s="14" t="s">
        <v>72</v>
      </c>
      <c r="D28" s="15" t="s">
        <v>68</v>
      </c>
      <c r="E28" s="16" t="s">
        <v>68</v>
      </c>
      <c r="F28" s="17">
        <v>2.6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73</v>
      </c>
      <c r="C29" s="14" t="s">
        <v>74</v>
      </c>
      <c r="D29" s="15" t="s">
        <v>75</v>
      </c>
      <c r="E29" s="16" t="s">
        <v>75</v>
      </c>
      <c r="F29" s="17">
        <v>0.7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76</v>
      </c>
      <c r="C30" s="14" t="s">
        <v>77</v>
      </c>
      <c r="D30" s="15" t="s">
        <v>78</v>
      </c>
      <c r="E30" s="16" t="s">
        <v>78</v>
      </c>
      <c r="F30" s="17">
        <v>1.4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79</v>
      </c>
      <c r="C31" s="14" t="s">
        <v>80</v>
      </c>
      <c r="D31" s="15" t="s">
        <v>78</v>
      </c>
      <c r="E31" s="16" t="s">
        <v>78</v>
      </c>
      <c r="F31" s="17">
        <v>1.7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81</v>
      </c>
      <c r="C32" s="14" t="s">
        <v>82</v>
      </c>
      <c r="D32" s="15" t="s">
        <v>75</v>
      </c>
      <c r="E32" s="16" t="s">
        <v>75</v>
      </c>
      <c r="F32" s="17">
        <v>0</v>
      </c>
      <c r="G32" s="18"/>
      <c r="H32" s="18"/>
      <c r="I32" s="19" t="e">
        <f t="shared" si="0"/>
        <v>#DIV/0!</v>
      </c>
    </row>
    <row r="33" spans="1:9" ht="15.6" customHeight="1" x14ac:dyDescent="0.25">
      <c r="A33" s="13">
        <v>29</v>
      </c>
      <c r="B33" s="14" t="s">
        <v>83</v>
      </c>
      <c r="C33" s="14" t="s">
        <v>84</v>
      </c>
      <c r="D33" s="15" t="s">
        <v>78</v>
      </c>
      <c r="E33" s="16" t="s">
        <v>78</v>
      </c>
      <c r="F33" s="17">
        <v>1.7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85</v>
      </c>
      <c r="C34" s="14" t="s">
        <v>86</v>
      </c>
      <c r="D34" s="15" t="s">
        <v>87</v>
      </c>
      <c r="E34" s="16" t="s">
        <v>87</v>
      </c>
      <c r="F34" s="17">
        <v>2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88</v>
      </c>
      <c r="C35" s="14" t="s">
        <v>89</v>
      </c>
      <c r="D35" s="15" t="s">
        <v>87</v>
      </c>
      <c r="E35" s="16" t="s">
        <v>87</v>
      </c>
      <c r="F35" s="17">
        <v>2.2000000000000002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90</v>
      </c>
      <c r="C36" s="14" t="s">
        <v>91</v>
      </c>
      <c r="D36" s="15" t="s">
        <v>92</v>
      </c>
      <c r="E36" s="16" t="s">
        <v>92</v>
      </c>
      <c r="F36" s="17">
        <v>1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93</v>
      </c>
      <c r="C37" s="14" t="s">
        <v>94</v>
      </c>
      <c r="D37" s="15" t="s">
        <v>95</v>
      </c>
      <c r="E37" s="16" t="s">
        <v>95</v>
      </c>
      <c r="F37" s="17">
        <v>2.2000000000000002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96</v>
      </c>
      <c r="C38" s="14" t="s">
        <v>97</v>
      </c>
      <c r="D38" s="15" t="s">
        <v>34</v>
      </c>
      <c r="E38" s="16" t="s">
        <v>34</v>
      </c>
      <c r="F38" s="17">
        <v>6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98</v>
      </c>
      <c r="C39" s="14" t="s">
        <v>99</v>
      </c>
      <c r="D39" s="15" t="s">
        <v>100</v>
      </c>
      <c r="E39" s="16" t="s">
        <v>100</v>
      </c>
      <c r="F39" s="17">
        <v>19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101</v>
      </c>
      <c r="C40" s="14" t="s">
        <v>102</v>
      </c>
      <c r="D40" s="15" t="s">
        <v>103</v>
      </c>
      <c r="E40" s="16" t="s">
        <v>103</v>
      </c>
      <c r="F40" s="17">
        <v>4.5</v>
      </c>
      <c r="G40" s="18"/>
      <c r="H40" s="18"/>
      <c r="I40" s="19">
        <f>H40/F40</f>
        <v>0</v>
      </c>
    </row>
    <row r="41" spans="1:9" ht="16.8" customHeight="1" x14ac:dyDescent="0.25">
      <c r="A41" s="5" t="s">
        <v>104</v>
      </c>
      <c r="B41" s="5"/>
      <c r="C41" s="5"/>
      <c r="D41" s="5" t="s">
        <v>105</v>
      </c>
      <c r="E41" s="5"/>
      <c r="F41" s="20">
        <f>SUM(F5:F40)</f>
        <v>244.49999999999989</v>
      </c>
      <c r="G41" s="21"/>
      <c r="H41" s="20">
        <f>SUM(H5:H40)</f>
        <v>0</v>
      </c>
      <c r="I41" s="22">
        <f>H41/F41</f>
        <v>0</v>
      </c>
    </row>
    <row r="43" spans="1:9" ht="15" x14ac:dyDescent="0.25">
      <c r="A43" s="1" t="s">
        <v>106</v>
      </c>
    </row>
    <row r="45" spans="1:9" s="24" customFormat="1" ht="17.399999999999999" customHeight="1" x14ac:dyDescent="0.25">
      <c r="A45" s="5" t="s">
        <v>1</v>
      </c>
      <c r="B45" s="23" t="s">
        <v>2</v>
      </c>
      <c r="C45" s="23"/>
      <c r="D45" s="7" t="s">
        <v>3</v>
      </c>
      <c r="E45" s="8"/>
      <c r="F45" s="23" t="s">
        <v>107</v>
      </c>
      <c r="G45" s="6" t="s">
        <v>5</v>
      </c>
      <c r="H45" s="5" t="s">
        <v>6</v>
      </c>
      <c r="I45" s="5"/>
    </row>
    <row r="46" spans="1:9" s="24" customFormat="1" ht="17.399999999999999" customHeight="1" x14ac:dyDescent="0.25">
      <c r="A46" s="5"/>
      <c r="B46" s="10" t="s">
        <v>7</v>
      </c>
      <c r="C46" s="10" t="s">
        <v>8</v>
      </c>
      <c r="D46" s="11"/>
      <c r="E46" s="12"/>
      <c r="F46" s="23"/>
      <c r="G46" s="6"/>
      <c r="H46" s="10" t="s">
        <v>9</v>
      </c>
      <c r="I46" s="10" t="s">
        <v>10</v>
      </c>
    </row>
    <row r="47" spans="1:9" ht="16.2" customHeight="1" x14ac:dyDescent="0.25">
      <c r="A47" s="25">
        <v>1</v>
      </c>
      <c r="B47" s="14" t="s">
        <v>108</v>
      </c>
      <c r="C47" s="14" t="s">
        <v>109</v>
      </c>
      <c r="D47" s="26" t="s">
        <v>110</v>
      </c>
      <c r="E47" s="27"/>
      <c r="F47" s="28">
        <v>30.6</v>
      </c>
      <c r="G47" s="18"/>
      <c r="H47" s="18"/>
      <c r="I47" s="19">
        <f>H47/F47</f>
        <v>0</v>
      </c>
    </row>
    <row r="48" spans="1:9" ht="16.8" customHeight="1" x14ac:dyDescent="0.25">
      <c r="A48" s="5" t="s">
        <v>104</v>
      </c>
      <c r="B48" s="5"/>
      <c r="C48" s="5"/>
      <c r="D48" s="5" t="s">
        <v>111</v>
      </c>
      <c r="E48" s="5"/>
      <c r="F48" s="20">
        <f>SUM(F47:F47)</f>
        <v>30.6</v>
      </c>
      <c r="G48" s="21"/>
      <c r="H48" s="20">
        <f>SUM(H47:H47)</f>
        <v>0</v>
      </c>
      <c r="I48" s="22">
        <f>H48/F48</f>
        <v>0</v>
      </c>
    </row>
  </sheetData>
  <mergeCells count="53">
    <mergeCell ref="G45:G46"/>
    <mergeCell ref="H45:I45"/>
    <mergeCell ref="D47:E47"/>
    <mergeCell ref="A48:C48"/>
    <mergeCell ref="D48:E48"/>
    <mergeCell ref="A41:C41"/>
    <mergeCell ref="D41:E41"/>
    <mergeCell ref="A45:A46"/>
    <mergeCell ref="B45:C45"/>
    <mergeCell ref="D45:E46"/>
    <mergeCell ref="F45:F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D374-335A-40BF-956F-495DC495096E}">
  <sheetPr codeName="Sheet38"/>
  <dimension ref="A1:I10"/>
  <sheetViews>
    <sheetView zoomScaleNormal="100" workbookViewId="0">
      <selection activeCell="B20" sqref="B2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19</v>
      </c>
      <c r="C5" s="14" t="s">
        <v>20</v>
      </c>
      <c r="D5" s="15" t="s">
        <v>21</v>
      </c>
      <c r="E5" s="16" t="s">
        <v>21</v>
      </c>
      <c r="F5" s="17">
        <v>3.2</v>
      </c>
      <c r="G5" s="18"/>
      <c r="H5" s="18"/>
      <c r="I5" s="19">
        <f t="shared" ref="I5:I8" si="0">H5/F5</f>
        <v>0</v>
      </c>
    </row>
    <row r="6" spans="1:9" ht="15.6" customHeight="1" x14ac:dyDescent="0.25">
      <c r="A6" s="13">
        <v>2</v>
      </c>
      <c r="B6" s="14" t="s">
        <v>25</v>
      </c>
      <c r="C6" s="14" t="s">
        <v>26</v>
      </c>
      <c r="D6" s="15" t="s">
        <v>21</v>
      </c>
      <c r="E6" s="16" t="s">
        <v>21</v>
      </c>
      <c r="F6" s="17">
        <v>6.6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27</v>
      </c>
      <c r="C7" s="14" t="s">
        <v>28</v>
      </c>
      <c r="D7" s="15" t="s">
        <v>21</v>
      </c>
      <c r="E7" s="16" t="s">
        <v>21</v>
      </c>
      <c r="F7" s="17">
        <v>1.5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44</v>
      </c>
      <c r="C8" s="14" t="s">
        <v>45</v>
      </c>
      <c r="D8" s="15" t="s">
        <v>46</v>
      </c>
      <c r="E8" s="16" t="s">
        <v>46</v>
      </c>
      <c r="F8" s="17">
        <v>11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101</v>
      </c>
      <c r="C9" s="14" t="s">
        <v>102</v>
      </c>
      <c r="D9" s="15" t="s">
        <v>103</v>
      </c>
      <c r="E9" s="16" t="s">
        <v>103</v>
      </c>
      <c r="F9" s="17">
        <v>4.5</v>
      </c>
      <c r="G9" s="18"/>
      <c r="H9" s="18"/>
      <c r="I9" s="19">
        <f>H9/F9</f>
        <v>0</v>
      </c>
    </row>
    <row r="10" spans="1:9" ht="16.8" customHeight="1" x14ac:dyDescent="0.25">
      <c r="A10" s="5" t="s">
        <v>104</v>
      </c>
      <c r="B10" s="5"/>
      <c r="C10" s="5"/>
      <c r="D10" s="5" t="s">
        <v>112</v>
      </c>
      <c r="E10" s="5"/>
      <c r="F10" s="20">
        <f>SUM(F5:F9)</f>
        <v>26.8</v>
      </c>
      <c r="G10" s="21"/>
      <c r="H10" s="20">
        <f>SUM(H5:H9)</f>
        <v>0</v>
      </c>
      <c r="I10" s="22">
        <f>H10/F10</f>
        <v>0</v>
      </c>
    </row>
  </sheetData>
  <mergeCells count="13">
    <mergeCell ref="A10:C10"/>
    <mergeCell ref="D10:E10"/>
    <mergeCell ref="D9:E9"/>
    <mergeCell ref="D8:E8"/>
    <mergeCell ref="D7:E7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9F23-6220-45CC-A340-125BCBCF7B61}">
  <sheetPr codeName="Sheet39"/>
  <dimension ref="A1:I18"/>
  <sheetViews>
    <sheetView zoomScaleNormal="100" workbookViewId="0">
      <selection activeCell="C25" sqref="C2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80.8</v>
      </c>
      <c r="G5" s="18"/>
      <c r="H5" s="18"/>
      <c r="I5" s="19">
        <f t="shared" ref="I5:I17" si="0">H5/F5</f>
        <v>0</v>
      </c>
    </row>
    <row r="6" spans="1:9" ht="15.6" customHeight="1" x14ac:dyDescent="0.25">
      <c r="A6" s="13">
        <v>2</v>
      </c>
      <c r="B6" s="14" t="s">
        <v>61</v>
      </c>
      <c r="C6" s="14" t="s">
        <v>62</v>
      </c>
      <c r="D6" s="15" t="s">
        <v>63</v>
      </c>
      <c r="E6" s="16" t="s">
        <v>63</v>
      </c>
      <c r="F6" s="17">
        <v>2.7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66</v>
      </c>
      <c r="C7" s="14" t="s">
        <v>67</v>
      </c>
      <c r="D7" s="15" t="s">
        <v>68</v>
      </c>
      <c r="E7" s="16" t="s">
        <v>68</v>
      </c>
      <c r="F7" s="17">
        <v>2.1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69</v>
      </c>
      <c r="C8" s="14" t="s">
        <v>70</v>
      </c>
      <c r="D8" s="15" t="s">
        <v>68</v>
      </c>
      <c r="E8" s="16" t="s">
        <v>68</v>
      </c>
      <c r="F8" s="17">
        <v>3.5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71</v>
      </c>
      <c r="C9" s="14" t="s">
        <v>72</v>
      </c>
      <c r="D9" s="15" t="s">
        <v>68</v>
      </c>
      <c r="E9" s="16" t="s">
        <v>68</v>
      </c>
      <c r="F9" s="17">
        <v>2.6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73</v>
      </c>
      <c r="C10" s="14" t="s">
        <v>74</v>
      </c>
      <c r="D10" s="15" t="s">
        <v>75</v>
      </c>
      <c r="E10" s="16" t="s">
        <v>75</v>
      </c>
      <c r="F10" s="17">
        <v>0.7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76</v>
      </c>
      <c r="C11" s="14" t="s">
        <v>77</v>
      </c>
      <c r="D11" s="15" t="s">
        <v>78</v>
      </c>
      <c r="E11" s="16" t="s">
        <v>78</v>
      </c>
      <c r="F11" s="17">
        <v>1.4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79</v>
      </c>
      <c r="C12" s="14" t="s">
        <v>80</v>
      </c>
      <c r="D12" s="15" t="s">
        <v>78</v>
      </c>
      <c r="E12" s="16" t="s">
        <v>78</v>
      </c>
      <c r="F12" s="17">
        <v>1.7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83</v>
      </c>
      <c r="C13" s="14" t="s">
        <v>84</v>
      </c>
      <c r="D13" s="15" t="s">
        <v>78</v>
      </c>
      <c r="E13" s="16" t="s">
        <v>78</v>
      </c>
      <c r="F13" s="17">
        <v>1.7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85</v>
      </c>
      <c r="C14" s="14" t="s">
        <v>86</v>
      </c>
      <c r="D14" s="15" t="s">
        <v>87</v>
      </c>
      <c r="E14" s="16" t="s">
        <v>87</v>
      </c>
      <c r="F14" s="17">
        <v>2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88</v>
      </c>
      <c r="C15" s="14" t="s">
        <v>89</v>
      </c>
      <c r="D15" s="15" t="s">
        <v>87</v>
      </c>
      <c r="E15" s="16" t="s">
        <v>87</v>
      </c>
      <c r="F15" s="17">
        <v>2.2000000000000002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90</v>
      </c>
      <c r="C16" s="14" t="s">
        <v>91</v>
      </c>
      <c r="D16" s="15" t="s">
        <v>92</v>
      </c>
      <c r="E16" s="16" t="s">
        <v>92</v>
      </c>
      <c r="F16" s="17">
        <v>1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93</v>
      </c>
      <c r="C17" s="14" t="s">
        <v>94</v>
      </c>
      <c r="D17" s="15" t="s">
        <v>95</v>
      </c>
      <c r="E17" s="16" t="s">
        <v>95</v>
      </c>
      <c r="F17" s="17">
        <v>2.2000000000000002</v>
      </c>
      <c r="G17" s="18"/>
      <c r="H17" s="18"/>
      <c r="I17" s="19">
        <f t="shared" si="0"/>
        <v>0</v>
      </c>
    </row>
    <row r="18" spans="1:9" ht="16.8" customHeight="1" x14ac:dyDescent="0.25">
      <c r="A18" s="5" t="s">
        <v>104</v>
      </c>
      <c r="B18" s="5"/>
      <c r="C18" s="5"/>
      <c r="D18" s="5" t="s">
        <v>113</v>
      </c>
      <c r="E18" s="5"/>
      <c r="F18" s="20">
        <f>SUM(F5:F17)</f>
        <v>104.60000000000001</v>
      </c>
      <c r="G18" s="21"/>
      <c r="H18" s="20">
        <f>SUM(H5:H17)</f>
        <v>0</v>
      </c>
      <c r="I18" s="22">
        <f>H18/F18</f>
        <v>0</v>
      </c>
    </row>
  </sheetData>
  <mergeCells count="21">
    <mergeCell ref="A18:C18"/>
    <mergeCell ref="D18:E18"/>
    <mergeCell ref="D15:E15"/>
    <mergeCell ref="D16:E16"/>
    <mergeCell ref="D17:E17"/>
    <mergeCell ref="D10:E10"/>
    <mergeCell ref="D11:E11"/>
    <mergeCell ref="D12:E12"/>
    <mergeCell ref="D13:E13"/>
    <mergeCell ref="D14:E14"/>
    <mergeCell ref="D6:E6"/>
    <mergeCell ref="D7:E7"/>
    <mergeCell ref="D8:E8"/>
    <mergeCell ref="D9:E9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A8CF-0C6F-4643-B8CC-2E3C11586A9C}">
  <sheetPr codeName="Sheet40"/>
  <dimension ref="A1:I21"/>
  <sheetViews>
    <sheetView zoomScaleNormal="100" workbookViewId="0">
      <selection activeCell="C33" sqref="C3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12</v>
      </c>
      <c r="D5" s="15" t="s">
        <v>15</v>
      </c>
      <c r="E5" s="16" t="s">
        <v>15</v>
      </c>
      <c r="F5" s="17">
        <v>27</v>
      </c>
      <c r="G5" s="17"/>
      <c r="H5" s="17"/>
      <c r="I5" s="19">
        <f t="shared" ref="I5:I20" si="0">H5/F5</f>
        <v>0</v>
      </c>
    </row>
    <row r="6" spans="1:9" ht="15.6" customHeight="1" x14ac:dyDescent="0.25">
      <c r="A6" s="13">
        <v>2</v>
      </c>
      <c r="B6" s="14" t="s">
        <v>16</v>
      </c>
      <c r="C6" s="14" t="s">
        <v>17</v>
      </c>
      <c r="D6" s="15" t="s">
        <v>18</v>
      </c>
      <c r="E6" s="16" t="s">
        <v>18</v>
      </c>
      <c r="F6" s="17">
        <v>1.1000000000000001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22</v>
      </c>
      <c r="C7" s="14" t="s">
        <v>23</v>
      </c>
      <c r="D7" s="15" t="s">
        <v>24</v>
      </c>
      <c r="E7" s="16" t="s">
        <v>24</v>
      </c>
      <c r="F7" s="17">
        <v>8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29</v>
      </c>
      <c r="C8" s="14" t="s">
        <v>30</v>
      </c>
      <c r="D8" s="15" t="s">
        <v>31</v>
      </c>
      <c r="E8" s="16" t="s">
        <v>31</v>
      </c>
      <c r="F8" s="17">
        <v>7.5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32</v>
      </c>
      <c r="C9" s="14" t="s">
        <v>33</v>
      </c>
      <c r="D9" s="15" t="s">
        <v>34</v>
      </c>
      <c r="E9" s="16" t="s">
        <v>34</v>
      </c>
      <c r="F9" s="17">
        <v>12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35</v>
      </c>
      <c r="C10" s="14" t="s">
        <v>36</v>
      </c>
      <c r="D10" s="15" t="s">
        <v>34</v>
      </c>
      <c r="E10" s="16" t="s">
        <v>34</v>
      </c>
      <c r="F10" s="17">
        <v>5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37</v>
      </c>
      <c r="C11" s="14" t="s">
        <v>38</v>
      </c>
      <c r="D11" s="15" t="s">
        <v>24</v>
      </c>
      <c r="E11" s="16" t="s">
        <v>24</v>
      </c>
      <c r="F11" s="17">
        <v>3</v>
      </c>
      <c r="G11" s="17"/>
      <c r="H11" s="17"/>
      <c r="I11" s="19">
        <f t="shared" si="0"/>
        <v>0</v>
      </c>
    </row>
    <row r="12" spans="1:9" ht="15.6" customHeight="1" x14ac:dyDescent="0.25">
      <c r="A12" s="13">
        <v>8</v>
      </c>
      <c r="B12" s="14" t="s">
        <v>39</v>
      </c>
      <c r="C12" s="14" t="s">
        <v>40</v>
      </c>
      <c r="D12" s="15" t="s">
        <v>34</v>
      </c>
      <c r="E12" s="16" t="s">
        <v>34</v>
      </c>
      <c r="F12" s="17">
        <v>4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41</v>
      </c>
      <c r="C13" s="14" t="s">
        <v>42</v>
      </c>
      <c r="D13" s="15" t="s">
        <v>43</v>
      </c>
      <c r="E13" s="16" t="s">
        <v>43</v>
      </c>
      <c r="F13" s="17">
        <v>4.2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47</v>
      </c>
      <c r="C14" s="14" t="s">
        <v>48</v>
      </c>
      <c r="D14" s="15" t="s">
        <v>24</v>
      </c>
      <c r="E14" s="16" t="s">
        <v>24</v>
      </c>
      <c r="F14" s="17">
        <v>1.5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49</v>
      </c>
      <c r="C15" s="14" t="s">
        <v>50</v>
      </c>
      <c r="D15" s="15" t="s">
        <v>51</v>
      </c>
      <c r="E15" s="16" t="s">
        <v>51</v>
      </c>
      <c r="F15" s="17">
        <v>2.2000000000000002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52</v>
      </c>
      <c r="C16" s="14" t="s">
        <v>53</v>
      </c>
      <c r="D16" s="15" t="s">
        <v>54</v>
      </c>
      <c r="E16" s="16" t="s">
        <v>54</v>
      </c>
      <c r="F16" s="17">
        <v>4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55</v>
      </c>
      <c r="C17" s="14" t="s">
        <v>56</v>
      </c>
      <c r="D17" s="15" t="s">
        <v>57</v>
      </c>
      <c r="E17" s="16" t="s">
        <v>57</v>
      </c>
      <c r="F17" s="17">
        <v>4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58</v>
      </c>
      <c r="C18" s="14" t="s">
        <v>59</v>
      </c>
      <c r="D18" s="15" t="s">
        <v>60</v>
      </c>
      <c r="E18" s="16" t="s">
        <v>60</v>
      </c>
      <c r="F18" s="17">
        <v>3.5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64</v>
      </c>
      <c r="C19" s="14" t="s">
        <v>65</v>
      </c>
      <c r="D19" s="15" t="s">
        <v>63</v>
      </c>
      <c r="E19" s="16" t="s">
        <v>63</v>
      </c>
      <c r="F19" s="17">
        <v>1.1000000000000001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96</v>
      </c>
      <c r="C20" s="14" t="s">
        <v>97</v>
      </c>
      <c r="D20" s="15" t="s">
        <v>34</v>
      </c>
      <c r="E20" s="16" t="s">
        <v>34</v>
      </c>
      <c r="F20" s="17">
        <v>6</v>
      </c>
      <c r="G20" s="18"/>
      <c r="H20" s="18"/>
      <c r="I20" s="19">
        <f t="shared" si="0"/>
        <v>0</v>
      </c>
    </row>
    <row r="21" spans="1:9" ht="16.8" customHeight="1" x14ac:dyDescent="0.25">
      <c r="A21" s="5" t="s">
        <v>104</v>
      </c>
      <c r="B21" s="5"/>
      <c r="C21" s="5"/>
      <c r="D21" s="5" t="s">
        <v>114</v>
      </c>
      <c r="E21" s="5"/>
      <c r="F21" s="20">
        <f>SUM(F5:F20)</f>
        <v>94.1</v>
      </c>
      <c r="G21" s="21"/>
      <c r="H21" s="20">
        <f>SUM(H5:H20)</f>
        <v>0</v>
      </c>
      <c r="I21" s="22">
        <f>H21/F21</f>
        <v>0</v>
      </c>
    </row>
  </sheetData>
  <mergeCells count="24">
    <mergeCell ref="A21:C21"/>
    <mergeCell ref="D21:E21"/>
    <mergeCell ref="D20:E20"/>
    <mergeCell ref="D18:E18"/>
    <mergeCell ref="D19:E19"/>
    <mergeCell ref="D13:E13"/>
    <mergeCell ref="D14:E14"/>
    <mergeCell ref="D15:E15"/>
    <mergeCell ref="D16:E16"/>
    <mergeCell ref="D17:E17"/>
    <mergeCell ref="D8:E8"/>
    <mergeCell ref="D9:E9"/>
    <mergeCell ref="D10:E10"/>
    <mergeCell ref="D11:E11"/>
    <mergeCell ref="D12:E12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977B-4747-4462-93BD-4DEF4045EA53}">
  <sheetPr codeName="Sheet41"/>
  <dimension ref="A2:I7"/>
  <sheetViews>
    <sheetView tabSelected="1" zoomScaleNormal="100" workbookViewId="0">
      <selection activeCell="C15" sqref="C1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106</v>
      </c>
    </row>
    <row r="4" spans="1:9" s="24" customFormat="1" ht="17.399999999999999" customHeight="1" x14ac:dyDescent="0.25">
      <c r="A4" s="5" t="s">
        <v>1</v>
      </c>
      <c r="B4" s="23" t="s">
        <v>2</v>
      </c>
      <c r="C4" s="23"/>
      <c r="D4" s="7" t="s">
        <v>3</v>
      </c>
      <c r="E4" s="8"/>
      <c r="F4" s="23" t="s">
        <v>107</v>
      </c>
      <c r="G4" s="6" t="s">
        <v>5</v>
      </c>
      <c r="H4" s="5" t="s">
        <v>6</v>
      </c>
      <c r="I4" s="5"/>
    </row>
    <row r="5" spans="1:9" s="24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3"/>
      <c r="G5" s="6"/>
      <c r="H5" s="10" t="s">
        <v>9</v>
      </c>
      <c r="I5" s="10" t="s">
        <v>10</v>
      </c>
    </row>
    <row r="6" spans="1:9" ht="16.2" customHeight="1" x14ac:dyDescent="0.25">
      <c r="A6" s="25">
        <v>1</v>
      </c>
      <c r="B6" s="14" t="s">
        <v>108</v>
      </c>
      <c r="C6" s="14" t="s">
        <v>109</v>
      </c>
      <c r="D6" s="26" t="s">
        <v>110</v>
      </c>
      <c r="E6" s="27"/>
      <c r="F6" s="28">
        <v>30.6</v>
      </c>
      <c r="G6" s="18"/>
      <c r="H6" s="18"/>
      <c r="I6" s="19">
        <f>H6/F6</f>
        <v>0</v>
      </c>
    </row>
    <row r="7" spans="1:9" ht="16.8" customHeight="1" x14ac:dyDescent="0.25">
      <c r="A7" s="5" t="s">
        <v>104</v>
      </c>
      <c r="B7" s="5"/>
      <c r="C7" s="5"/>
      <c r="D7" s="5" t="s">
        <v>111</v>
      </c>
      <c r="E7" s="5"/>
      <c r="F7" s="20">
        <f>SUM(F6:F6)</f>
        <v>30.6</v>
      </c>
      <c r="G7" s="21"/>
      <c r="H7" s="20">
        <f>SUM(H6:H6)</f>
        <v>0</v>
      </c>
      <c r="I7" s="22">
        <f>H7/F7</f>
        <v>0</v>
      </c>
    </row>
  </sheetData>
  <mergeCells count="9">
    <mergeCell ref="G4:G5"/>
    <mergeCell ref="H4:I4"/>
    <mergeCell ref="D6:E6"/>
    <mergeCell ref="A7:C7"/>
    <mergeCell ref="D7:E7"/>
    <mergeCell ref="A4:A5"/>
    <mergeCell ref="B4:C4"/>
    <mergeCell ref="D4:E5"/>
    <mergeCell ref="F4:F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Inv__Ujitjes_Lezhe</vt:lpstr>
      <vt:lpstr>Rezervuar</vt:lpstr>
      <vt:lpstr>Stacion Pompimi</vt:lpstr>
      <vt:lpstr>Lume &amp; Perrua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2026-10-06T13:17:40Z</dcterms:created>
  <dcterms:modified xsi:type="dcterms:W3CDTF">2026-10-06T13:24:10Z</dcterms:modified>
</cp:coreProperties>
</file>