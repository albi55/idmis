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08AB28B-420C-4F3C-B076-7CDE94A2B4AB}" xr6:coauthVersionLast="47" xr6:coauthVersionMax="47" xr10:uidLastSave="{00000000-0000-0000-0000-000000000000}"/>
  <bookViews>
    <workbookView xWindow="-28920" yWindow="-1470" windowWidth="29040" windowHeight="15720" activeTab="2" xr2:uid="{C1BA2372-C524-421F-BE85-135D630E5A14}"/>
  </bookViews>
  <sheets>
    <sheet name="Inv__Ujitjes_Permet" sheetId="1" r:id="rId1"/>
    <sheet name="Rezervuar" sheetId="2" r:id="rId2"/>
    <sheet name="Lum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3" l="1"/>
  <c r="F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13" i="2"/>
  <c r="F13" i="2"/>
  <c r="I12" i="2"/>
  <c r="I11" i="2"/>
  <c r="I10" i="2"/>
  <c r="I9" i="2"/>
  <c r="I8" i="2"/>
  <c r="I7" i="2"/>
  <c r="I6" i="2"/>
  <c r="I5" i="2"/>
  <c r="I31" i="1"/>
  <c r="H31" i="1"/>
  <c r="F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3" i="3" l="1"/>
  <c r="I13" i="2"/>
</calcChain>
</file>

<file path=xl/sharedStrings.xml><?xml version="1.0" encoding="utf-8"?>
<sst xmlns="http://schemas.openxmlformats.org/spreadsheetml/2006/main" count="247" uniqueCount="71">
  <si>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</si>
  <si>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</si>
  <si>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</si>
  <si>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</si>
  <si>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</si>
  <si>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</si>
  <si>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</si>
  <si>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</si>
  <si>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</si>
  <si>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</si>
  <si>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</si>
  <si>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PRU - 20</t>
  </si>
  <si>
    <t>Strembec area</t>
  </si>
  <si>
    <t>Rezervuar. &amp; Lume</t>
  </si>
  <si>
    <t>PRU - 8</t>
  </si>
  <si>
    <t>Kosine area</t>
  </si>
  <si>
    <t>Rezervuar &amp; Lume</t>
  </si>
  <si>
    <t>PRU - 14</t>
  </si>
  <si>
    <t>Qilarisht area</t>
  </si>
  <si>
    <t>PRU - 21</t>
  </si>
  <si>
    <t>Iljare area</t>
  </si>
  <si>
    <t>PRU - 4</t>
  </si>
  <si>
    <t>Grabove area</t>
  </si>
  <si>
    <t>Lume</t>
  </si>
  <si>
    <t>PRU - 6</t>
  </si>
  <si>
    <t>Pacomit area</t>
  </si>
  <si>
    <t>PRU - 7</t>
  </si>
  <si>
    <t>Rapcke area</t>
  </si>
  <si>
    <t>PRU - 9</t>
  </si>
  <si>
    <t>Bual area</t>
  </si>
  <si>
    <t>PRU - 10</t>
  </si>
  <si>
    <t>Kutal area</t>
  </si>
  <si>
    <t>PRU - 11</t>
  </si>
  <si>
    <t>Bodar area</t>
  </si>
  <si>
    <t>PRU - 12</t>
  </si>
  <si>
    <t>Tremisht area</t>
  </si>
  <si>
    <t>Rezervuar</t>
  </si>
  <si>
    <t>PRU - 13</t>
  </si>
  <si>
    <t>Leshice area</t>
  </si>
  <si>
    <t>PRU - 15</t>
  </si>
  <si>
    <t>Benje area</t>
  </si>
  <si>
    <t>PRU - 16</t>
  </si>
  <si>
    <t>Badolonje area</t>
  </si>
  <si>
    <t>PRU - 17</t>
  </si>
  <si>
    <t>Gjinkar area</t>
  </si>
  <si>
    <t>PRU - 18</t>
  </si>
  <si>
    <t>Petran area</t>
  </si>
  <si>
    <t>PRU - 19</t>
  </si>
  <si>
    <t>Kaludh area</t>
  </si>
  <si>
    <t>PRU - 22</t>
  </si>
  <si>
    <t>Pellumbar - Konikal area</t>
  </si>
  <si>
    <t>PRU - 23</t>
  </si>
  <si>
    <t>Zhepe area</t>
  </si>
  <si>
    <t>PRU - 24</t>
  </si>
  <si>
    <t>Çarshove area</t>
  </si>
  <si>
    <t>PRU - 28</t>
  </si>
  <si>
    <t>Sarandopor kanal</t>
  </si>
  <si>
    <t>PRU - 29</t>
  </si>
  <si>
    <t>Carshove</t>
  </si>
  <si>
    <t>PRU - 30</t>
  </si>
  <si>
    <t>Vllahopsillotere</t>
  </si>
  <si>
    <t>PRU - 31</t>
  </si>
  <si>
    <t>Qipuri</t>
  </si>
  <si>
    <t>PRU - 32</t>
  </si>
  <si>
    <t>Lengarize</t>
  </si>
  <si>
    <t>PRU - 33</t>
  </si>
  <si>
    <t>Lumnice</t>
  </si>
  <si>
    <t>Total</t>
  </si>
  <si>
    <t>26 Skema</t>
  </si>
  <si>
    <t>8 Skema</t>
  </si>
  <si>
    <t>18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</si>
</sst>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0B6F96A-6235-4ED8-A91D-8D899F115ACE}"/>
    <cellStyle name="Percent 2" xfId="2" xr:uid="{3466999E-8C0B-40B7-8509-B44B315C40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81BF-98A2-46BA-A5E2-BB2A4C832F7A}">
  <sheetPr codeName="Sheet26"/>
  <dimension ref="A1:I31"/>
  <sheetViews>
    <sheetView zoomScaleNormal="100" workbookViewId="0">
      <selection activeCell="J22" sqref="J2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6</v>
      </c>
      <c r="G5" s="18"/>
      <c r="H5" s="18"/>
      <c r="I5" s="19">
        <f t="shared" ref="I5:I29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17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12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7">
        <v>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23</v>
      </c>
      <c r="E9" s="16" t="s">
        <v>23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16</v>
      </c>
      <c r="E10" s="16" t="s">
        <v>16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23</v>
      </c>
      <c r="E11" s="16" t="s">
        <v>23</v>
      </c>
      <c r="F11" s="17">
        <v>0</v>
      </c>
      <c r="G11" s="18"/>
      <c r="H11" s="18"/>
      <c r="I11" s="19" t="e">
        <f t="shared" si="0"/>
        <v>#DIV/0!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5" t="s">
        <v>23</v>
      </c>
      <c r="E12" s="16" t="s">
        <v>23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23</v>
      </c>
      <c r="E13" s="16" t="s">
        <v>23</v>
      </c>
      <c r="F13" s="17">
        <v>0</v>
      </c>
      <c r="G13" s="17"/>
      <c r="H13" s="17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32</v>
      </c>
      <c r="C14" s="14" t="s">
        <v>33</v>
      </c>
      <c r="D14" s="15" t="s">
        <v>23</v>
      </c>
      <c r="E14" s="16" t="s">
        <v>23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34</v>
      </c>
      <c r="C15" s="14" t="s">
        <v>35</v>
      </c>
      <c r="D15" s="15" t="s">
        <v>36</v>
      </c>
      <c r="E15" s="16" t="s">
        <v>36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37</v>
      </c>
      <c r="C16" s="14" t="s">
        <v>38</v>
      </c>
      <c r="D16" s="15" t="s">
        <v>23</v>
      </c>
      <c r="E16" s="16" t="s">
        <v>23</v>
      </c>
      <c r="F16" s="17">
        <v>0</v>
      </c>
      <c r="G16" s="17"/>
      <c r="H16" s="17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39</v>
      </c>
      <c r="C17" s="14" t="s">
        <v>40</v>
      </c>
      <c r="D17" s="15" t="s">
        <v>23</v>
      </c>
      <c r="E17" s="16" t="s">
        <v>23</v>
      </c>
      <c r="F17" s="17">
        <v>5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41</v>
      </c>
      <c r="C18" s="14" t="s">
        <v>42</v>
      </c>
      <c r="D18" s="15" t="s">
        <v>23</v>
      </c>
      <c r="E18" s="16" t="s">
        <v>23</v>
      </c>
      <c r="F18" s="17">
        <v>0</v>
      </c>
      <c r="G18" s="18"/>
      <c r="H18" s="18"/>
      <c r="I18" s="19" t="e">
        <f t="shared" si="0"/>
        <v>#DIV/0!</v>
      </c>
    </row>
    <row r="19" spans="1:9" ht="15.6" customHeight="1" x14ac:dyDescent="0.25">
      <c r="A19" s="13">
        <v>15</v>
      </c>
      <c r="B19" s="14" t="s">
        <v>43</v>
      </c>
      <c r="C19" s="14" t="s">
        <v>44</v>
      </c>
      <c r="D19" s="15" t="s">
        <v>23</v>
      </c>
      <c r="E19" s="16" t="s">
        <v>23</v>
      </c>
      <c r="F19" s="17">
        <v>0</v>
      </c>
      <c r="G19" s="17"/>
      <c r="H19" s="17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45</v>
      </c>
      <c r="C20" s="14" t="s">
        <v>46</v>
      </c>
      <c r="D20" s="15" t="s">
        <v>23</v>
      </c>
      <c r="E20" s="16" t="s">
        <v>23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47</v>
      </c>
      <c r="C21" s="14" t="s">
        <v>48</v>
      </c>
      <c r="D21" s="15" t="s">
        <v>36</v>
      </c>
      <c r="E21" s="16" t="s">
        <v>36</v>
      </c>
      <c r="F21" s="20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49</v>
      </c>
      <c r="C22" s="14" t="s">
        <v>50</v>
      </c>
      <c r="D22" s="15" t="s">
        <v>23</v>
      </c>
      <c r="E22" s="16" t="s">
        <v>23</v>
      </c>
      <c r="F22" s="17">
        <v>0</v>
      </c>
      <c r="G22" s="17"/>
      <c r="H22" s="17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51</v>
      </c>
      <c r="C23" s="14" t="s">
        <v>52</v>
      </c>
      <c r="D23" s="15" t="s">
        <v>16</v>
      </c>
      <c r="E23" s="16" t="s">
        <v>16</v>
      </c>
      <c r="F23" s="17">
        <v>4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53</v>
      </c>
      <c r="C24" s="14" t="s">
        <v>54</v>
      </c>
      <c r="D24" s="15" t="s">
        <v>23</v>
      </c>
      <c r="E24" s="16" t="s">
        <v>23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55</v>
      </c>
      <c r="C25" s="14" t="s">
        <v>56</v>
      </c>
      <c r="D25" s="15" t="s">
        <v>23</v>
      </c>
      <c r="E25" s="16" t="s">
        <v>23</v>
      </c>
      <c r="F25" s="17">
        <v>0</v>
      </c>
      <c r="G25" s="17"/>
      <c r="H25" s="17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57</v>
      </c>
      <c r="C26" s="14" t="s">
        <v>58</v>
      </c>
      <c r="D26" s="15" t="s">
        <v>23</v>
      </c>
      <c r="E26" s="16" t="s">
        <v>23</v>
      </c>
      <c r="F26" s="17">
        <v>0</v>
      </c>
      <c r="G26" s="18"/>
      <c r="H26" s="18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59</v>
      </c>
      <c r="C27" s="14" t="s">
        <v>60</v>
      </c>
      <c r="D27" s="15" t="s">
        <v>23</v>
      </c>
      <c r="E27" s="16" t="s">
        <v>23</v>
      </c>
      <c r="F27" s="17">
        <v>0</v>
      </c>
      <c r="G27" s="18"/>
      <c r="H27" s="18"/>
      <c r="I27" s="19" t="e">
        <f t="shared" si="0"/>
        <v>#DIV/0!</v>
      </c>
    </row>
    <row r="28" spans="1:9" ht="15.6" customHeight="1" x14ac:dyDescent="0.25">
      <c r="A28" s="13">
        <v>24</v>
      </c>
      <c r="B28" s="14" t="s">
        <v>61</v>
      </c>
      <c r="C28" s="14" t="s">
        <v>62</v>
      </c>
      <c r="D28" s="15" t="s">
        <v>23</v>
      </c>
      <c r="E28" s="16" t="s">
        <v>23</v>
      </c>
      <c r="F28" s="17">
        <v>0</v>
      </c>
      <c r="G28" s="18"/>
      <c r="H28" s="18"/>
      <c r="I28" s="19" t="e">
        <f t="shared" si="0"/>
        <v>#DIV/0!</v>
      </c>
    </row>
    <row r="29" spans="1:9" ht="15.6" customHeight="1" x14ac:dyDescent="0.25">
      <c r="A29" s="13">
        <v>25</v>
      </c>
      <c r="B29" s="14" t="s">
        <v>63</v>
      </c>
      <c r="C29" s="14" t="s">
        <v>64</v>
      </c>
      <c r="D29" s="15" t="s">
        <v>23</v>
      </c>
      <c r="E29" s="16" t="s">
        <v>23</v>
      </c>
      <c r="F29" s="17">
        <v>0</v>
      </c>
      <c r="G29" s="18"/>
      <c r="H29" s="18"/>
      <c r="I29" s="19" t="e">
        <f t="shared" si="0"/>
        <v>#DIV/0!</v>
      </c>
    </row>
    <row r="30" spans="1:9" ht="15.6" customHeight="1" x14ac:dyDescent="0.25">
      <c r="A30" s="13">
        <v>26</v>
      </c>
      <c r="B30" s="14" t="s">
        <v>65</v>
      </c>
      <c r="C30" s="14" t="s">
        <v>66</v>
      </c>
      <c r="D30" s="15" t="s">
        <v>23</v>
      </c>
      <c r="E30" s="16" t="s">
        <v>23</v>
      </c>
      <c r="F30" s="17">
        <v>0</v>
      </c>
      <c r="G30" s="18"/>
      <c r="H30" s="18"/>
      <c r="I30" s="19" t="e">
        <f>H30/F30</f>
        <v>#DIV/0!</v>
      </c>
    </row>
    <row r="31" spans="1:9" ht="16.8" customHeight="1" x14ac:dyDescent="0.25">
      <c r="A31" s="5" t="s">
        <v>67</v>
      </c>
      <c r="B31" s="5"/>
      <c r="C31" s="5"/>
      <c r="D31" s="5" t="s">
        <v>68</v>
      </c>
      <c r="E31" s="5"/>
      <c r="F31" s="21">
        <f>SUM(F5:F30)</f>
        <v>49</v>
      </c>
      <c r="G31" s="22"/>
      <c r="H31" s="21">
        <f>SUM(H5:H30)</f>
        <v>0</v>
      </c>
      <c r="I31" s="23">
        <f>H31/F31</f>
        <v>0</v>
      </c>
    </row>
  </sheetData>
  <mergeCells count="34">
    <mergeCell ref="D29:E29"/>
    <mergeCell ref="D30:E30"/>
    <mergeCell ref="A31:C31"/>
    <mergeCell ref="D31:E31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7376-BFCE-42DB-91BC-7E2AE9591CE5}">
  <sheetPr codeName="Sheet27"/>
  <dimension ref="A1:I13"/>
  <sheetViews>
    <sheetView zoomScaleNormal="100" workbookViewId="0">
      <selection activeCell="D14" sqref="D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6</v>
      </c>
      <c r="G5" s="18"/>
      <c r="H5" s="18"/>
      <c r="I5" s="19">
        <f t="shared" ref="I5:I12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17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12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7">
        <v>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24</v>
      </c>
      <c r="C9" s="14" t="s">
        <v>25</v>
      </c>
      <c r="D9" s="15" t="s">
        <v>16</v>
      </c>
      <c r="E9" s="16" t="s">
        <v>16</v>
      </c>
      <c r="F9" s="17">
        <v>0</v>
      </c>
      <c r="G9" s="17"/>
      <c r="H9" s="17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34</v>
      </c>
      <c r="C10" s="14" t="s">
        <v>35</v>
      </c>
      <c r="D10" s="15" t="s">
        <v>36</v>
      </c>
      <c r="E10" s="16" t="s">
        <v>36</v>
      </c>
      <c r="F10" s="17">
        <v>0</v>
      </c>
      <c r="G10" s="18"/>
      <c r="H10" s="18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47</v>
      </c>
      <c r="C11" s="14" t="s">
        <v>48</v>
      </c>
      <c r="D11" s="15" t="s">
        <v>36</v>
      </c>
      <c r="E11" s="16" t="s">
        <v>36</v>
      </c>
      <c r="F11" s="20">
        <v>0</v>
      </c>
      <c r="G11" s="18"/>
      <c r="H11" s="18"/>
      <c r="I11" s="19" t="e">
        <f t="shared" si="0"/>
        <v>#DIV/0!</v>
      </c>
    </row>
    <row r="12" spans="1:9" ht="15.6" customHeight="1" x14ac:dyDescent="0.25">
      <c r="A12" s="13">
        <v>8</v>
      </c>
      <c r="B12" s="14" t="s">
        <v>51</v>
      </c>
      <c r="C12" s="14" t="s">
        <v>52</v>
      </c>
      <c r="D12" s="15" t="s">
        <v>16</v>
      </c>
      <c r="E12" s="16" t="s">
        <v>16</v>
      </c>
      <c r="F12" s="17">
        <v>4</v>
      </c>
      <c r="G12" s="18"/>
      <c r="H12" s="18"/>
      <c r="I12" s="19">
        <f t="shared" si="0"/>
        <v>0</v>
      </c>
    </row>
    <row r="13" spans="1:9" ht="16.8" customHeight="1" x14ac:dyDescent="0.25">
      <c r="A13" s="5" t="s">
        <v>67</v>
      </c>
      <c r="B13" s="5"/>
      <c r="C13" s="5"/>
      <c r="D13" s="5" t="s">
        <v>69</v>
      </c>
      <c r="E13" s="5"/>
      <c r="F13" s="21">
        <f>SUM(F5:F12)</f>
        <v>44</v>
      </c>
      <c r="G13" s="22"/>
      <c r="H13" s="21">
        <f>SUM(H5:H12)</f>
        <v>0</v>
      </c>
      <c r="I13" s="23">
        <f>H13/F13</f>
        <v>0</v>
      </c>
    </row>
  </sheetData>
  <mergeCells count="16">
    <mergeCell ref="A13:C13"/>
    <mergeCell ref="D13:E13"/>
    <mergeCell ref="D12:E12"/>
    <mergeCell ref="D11:E11"/>
    <mergeCell ref="D10:E10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40E7-4A05-4494-A9B2-A03C84196CC4}">
  <sheetPr codeName="Sheet28"/>
  <dimension ref="A1:I23"/>
  <sheetViews>
    <sheetView tabSelected="1" zoomScaleNormal="100" workbookViewId="0">
      <selection activeCell="A23" sqref="A23:C2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21</v>
      </c>
      <c r="C5" s="14" t="s">
        <v>22</v>
      </c>
      <c r="D5" s="15" t="s">
        <v>23</v>
      </c>
      <c r="E5" s="16" t="s">
        <v>23</v>
      </c>
      <c r="F5" s="17">
        <v>0</v>
      </c>
      <c r="G5" s="18"/>
      <c r="H5" s="18"/>
      <c r="I5" s="19" t="e">
        <f t="shared" ref="I5:I21" si="0">H5/F5</f>
        <v>#DIV/0!</v>
      </c>
    </row>
    <row r="6" spans="1:9" ht="15.6" customHeight="1" x14ac:dyDescent="0.25">
      <c r="A6" s="13">
        <v>2</v>
      </c>
      <c r="B6" s="14" t="s">
        <v>26</v>
      </c>
      <c r="C6" s="14" t="s">
        <v>27</v>
      </c>
      <c r="D6" s="15" t="s">
        <v>23</v>
      </c>
      <c r="E6" s="16" t="s">
        <v>23</v>
      </c>
      <c r="F6" s="17">
        <v>0</v>
      </c>
      <c r="G6" s="18"/>
      <c r="H6" s="18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28</v>
      </c>
      <c r="C7" s="14" t="s">
        <v>29</v>
      </c>
      <c r="D7" s="15" t="s">
        <v>23</v>
      </c>
      <c r="E7" s="16" t="s">
        <v>23</v>
      </c>
      <c r="F7" s="17">
        <v>0</v>
      </c>
      <c r="G7" s="18"/>
      <c r="H7" s="18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30</v>
      </c>
      <c r="C8" s="14" t="s">
        <v>31</v>
      </c>
      <c r="D8" s="15" t="s">
        <v>23</v>
      </c>
      <c r="E8" s="16" t="s">
        <v>23</v>
      </c>
      <c r="F8" s="17">
        <v>0</v>
      </c>
      <c r="G8" s="17"/>
      <c r="H8" s="17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32</v>
      </c>
      <c r="C9" s="14" t="s">
        <v>33</v>
      </c>
      <c r="D9" s="15" t="s">
        <v>23</v>
      </c>
      <c r="E9" s="16" t="s">
        <v>23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37</v>
      </c>
      <c r="C10" s="14" t="s">
        <v>38</v>
      </c>
      <c r="D10" s="15" t="s">
        <v>23</v>
      </c>
      <c r="E10" s="16" t="s">
        <v>23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39</v>
      </c>
      <c r="C11" s="14" t="s">
        <v>40</v>
      </c>
      <c r="D11" s="15" t="s">
        <v>23</v>
      </c>
      <c r="E11" s="16" t="s">
        <v>23</v>
      </c>
      <c r="F11" s="17">
        <v>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41</v>
      </c>
      <c r="C12" s="14" t="s">
        <v>42</v>
      </c>
      <c r="D12" s="15" t="s">
        <v>23</v>
      </c>
      <c r="E12" s="16" t="s">
        <v>23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43</v>
      </c>
      <c r="C13" s="14" t="s">
        <v>44</v>
      </c>
      <c r="D13" s="15" t="s">
        <v>23</v>
      </c>
      <c r="E13" s="16" t="s">
        <v>23</v>
      </c>
      <c r="F13" s="17">
        <v>0</v>
      </c>
      <c r="G13" s="17"/>
      <c r="H13" s="17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45</v>
      </c>
      <c r="C14" s="14" t="s">
        <v>46</v>
      </c>
      <c r="D14" s="15" t="s">
        <v>23</v>
      </c>
      <c r="E14" s="16" t="s">
        <v>23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49</v>
      </c>
      <c r="C15" s="14" t="s">
        <v>50</v>
      </c>
      <c r="D15" s="15" t="s">
        <v>23</v>
      </c>
      <c r="E15" s="16" t="s">
        <v>23</v>
      </c>
      <c r="F15" s="17">
        <v>0</v>
      </c>
      <c r="G15" s="17"/>
      <c r="H15" s="17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53</v>
      </c>
      <c r="C16" s="14" t="s">
        <v>54</v>
      </c>
      <c r="D16" s="15" t="s">
        <v>23</v>
      </c>
      <c r="E16" s="16" t="s">
        <v>23</v>
      </c>
      <c r="F16" s="17">
        <v>0</v>
      </c>
      <c r="G16" s="18"/>
      <c r="H16" s="18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55</v>
      </c>
      <c r="C17" s="14" t="s">
        <v>56</v>
      </c>
      <c r="D17" s="15" t="s">
        <v>23</v>
      </c>
      <c r="E17" s="16" t="s">
        <v>23</v>
      </c>
      <c r="F17" s="17">
        <v>0</v>
      </c>
      <c r="G17" s="17"/>
      <c r="H17" s="17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57</v>
      </c>
      <c r="C18" s="14" t="s">
        <v>58</v>
      </c>
      <c r="D18" s="15" t="s">
        <v>23</v>
      </c>
      <c r="E18" s="16" t="s">
        <v>23</v>
      </c>
      <c r="F18" s="17">
        <v>0</v>
      </c>
      <c r="G18" s="18"/>
      <c r="H18" s="18"/>
      <c r="I18" s="19" t="e">
        <f t="shared" si="0"/>
        <v>#DIV/0!</v>
      </c>
    </row>
    <row r="19" spans="1:9" ht="15.6" customHeight="1" x14ac:dyDescent="0.25">
      <c r="A19" s="13">
        <v>15</v>
      </c>
      <c r="B19" s="14" t="s">
        <v>59</v>
      </c>
      <c r="C19" s="14" t="s">
        <v>60</v>
      </c>
      <c r="D19" s="15" t="s">
        <v>23</v>
      </c>
      <c r="E19" s="16" t="s">
        <v>23</v>
      </c>
      <c r="F19" s="17">
        <v>0</v>
      </c>
      <c r="G19" s="18"/>
      <c r="H19" s="18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61</v>
      </c>
      <c r="C20" s="14" t="s">
        <v>62</v>
      </c>
      <c r="D20" s="15" t="s">
        <v>23</v>
      </c>
      <c r="E20" s="16" t="s">
        <v>23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63</v>
      </c>
      <c r="C21" s="14" t="s">
        <v>64</v>
      </c>
      <c r="D21" s="15" t="s">
        <v>23</v>
      </c>
      <c r="E21" s="16" t="s">
        <v>23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65</v>
      </c>
      <c r="C22" s="14" t="s">
        <v>66</v>
      </c>
      <c r="D22" s="15" t="s">
        <v>23</v>
      </c>
      <c r="E22" s="16" t="s">
        <v>23</v>
      </c>
      <c r="F22" s="17">
        <v>0</v>
      </c>
      <c r="G22" s="18"/>
      <c r="H22" s="18"/>
      <c r="I22" s="19" t="e">
        <f>H22/F22</f>
        <v>#DIV/0!</v>
      </c>
    </row>
    <row r="23" spans="1:9" ht="16.8" customHeight="1" x14ac:dyDescent="0.25">
      <c r="A23" s="5" t="s">
        <v>67</v>
      </c>
      <c r="B23" s="5"/>
      <c r="C23" s="5"/>
      <c r="D23" s="5" t="s">
        <v>70</v>
      </c>
      <c r="E23" s="5"/>
      <c r="F23" s="21">
        <f>SUM(F5:F22)</f>
        <v>5</v>
      </c>
      <c r="G23" s="22"/>
      <c r="H23" s="21">
        <f>SUM(H5:H22)</f>
        <v>0</v>
      </c>
      <c r="I23" s="23">
        <f>H23/F23</f>
        <v>0</v>
      </c>
    </row>
  </sheetData>
  <mergeCells count="26">
    <mergeCell ref="D21:E21"/>
    <mergeCell ref="D22:E22"/>
    <mergeCell ref="A23:C23"/>
    <mergeCell ref="D23:E23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Inv__Ujitjes_Permet</vt:lpstr>
      <vt:lpstr>Rezervuar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2026-10-06T12:25:39Z</dcterms:created>
  <dcterms:modified xsi:type="dcterms:W3CDTF">2026-10-06T12:28:15Z</dcterms:modified>
</cp:coreProperties>
</file>