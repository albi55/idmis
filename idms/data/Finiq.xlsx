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7027FB32-79CC-4623-A23C-F759D8FFC549}" xr6:coauthVersionLast="47" xr6:coauthVersionMax="47" xr10:uidLastSave="{00000000-0000-0000-0000-000000000000}"/>
  <bookViews>
    <workbookView xWindow="-28920" yWindow="-1470" windowWidth="29040" windowHeight="15720" activeTab="1" xr2:uid="{C70DA898-0B65-44C8-9810-BA475035630C}"/>
  </bookViews>
  <sheets>
    <sheet name="Inv__Ujitjes_Finiq" sheetId="1" r:id="rId1"/>
    <sheet name="Rezervuar" sheetId="2" r:id="rId2"/>
    <sheet name="Stacion Pompimi" sheetId="3" r:id="rId3"/>
    <sheet name="Lume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" i="4" l="1"/>
  <c r="F10" i="4"/>
  <c r="I9" i="4"/>
  <c r="I8" i="4"/>
  <c r="I7" i="4"/>
  <c r="I6" i="4"/>
  <c r="I5" i="4"/>
  <c r="H9" i="3"/>
  <c r="F9" i="3"/>
  <c r="I8" i="3"/>
  <c r="I7" i="3"/>
  <c r="I6" i="3"/>
  <c r="I5" i="3"/>
  <c r="H13" i="2"/>
  <c r="F13" i="2"/>
  <c r="I12" i="2"/>
  <c r="I11" i="2"/>
  <c r="I10" i="2"/>
  <c r="I9" i="2"/>
  <c r="I8" i="2"/>
  <c r="I7" i="2"/>
  <c r="I6" i="2"/>
  <c r="I5" i="2"/>
  <c r="I22" i="1"/>
  <c r="H22" i="1"/>
  <c r="F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10" i="4" l="1"/>
  <c r="I9" i="3"/>
  <c r="I13" i="2"/>
</calcChain>
</file>

<file path=xl/sharedStrings.xml><?xml version="1.0" encoding="utf-8"?>
<sst xmlns="http://schemas.openxmlformats.org/spreadsheetml/2006/main" count="188" uniqueCount="57">
  <si>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</si>
  <si>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</si>
  <si>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</si>
  <si>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</si>
  <si>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</si>
  <si>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</si>
  <si>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</si>
  <si>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</si>
  <si>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</si>
  <si>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</si>
  <si>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</si>
  <si>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SRU - 3</t>
  </si>
  <si>
    <t>Burimet Merko, Pandalejmon</t>
  </si>
  <si>
    <t>Burimet e Merkos + Rez.Pandalejmon</t>
  </si>
  <si>
    <t>SRU - 6</t>
  </si>
  <si>
    <t>Partizan &amp; Burim Reservoir</t>
  </si>
  <si>
    <t xml:space="preserve">Rezervuar  </t>
  </si>
  <si>
    <t>SRU - 7</t>
  </si>
  <si>
    <t>Naravice Reservoir</t>
  </si>
  <si>
    <t>SRU - 8</t>
  </si>
  <si>
    <t>Sulle Reservoir</t>
  </si>
  <si>
    <t>SRU - 9</t>
  </si>
  <si>
    <t>Grava Reservoir 1</t>
  </si>
  <si>
    <t>SRU - 10</t>
  </si>
  <si>
    <t>Grava Reservoir 2</t>
  </si>
  <si>
    <t>SRU - 11</t>
  </si>
  <si>
    <t>Dhivri Reservoir</t>
  </si>
  <si>
    <t>SRU - 13</t>
  </si>
  <si>
    <t>Karroq Reservoir</t>
  </si>
  <si>
    <t>SRU - 17</t>
  </si>
  <si>
    <t>Vagalat stacion pompimi</t>
  </si>
  <si>
    <t>Stp</t>
  </si>
  <si>
    <t>SRU - 19</t>
  </si>
  <si>
    <t>Pavell</t>
  </si>
  <si>
    <t>Lum (V.M.+Kuj.Vilajet+Velimuz)</t>
  </si>
  <si>
    <t>SRU - 20</t>
  </si>
  <si>
    <t>Lum (V.M+K.Ujites Makrigjen)</t>
  </si>
  <si>
    <t>DLU - 4</t>
  </si>
  <si>
    <t>LumeU.B. - 4</t>
  </si>
  <si>
    <t>Lume ( Bistrice )</t>
  </si>
  <si>
    <t>DLU - 3</t>
  </si>
  <si>
    <t>LumeU.B. - 3</t>
  </si>
  <si>
    <t>DLU - 6</t>
  </si>
  <si>
    <t>Blerimas stacion pompimi</t>
  </si>
  <si>
    <t>Lume ( Kalase )</t>
  </si>
  <si>
    <t>DLU - 7</t>
  </si>
  <si>
    <t>Bregas stacion pompimi</t>
  </si>
  <si>
    <t>DLU - 8</t>
  </si>
  <si>
    <t>Krongj stacion pompimi</t>
  </si>
  <si>
    <t>Burimet e Krongjit</t>
  </si>
  <si>
    <t>DLU - 2</t>
  </si>
  <si>
    <t>Lume U. B - 2</t>
  </si>
  <si>
    <t>Total</t>
  </si>
  <si>
    <t>17 Skema</t>
  </si>
  <si>
    <t>8 Skema</t>
  </si>
  <si>
    <t>5 Skema</t>
  </si>
  <si>
    <t>4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</si>
</sst>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2" applyNumberFormat="1" applyFont="1" applyBorder="1"/>
    <xf numFmtId="1" fontId="3" fillId="0" borderId="1" xfId="1" applyNumberFormat="1" applyFont="1" applyBorder="1" applyAlignment="1">
      <alignment horizont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D561A7BD-03F0-4B2D-8D89-EAC28DD1CBD5}"/>
    <cellStyle name="Percent 4" xfId="2" xr:uid="{678B2A98-45B8-4D25-B1C1-08E5566A27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7FF44-941D-4D79-BD8F-789AE285AC44}">
  <dimension ref="A1:I22"/>
  <sheetViews>
    <sheetView zoomScaleNormal="100" workbookViewId="0">
      <selection activeCell="K16" sqref="K16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12.2</v>
      </c>
      <c r="G5" s="18"/>
      <c r="H5" s="18"/>
      <c r="I5" s="19">
        <f t="shared" ref="I5:I22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16</v>
      </c>
      <c r="E6" s="16" t="s">
        <v>16</v>
      </c>
      <c r="F6" s="17">
        <v>4.3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17</v>
      </c>
      <c r="C7" s="14" t="s">
        <v>18</v>
      </c>
      <c r="D7" s="15" t="s">
        <v>16</v>
      </c>
      <c r="E7" s="16" t="s">
        <v>16</v>
      </c>
      <c r="F7" s="17">
        <v>3</v>
      </c>
      <c r="G7" s="17"/>
      <c r="H7" s="17"/>
      <c r="I7" s="19">
        <f t="shared" si="0"/>
        <v>0</v>
      </c>
    </row>
    <row r="8" spans="1:9" ht="15.6" customHeight="1" x14ac:dyDescent="0.25">
      <c r="A8" s="13">
        <v>4</v>
      </c>
      <c r="B8" s="14" t="s">
        <v>19</v>
      </c>
      <c r="C8" s="14" t="s">
        <v>20</v>
      </c>
      <c r="D8" s="15" t="s">
        <v>16</v>
      </c>
      <c r="E8" s="16" t="s">
        <v>16</v>
      </c>
      <c r="F8" s="17">
        <v>3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21</v>
      </c>
      <c r="C9" s="14" t="s">
        <v>22</v>
      </c>
      <c r="D9" s="15" t="s">
        <v>16</v>
      </c>
      <c r="E9" s="16" t="s">
        <v>16</v>
      </c>
      <c r="F9" s="17">
        <v>1.5</v>
      </c>
      <c r="G9" s="18"/>
      <c r="H9" s="18"/>
      <c r="I9" s="19">
        <f t="shared" si="0"/>
        <v>0</v>
      </c>
    </row>
    <row r="10" spans="1:9" ht="15.6" customHeight="1" x14ac:dyDescent="0.25">
      <c r="A10" s="13">
        <v>6</v>
      </c>
      <c r="B10" s="14" t="s">
        <v>23</v>
      </c>
      <c r="C10" s="14" t="s">
        <v>24</v>
      </c>
      <c r="D10" s="15" t="s">
        <v>16</v>
      </c>
      <c r="E10" s="16" t="s">
        <v>16</v>
      </c>
      <c r="F10" s="17">
        <v>1.3</v>
      </c>
      <c r="G10" s="17"/>
      <c r="H10" s="17"/>
      <c r="I10" s="19">
        <f t="shared" si="0"/>
        <v>0</v>
      </c>
    </row>
    <row r="11" spans="1:9" ht="15.6" customHeight="1" x14ac:dyDescent="0.25">
      <c r="A11" s="13">
        <v>7</v>
      </c>
      <c r="B11" s="14" t="s">
        <v>25</v>
      </c>
      <c r="C11" s="14" t="s">
        <v>26</v>
      </c>
      <c r="D11" s="15" t="s">
        <v>16</v>
      </c>
      <c r="E11" s="16" t="s">
        <v>16</v>
      </c>
      <c r="F11" s="17">
        <v>2.67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27</v>
      </c>
      <c r="C12" s="14" t="s">
        <v>28</v>
      </c>
      <c r="D12" s="15" t="s">
        <v>16</v>
      </c>
      <c r="E12" s="16" t="s">
        <v>16</v>
      </c>
      <c r="F12" s="17">
        <v>4.5</v>
      </c>
      <c r="G12" s="18"/>
      <c r="H12" s="18"/>
      <c r="I12" s="19">
        <f t="shared" si="0"/>
        <v>0</v>
      </c>
    </row>
    <row r="13" spans="1:9" ht="15.6" customHeight="1" x14ac:dyDescent="0.25">
      <c r="A13" s="13">
        <v>9</v>
      </c>
      <c r="B13" s="14" t="s">
        <v>29</v>
      </c>
      <c r="C13" s="14" t="s">
        <v>30</v>
      </c>
      <c r="D13" s="15" t="s">
        <v>31</v>
      </c>
      <c r="E13" s="16" t="s">
        <v>31</v>
      </c>
      <c r="F13" s="17">
        <v>2</v>
      </c>
      <c r="G13" s="17"/>
      <c r="H13" s="17"/>
      <c r="I13" s="19">
        <f t="shared" si="0"/>
        <v>0</v>
      </c>
    </row>
    <row r="14" spans="1:9" ht="15.6" customHeight="1" x14ac:dyDescent="0.25">
      <c r="A14" s="13">
        <v>10</v>
      </c>
      <c r="B14" s="14" t="s">
        <v>32</v>
      </c>
      <c r="C14" s="14" t="s">
        <v>33</v>
      </c>
      <c r="D14" s="15" t="s">
        <v>34</v>
      </c>
      <c r="E14" s="16" t="s">
        <v>34</v>
      </c>
      <c r="F14" s="17">
        <v>1</v>
      </c>
      <c r="G14" s="18"/>
      <c r="H14" s="18"/>
      <c r="I14" s="19">
        <f t="shared" si="0"/>
        <v>0</v>
      </c>
    </row>
    <row r="15" spans="1:9" ht="15.6" customHeight="1" x14ac:dyDescent="0.25">
      <c r="A15" s="13">
        <v>11</v>
      </c>
      <c r="B15" s="14" t="s">
        <v>35</v>
      </c>
      <c r="C15" s="14" t="s">
        <v>33</v>
      </c>
      <c r="D15" s="15" t="s">
        <v>36</v>
      </c>
      <c r="E15" s="16" t="s">
        <v>36</v>
      </c>
      <c r="F15" s="17">
        <v>1</v>
      </c>
      <c r="G15" s="18"/>
      <c r="H15" s="18"/>
      <c r="I15" s="19">
        <f t="shared" si="0"/>
        <v>0</v>
      </c>
    </row>
    <row r="16" spans="1:9" ht="15.6" customHeight="1" x14ac:dyDescent="0.25">
      <c r="A16" s="13">
        <v>12</v>
      </c>
      <c r="B16" s="14" t="s">
        <v>37</v>
      </c>
      <c r="C16" s="14" t="s">
        <v>38</v>
      </c>
      <c r="D16" s="15" t="s">
        <v>39</v>
      </c>
      <c r="E16" s="16" t="s">
        <v>39</v>
      </c>
      <c r="F16" s="17">
        <v>9.8000000000000007</v>
      </c>
      <c r="G16" s="17"/>
      <c r="H16" s="17"/>
      <c r="I16" s="19">
        <f t="shared" si="0"/>
        <v>0</v>
      </c>
    </row>
    <row r="17" spans="1:9" ht="15.6" customHeight="1" x14ac:dyDescent="0.25">
      <c r="A17" s="13">
        <v>13</v>
      </c>
      <c r="B17" s="14" t="s">
        <v>40</v>
      </c>
      <c r="C17" s="14" t="s">
        <v>41</v>
      </c>
      <c r="D17" s="15" t="s">
        <v>39</v>
      </c>
      <c r="E17" s="16" t="s">
        <v>39</v>
      </c>
      <c r="F17" s="17">
        <v>24.8</v>
      </c>
      <c r="G17" s="18"/>
      <c r="H17" s="18"/>
      <c r="I17" s="19">
        <f t="shared" si="0"/>
        <v>0</v>
      </c>
    </row>
    <row r="18" spans="1:9" ht="15.6" customHeight="1" x14ac:dyDescent="0.25">
      <c r="A18" s="13">
        <v>14</v>
      </c>
      <c r="B18" s="14" t="s">
        <v>42</v>
      </c>
      <c r="C18" s="14" t="s">
        <v>43</v>
      </c>
      <c r="D18" s="15" t="s">
        <v>44</v>
      </c>
      <c r="E18" s="16" t="s">
        <v>44</v>
      </c>
      <c r="F18" s="17">
        <v>0</v>
      </c>
      <c r="G18" s="18"/>
      <c r="H18" s="18"/>
      <c r="I18" s="19" t="e">
        <f t="shared" si="0"/>
        <v>#DIV/0!</v>
      </c>
    </row>
    <row r="19" spans="1:9" ht="15.6" customHeight="1" x14ac:dyDescent="0.25">
      <c r="A19" s="13">
        <v>15</v>
      </c>
      <c r="B19" s="14" t="s">
        <v>45</v>
      </c>
      <c r="C19" s="14" t="s">
        <v>46</v>
      </c>
      <c r="D19" s="15" t="s">
        <v>44</v>
      </c>
      <c r="E19" s="16" t="s">
        <v>44</v>
      </c>
      <c r="F19" s="17">
        <v>3.4</v>
      </c>
      <c r="G19" s="17"/>
      <c r="H19" s="17"/>
      <c r="I19" s="19">
        <f t="shared" si="0"/>
        <v>0</v>
      </c>
    </row>
    <row r="20" spans="1:9" ht="15.6" customHeight="1" x14ac:dyDescent="0.25">
      <c r="A20" s="13">
        <v>16</v>
      </c>
      <c r="B20" s="14" t="s">
        <v>47</v>
      </c>
      <c r="C20" s="14" t="s">
        <v>48</v>
      </c>
      <c r="D20" s="15" t="s">
        <v>49</v>
      </c>
      <c r="E20" s="16" t="s">
        <v>49</v>
      </c>
      <c r="F20" s="17">
        <v>1</v>
      </c>
      <c r="G20" s="18"/>
      <c r="H20" s="18"/>
      <c r="I20" s="19">
        <f t="shared" si="0"/>
        <v>0</v>
      </c>
    </row>
    <row r="21" spans="1:9" ht="15.6" customHeight="1" x14ac:dyDescent="0.25">
      <c r="A21" s="13">
        <v>17</v>
      </c>
      <c r="B21" s="14" t="s">
        <v>50</v>
      </c>
      <c r="C21" s="14" t="s">
        <v>51</v>
      </c>
      <c r="D21" s="15" t="s">
        <v>39</v>
      </c>
      <c r="E21" s="16" t="s">
        <v>39</v>
      </c>
      <c r="F21" s="20">
        <v>96.4</v>
      </c>
      <c r="G21" s="18"/>
      <c r="H21" s="18"/>
      <c r="I21" s="19">
        <f t="shared" si="0"/>
        <v>0</v>
      </c>
    </row>
    <row r="22" spans="1:9" ht="16.8" customHeight="1" x14ac:dyDescent="0.25">
      <c r="A22" s="5" t="s">
        <v>52</v>
      </c>
      <c r="B22" s="5"/>
      <c r="C22" s="5"/>
      <c r="D22" s="5" t="s">
        <v>53</v>
      </c>
      <c r="E22" s="5"/>
      <c r="F22" s="21">
        <f>SUM(F5:F21)</f>
        <v>171.87</v>
      </c>
      <c r="G22" s="22"/>
      <c r="H22" s="21">
        <f>SUM(H5:H21)</f>
        <v>0</v>
      </c>
      <c r="I22" s="23">
        <f t="shared" si="0"/>
        <v>0</v>
      </c>
    </row>
  </sheetData>
  <mergeCells count="25">
    <mergeCell ref="D17:E17"/>
    <mergeCell ref="D18:E18"/>
    <mergeCell ref="D19:E19"/>
    <mergeCell ref="D20:E20"/>
    <mergeCell ref="D21:E21"/>
    <mergeCell ref="A22:C22"/>
    <mergeCell ref="D22:E22"/>
    <mergeCell ref="D11:E11"/>
    <mergeCell ref="D12:E12"/>
    <mergeCell ref="D13:E13"/>
    <mergeCell ref="D14:E14"/>
    <mergeCell ref="D15:E15"/>
    <mergeCell ref="D16:E16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DE58E-1CEA-4DAE-BA34-6EFD693CFC31}">
  <dimension ref="A1:I13"/>
  <sheetViews>
    <sheetView tabSelected="1" zoomScaleNormal="100" workbookViewId="0">
      <selection activeCell="D24" sqref="D24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12.2</v>
      </c>
      <c r="G5" s="18"/>
      <c r="H5" s="18"/>
      <c r="I5" s="19">
        <f t="shared" ref="I5:I13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16</v>
      </c>
      <c r="E6" s="16" t="s">
        <v>16</v>
      </c>
      <c r="F6" s="17">
        <v>4.3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17</v>
      </c>
      <c r="C7" s="14" t="s">
        <v>18</v>
      </c>
      <c r="D7" s="15" t="s">
        <v>16</v>
      </c>
      <c r="E7" s="16" t="s">
        <v>16</v>
      </c>
      <c r="F7" s="17">
        <v>3</v>
      </c>
      <c r="G7" s="17"/>
      <c r="H7" s="17"/>
      <c r="I7" s="19">
        <f t="shared" si="0"/>
        <v>0</v>
      </c>
    </row>
    <row r="8" spans="1:9" ht="15.6" customHeight="1" x14ac:dyDescent="0.25">
      <c r="A8" s="13">
        <v>4</v>
      </c>
      <c r="B8" s="14" t="s">
        <v>19</v>
      </c>
      <c r="C8" s="14" t="s">
        <v>20</v>
      </c>
      <c r="D8" s="15" t="s">
        <v>16</v>
      </c>
      <c r="E8" s="16" t="s">
        <v>16</v>
      </c>
      <c r="F8" s="17">
        <v>3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21</v>
      </c>
      <c r="C9" s="14" t="s">
        <v>22</v>
      </c>
      <c r="D9" s="15" t="s">
        <v>16</v>
      </c>
      <c r="E9" s="16" t="s">
        <v>16</v>
      </c>
      <c r="F9" s="17">
        <v>1.5</v>
      </c>
      <c r="G9" s="18"/>
      <c r="H9" s="18"/>
      <c r="I9" s="19">
        <f t="shared" si="0"/>
        <v>0</v>
      </c>
    </row>
    <row r="10" spans="1:9" ht="15.6" customHeight="1" x14ac:dyDescent="0.25">
      <c r="A10" s="13">
        <v>6</v>
      </c>
      <c r="B10" s="14" t="s">
        <v>23</v>
      </c>
      <c r="C10" s="14" t="s">
        <v>24</v>
      </c>
      <c r="D10" s="15" t="s">
        <v>16</v>
      </c>
      <c r="E10" s="16" t="s">
        <v>16</v>
      </c>
      <c r="F10" s="17">
        <v>1.3</v>
      </c>
      <c r="G10" s="17"/>
      <c r="H10" s="17"/>
      <c r="I10" s="19">
        <f t="shared" si="0"/>
        <v>0</v>
      </c>
    </row>
    <row r="11" spans="1:9" ht="15.6" customHeight="1" x14ac:dyDescent="0.25">
      <c r="A11" s="13">
        <v>7</v>
      </c>
      <c r="B11" s="14" t="s">
        <v>25</v>
      </c>
      <c r="C11" s="14" t="s">
        <v>26</v>
      </c>
      <c r="D11" s="15" t="s">
        <v>16</v>
      </c>
      <c r="E11" s="16" t="s">
        <v>16</v>
      </c>
      <c r="F11" s="17">
        <v>2.67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27</v>
      </c>
      <c r="C12" s="14" t="s">
        <v>28</v>
      </c>
      <c r="D12" s="15" t="s">
        <v>16</v>
      </c>
      <c r="E12" s="16" t="s">
        <v>16</v>
      </c>
      <c r="F12" s="17">
        <v>4.5</v>
      </c>
      <c r="G12" s="18"/>
      <c r="H12" s="18"/>
      <c r="I12" s="19">
        <f t="shared" si="0"/>
        <v>0</v>
      </c>
    </row>
    <row r="13" spans="1:9" ht="16.8" customHeight="1" x14ac:dyDescent="0.25">
      <c r="A13" s="5" t="s">
        <v>52</v>
      </c>
      <c r="B13" s="5"/>
      <c r="C13" s="5"/>
      <c r="D13" s="5" t="s">
        <v>54</v>
      </c>
      <c r="E13" s="5"/>
      <c r="F13" s="21">
        <f>SUM(F5:F12)</f>
        <v>32.47</v>
      </c>
      <c r="G13" s="22"/>
      <c r="H13" s="21">
        <f>SUM(H5:H12)</f>
        <v>0</v>
      </c>
      <c r="I13" s="23">
        <f t="shared" si="0"/>
        <v>0</v>
      </c>
    </row>
  </sheetData>
  <mergeCells count="16">
    <mergeCell ref="A13:C13"/>
    <mergeCell ref="D13:E13"/>
    <mergeCell ref="D11:E11"/>
    <mergeCell ref="D12:E12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2B411-6DF7-4789-B5F3-7205242FA807}">
  <dimension ref="A1:I9"/>
  <sheetViews>
    <sheetView zoomScaleNormal="100" workbookViewId="0">
      <selection activeCell="D10" sqref="D10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29</v>
      </c>
      <c r="C5" s="14" t="s">
        <v>30</v>
      </c>
      <c r="D5" s="15" t="s">
        <v>31</v>
      </c>
      <c r="E5" s="16" t="s">
        <v>31</v>
      </c>
      <c r="F5" s="17">
        <v>2</v>
      </c>
      <c r="G5" s="17"/>
      <c r="H5" s="17"/>
      <c r="I5" s="19">
        <f t="shared" ref="I5:I9" si="0">H5/F5</f>
        <v>0</v>
      </c>
    </row>
    <row r="6" spans="1:9" ht="15.6" customHeight="1" x14ac:dyDescent="0.25">
      <c r="A6" s="13">
        <v>2</v>
      </c>
      <c r="B6" s="14" t="s">
        <v>42</v>
      </c>
      <c r="C6" s="14" t="s">
        <v>43</v>
      </c>
      <c r="D6" s="15" t="s">
        <v>44</v>
      </c>
      <c r="E6" s="16" t="s">
        <v>44</v>
      </c>
      <c r="F6" s="17">
        <v>0</v>
      </c>
      <c r="G6" s="18"/>
      <c r="H6" s="18"/>
      <c r="I6" s="19" t="e">
        <f t="shared" si="0"/>
        <v>#DIV/0!</v>
      </c>
    </row>
    <row r="7" spans="1:9" ht="15.6" customHeight="1" x14ac:dyDescent="0.25">
      <c r="A7" s="13">
        <v>3</v>
      </c>
      <c r="B7" s="14" t="s">
        <v>45</v>
      </c>
      <c r="C7" s="14" t="s">
        <v>46</v>
      </c>
      <c r="D7" s="15" t="s">
        <v>44</v>
      </c>
      <c r="E7" s="16" t="s">
        <v>44</v>
      </c>
      <c r="F7" s="17">
        <v>3.4</v>
      </c>
      <c r="G7" s="17"/>
      <c r="H7" s="17"/>
      <c r="I7" s="19">
        <f t="shared" si="0"/>
        <v>0</v>
      </c>
    </row>
    <row r="8" spans="1:9" ht="15.6" customHeight="1" x14ac:dyDescent="0.25">
      <c r="A8" s="13">
        <v>4</v>
      </c>
      <c r="B8" s="14" t="s">
        <v>47</v>
      </c>
      <c r="C8" s="14" t="s">
        <v>48</v>
      </c>
      <c r="D8" s="15" t="s">
        <v>49</v>
      </c>
      <c r="E8" s="16" t="s">
        <v>49</v>
      </c>
      <c r="F8" s="17">
        <v>1</v>
      </c>
      <c r="G8" s="18"/>
      <c r="H8" s="18"/>
      <c r="I8" s="19">
        <f t="shared" si="0"/>
        <v>0</v>
      </c>
    </row>
    <row r="9" spans="1:9" ht="16.8" customHeight="1" x14ac:dyDescent="0.25">
      <c r="A9" s="5" t="s">
        <v>52</v>
      </c>
      <c r="B9" s="5"/>
      <c r="C9" s="5"/>
      <c r="D9" s="5" t="s">
        <v>56</v>
      </c>
      <c r="E9" s="5"/>
      <c r="F9" s="21">
        <f>SUM(F5:F8)</f>
        <v>6.4</v>
      </c>
      <c r="G9" s="22"/>
      <c r="H9" s="21">
        <f>SUM(H5:H8)</f>
        <v>0</v>
      </c>
      <c r="I9" s="23">
        <f t="shared" si="0"/>
        <v>0</v>
      </c>
    </row>
  </sheetData>
  <mergeCells count="12">
    <mergeCell ref="D6:E6"/>
    <mergeCell ref="D7:E7"/>
    <mergeCell ref="D8:E8"/>
    <mergeCell ref="A9:C9"/>
    <mergeCell ref="D9:E9"/>
    <mergeCell ref="D5:E5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A8534-E529-40F3-9E39-E28FF43E8F44}">
  <dimension ref="A1:I10"/>
  <sheetViews>
    <sheetView zoomScaleNormal="100" workbookViewId="0">
      <selection activeCell="D11" sqref="D11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32</v>
      </c>
      <c r="C5" s="14" t="s">
        <v>33</v>
      </c>
      <c r="D5" s="15" t="s">
        <v>34</v>
      </c>
      <c r="E5" s="16" t="s">
        <v>34</v>
      </c>
      <c r="F5" s="17">
        <v>1</v>
      </c>
      <c r="G5" s="18"/>
      <c r="H5" s="18"/>
      <c r="I5" s="19">
        <f t="shared" ref="I5:I10" si="0">H5/F5</f>
        <v>0</v>
      </c>
    </row>
    <row r="6" spans="1:9" ht="15.6" customHeight="1" x14ac:dyDescent="0.25">
      <c r="A6" s="13">
        <v>2</v>
      </c>
      <c r="B6" s="14" t="s">
        <v>35</v>
      </c>
      <c r="C6" s="14" t="s">
        <v>33</v>
      </c>
      <c r="D6" s="15" t="s">
        <v>36</v>
      </c>
      <c r="E6" s="16" t="s">
        <v>36</v>
      </c>
      <c r="F6" s="17">
        <v>1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37</v>
      </c>
      <c r="C7" s="14" t="s">
        <v>38</v>
      </c>
      <c r="D7" s="15" t="s">
        <v>39</v>
      </c>
      <c r="E7" s="16" t="s">
        <v>39</v>
      </c>
      <c r="F7" s="17">
        <v>9.8000000000000007</v>
      </c>
      <c r="G7" s="17"/>
      <c r="H7" s="17"/>
      <c r="I7" s="19">
        <f t="shared" si="0"/>
        <v>0</v>
      </c>
    </row>
    <row r="8" spans="1:9" ht="15.6" customHeight="1" x14ac:dyDescent="0.25">
      <c r="A8" s="13">
        <v>4</v>
      </c>
      <c r="B8" s="14" t="s">
        <v>40</v>
      </c>
      <c r="C8" s="14" t="s">
        <v>41</v>
      </c>
      <c r="D8" s="15" t="s">
        <v>39</v>
      </c>
      <c r="E8" s="16" t="s">
        <v>39</v>
      </c>
      <c r="F8" s="17">
        <v>24.8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50</v>
      </c>
      <c r="C9" s="14" t="s">
        <v>51</v>
      </c>
      <c r="D9" s="15" t="s">
        <v>39</v>
      </c>
      <c r="E9" s="16" t="s">
        <v>39</v>
      </c>
      <c r="F9" s="20">
        <v>96.4</v>
      </c>
      <c r="G9" s="18"/>
      <c r="H9" s="18"/>
      <c r="I9" s="19">
        <f t="shared" si="0"/>
        <v>0</v>
      </c>
    </row>
    <row r="10" spans="1:9" ht="16.8" customHeight="1" x14ac:dyDescent="0.25">
      <c r="A10" s="5" t="s">
        <v>52</v>
      </c>
      <c r="B10" s="5"/>
      <c r="C10" s="5"/>
      <c r="D10" s="5" t="s">
        <v>55</v>
      </c>
      <c r="E10" s="5"/>
      <c r="F10" s="21">
        <f>SUM(F5:F9)</f>
        <v>133</v>
      </c>
      <c r="G10" s="22"/>
      <c r="H10" s="21">
        <f>SUM(H5:H9)</f>
        <v>0</v>
      </c>
      <c r="I10" s="23">
        <f t="shared" si="0"/>
        <v>0</v>
      </c>
    </row>
  </sheetData>
  <mergeCells count="13">
    <mergeCell ref="D8:E8"/>
    <mergeCell ref="D9:E9"/>
    <mergeCell ref="A10:C10"/>
    <mergeCell ref="D10:E10"/>
    <mergeCell ref="D5:E5"/>
    <mergeCell ref="D6:E6"/>
    <mergeCell ref="D7:E7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Inv__Ujitjes_Finiq</vt:lpstr>
      <vt:lpstr>Rezervuar</vt:lpstr>
      <vt:lpstr>Stacion Pompimi</vt:lpstr>
      <vt:lpstr>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2026-10-07T12:07:55Z</dcterms:created>
  <dcterms:modified xsi:type="dcterms:W3CDTF">2026-10-07T12:09:53Z</dcterms:modified>
</cp:coreProperties>
</file>