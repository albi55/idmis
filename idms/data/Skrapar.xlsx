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Inventari i ujitjes per cdo bashki\"/>
    </mc:Choice>
  </mc:AlternateContent>
  <xr:revisionPtr revIDLastSave="0" documentId="13_ncr:1_{844C7E93-8812-4B3F-94F7-CE1BC2033CBD}" xr6:coauthVersionLast="47" xr6:coauthVersionMax="47" xr10:uidLastSave="{00000000-0000-0000-0000-000000000000}"/>
  <bookViews>
    <workbookView xWindow="-28920" yWindow="-1470" windowWidth="29040" windowHeight="15720" xr2:uid="{844DE723-8320-4F32-B7DD-5081127879D8}"/>
  </bookViews>
  <sheets>
    <sheet name="Inv__Ujitjes_ Skrapar" sheetId="1" r:id="rId1"/>
    <sheet name="Rezervuar" sheetId="2" r:id="rId2"/>
    <sheet name="Stacion Pompimi" sheetId="3" r:id="rId3"/>
    <sheet name="Lume &amp; Kanal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3" l="1"/>
  <c r="H11" i="4"/>
  <c r="F11" i="4"/>
  <c r="I10" i="4"/>
  <c r="I9" i="4"/>
  <c r="I8" i="4"/>
  <c r="I7" i="4"/>
  <c r="I6" i="4"/>
  <c r="I5" i="4"/>
  <c r="H22" i="3"/>
  <c r="F22" i="3"/>
  <c r="I21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30" i="2"/>
  <c r="F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11" i="4" l="1"/>
  <c r="I22" i="3"/>
  <c r="I30" i="2"/>
  <c r="H53" i="1"/>
  <c r="I53" i="1" s="1"/>
  <c r="F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<sst xmlns="http://schemas.openxmlformats.org/spreadsheetml/2006/main" count="436" uniqueCount="159">
  <si>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</si>
  <si>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</si>
  <si>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</si>
  <si>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</si>
  <si>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</si>
  <si>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</si>
  <si>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</si>
  <si>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</si>
  <si>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</si>
  <si>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</si>
  <si>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</si>
  <si>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BRU - 49</t>
  </si>
  <si>
    <t>Panarit stacion pompimi</t>
  </si>
  <si>
    <t xml:space="preserve">Lume </t>
  </si>
  <si>
    <t>Panarit</t>
  </si>
  <si>
    <t>SKU - 48</t>
  </si>
  <si>
    <t>Gjerbez</t>
  </si>
  <si>
    <t xml:space="preserve">Burimet </t>
  </si>
  <si>
    <t>Ujanik</t>
  </si>
  <si>
    <t>SKU - 5</t>
  </si>
  <si>
    <t>Vendreshe reservoir</t>
  </si>
  <si>
    <t>Rezervuar</t>
  </si>
  <si>
    <t>Zaloshnje</t>
  </si>
  <si>
    <t>SKU - 49</t>
  </si>
  <si>
    <t>SKU - 7</t>
  </si>
  <si>
    <t>Mollas reservoir</t>
  </si>
  <si>
    <t>Mollas</t>
  </si>
  <si>
    <t>SKU - 3</t>
  </si>
  <si>
    <t>Liqedh reservoir</t>
  </si>
  <si>
    <t>Liqedh</t>
  </si>
  <si>
    <t>SKU - 23</t>
  </si>
  <si>
    <t>Koprencke reservoir 1</t>
  </si>
  <si>
    <t>Koprencke</t>
  </si>
  <si>
    <t>SKU - 9</t>
  </si>
  <si>
    <t>Kuc reservoir</t>
  </si>
  <si>
    <t>Kuc</t>
  </si>
  <si>
    <t>SKU - 2</t>
  </si>
  <si>
    <t>Rogut reservoir</t>
  </si>
  <si>
    <t>Rogut</t>
  </si>
  <si>
    <t>SKU - 11</t>
  </si>
  <si>
    <t>Staravecke reservoir</t>
  </si>
  <si>
    <t>Staravecke</t>
  </si>
  <si>
    <t>SKU - 13</t>
  </si>
  <si>
    <t>Sevrani reservoir</t>
  </si>
  <si>
    <t>Sevrani</t>
  </si>
  <si>
    <t>SKU - 22</t>
  </si>
  <si>
    <t>Potom reservoir</t>
  </si>
  <si>
    <t>Potam</t>
  </si>
  <si>
    <t>SKU - 12</t>
  </si>
  <si>
    <t>Nishice reservoir</t>
  </si>
  <si>
    <t>Nishice</t>
  </si>
  <si>
    <t>SKU - 24</t>
  </si>
  <si>
    <t>Koprencke reservoir 2</t>
  </si>
  <si>
    <t>SKU - 6</t>
  </si>
  <si>
    <t>Therepel reservoir</t>
  </si>
  <si>
    <t>Therepel</t>
  </si>
  <si>
    <t>SKU - 4</t>
  </si>
  <si>
    <t>Muzhnecke reservoir</t>
  </si>
  <si>
    <t>Muzhnecke</t>
  </si>
  <si>
    <t>SKU - 10</t>
  </si>
  <si>
    <t>Qafe Shelg reservoir</t>
  </si>
  <si>
    <t>Qafe Shelg</t>
  </si>
  <si>
    <t>SKU - 1</t>
  </si>
  <si>
    <t>Prishte reservoir</t>
  </si>
  <si>
    <t>Prishte</t>
  </si>
  <si>
    <t>SKU - 8</t>
  </si>
  <si>
    <t>Zhepe reservoir</t>
  </si>
  <si>
    <t>Zhepe</t>
  </si>
  <si>
    <t>SKU - 14</t>
  </si>
  <si>
    <t>N.B. reservoir 1</t>
  </si>
  <si>
    <t>N.B</t>
  </si>
  <si>
    <t>SKU - 15</t>
  </si>
  <si>
    <t>N.B. reservoir 2</t>
  </si>
  <si>
    <t>SKU - 16</t>
  </si>
  <si>
    <t>Dores reservoir</t>
  </si>
  <si>
    <t>Dores</t>
  </si>
  <si>
    <t>SKU - 17</t>
  </si>
  <si>
    <t>Qeshibec reservoir</t>
  </si>
  <si>
    <t>Qeshibec</t>
  </si>
  <si>
    <t>SKU - 18</t>
  </si>
  <si>
    <t>Strenec reservoir</t>
  </si>
  <si>
    <t>Strenec</t>
  </si>
  <si>
    <t>SKU - 19</t>
  </si>
  <si>
    <t>Malind reservoir</t>
  </si>
  <si>
    <t>Malind</t>
  </si>
  <si>
    <t>SKU - 20</t>
  </si>
  <si>
    <t>Polonice reservoir</t>
  </si>
  <si>
    <t>Polonice</t>
  </si>
  <si>
    <t>SKU - 21</t>
  </si>
  <si>
    <t>Kalanjas reservoir</t>
  </si>
  <si>
    <t>Kalanjas</t>
  </si>
  <si>
    <t>SKU - Qaf</t>
  </si>
  <si>
    <t>Qafa 1</t>
  </si>
  <si>
    <t>Qafa</t>
  </si>
  <si>
    <t>SKU - 26</t>
  </si>
  <si>
    <t>Ustinje stacion pompimi</t>
  </si>
  <si>
    <t>Stp</t>
  </si>
  <si>
    <t>Ustinje</t>
  </si>
  <si>
    <t>SKU - 27</t>
  </si>
  <si>
    <t>Plirez stacion pompimi</t>
  </si>
  <si>
    <t>Plirez</t>
  </si>
  <si>
    <t>SKU - 28</t>
  </si>
  <si>
    <t>Jaupas stacion pompimi</t>
  </si>
  <si>
    <t>Jaupas</t>
  </si>
  <si>
    <t>SKU - 30</t>
  </si>
  <si>
    <t>Kakruke stacion pompimi</t>
  </si>
  <si>
    <t>Kakruke</t>
  </si>
  <si>
    <t>SKU - 31</t>
  </si>
  <si>
    <t>Buzuqe stacion pompimi</t>
  </si>
  <si>
    <t>Buzuqe</t>
  </si>
  <si>
    <t>SKU - 32</t>
  </si>
  <si>
    <t>Strore stacion pompimi</t>
  </si>
  <si>
    <t>Strore</t>
  </si>
  <si>
    <t>SKU - 33</t>
  </si>
  <si>
    <t>Orizaj stacion pompimi</t>
  </si>
  <si>
    <t>Orizaj</t>
  </si>
  <si>
    <t>SKU - 35</t>
  </si>
  <si>
    <t>Malind stacion pompimi</t>
  </si>
  <si>
    <t>SKU - 36</t>
  </si>
  <si>
    <t>Velesh stacion pompimi</t>
  </si>
  <si>
    <t>Velesh</t>
  </si>
  <si>
    <t>SKU - 37</t>
  </si>
  <si>
    <t>Corovode stacion pompimi</t>
  </si>
  <si>
    <t>Corovode</t>
  </si>
  <si>
    <t>SKU - 38</t>
  </si>
  <si>
    <t>Vlushe stacion pompimi</t>
  </si>
  <si>
    <t>Velushe</t>
  </si>
  <si>
    <t>SKU - 39</t>
  </si>
  <si>
    <t>Dobrenj stacion pompimi</t>
  </si>
  <si>
    <t>Tomorice</t>
  </si>
  <si>
    <t>SKU - 40</t>
  </si>
  <si>
    <t>Gjuhe stacion pompimi</t>
  </si>
  <si>
    <t>SKU - 41</t>
  </si>
  <si>
    <t>Bigas stacion pompimi</t>
  </si>
  <si>
    <t>Bigas</t>
  </si>
  <si>
    <t>SKU - 42</t>
  </si>
  <si>
    <t>Blezence stacion pompimi</t>
  </si>
  <si>
    <t>Blezence</t>
  </si>
  <si>
    <t>SKU - 43</t>
  </si>
  <si>
    <t>Lapan stacion pompimi</t>
  </si>
  <si>
    <t>Lapan</t>
  </si>
  <si>
    <t>SKU - 44</t>
  </si>
  <si>
    <t>Kapinove kanal</t>
  </si>
  <si>
    <t>Kanal</t>
  </si>
  <si>
    <t>Kapinove</t>
  </si>
  <si>
    <t>SKU - 45</t>
  </si>
  <si>
    <t>Blerime kanal</t>
  </si>
  <si>
    <t>Blerime</t>
  </si>
  <si>
    <t>SKU - 46</t>
  </si>
  <si>
    <t>Gurazez kanal</t>
  </si>
  <si>
    <t>Gurazez</t>
  </si>
  <si>
    <t>SKU - 47</t>
  </si>
  <si>
    <t>Dobrenj kanal</t>
  </si>
  <si>
    <t>Dobrenj</t>
  </si>
  <si>
    <t>Total</t>
  </si>
  <si>
    <t>48 Skema</t>
  </si>
  <si>
    <t>25 Skema</t>
  </si>
  <si>
    <t>6 Skema</t>
  </si>
  <si>
    <t>17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</si>
</sst>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E92AF4F4-A6F2-460D-ACCE-63F164008CD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004A-0942-4BEE-8619-1B1D0F434593}">
  <dimension ref="A1:I53"/>
  <sheetViews>
    <sheetView tabSelected="1" topLeftCell="A4" zoomScaleNormal="100" workbookViewId="0">
      <selection activeCell="D58" sqref="D5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8" t="s">
        <v>13</v>
      </c>
      <c r="E5" s="8" t="s">
        <v>14</v>
      </c>
      <c r="F5" s="9">
        <v>1</v>
      </c>
      <c r="G5" s="10"/>
      <c r="H5" s="10"/>
      <c r="I5" s="11">
        <f>H5/F5</f>
        <v>0</v>
      </c>
    </row>
    <row r="6" spans="1:9" ht="15.6" customHeight="1" x14ac:dyDescent="0.25">
      <c r="A6" s="7">
        <v>2</v>
      </c>
      <c r="B6" s="8" t="s">
        <v>15</v>
      </c>
      <c r="C6" s="8" t="s">
        <v>16</v>
      </c>
      <c r="D6" s="8" t="s">
        <v>17</v>
      </c>
      <c r="E6" s="8" t="s">
        <v>18</v>
      </c>
      <c r="F6" s="9">
        <v>4.5</v>
      </c>
      <c r="G6" s="10"/>
      <c r="H6" s="10"/>
      <c r="I6" s="11">
        <f t="shared" ref="I6:I53" si="0">H6/F6</f>
        <v>0</v>
      </c>
    </row>
    <row r="7" spans="1:9" ht="15.6" customHeight="1" x14ac:dyDescent="0.25">
      <c r="A7" s="7">
        <v>3</v>
      </c>
      <c r="B7" s="8" t="s">
        <v>19</v>
      </c>
      <c r="C7" s="8" t="s">
        <v>20</v>
      </c>
      <c r="D7" s="8" t="s">
        <v>21</v>
      </c>
      <c r="E7" s="8" t="s">
        <v>22</v>
      </c>
      <c r="F7" s="9">
        <v>8.3000000000000007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23</v>
      </c>
      <c r="C8" s="8" t="s">
        <v>22</v>
      </c>
      <c r="D8" s="8" t="s">
        <v>17</v>
      </c>
      <c r="E8" s="8" t="s">
        <v>22</v>
      </c>
      <c r="F8" s="9">
        <v>2.2000000000000002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24</v>
      </c>
      <c r="C9" s="8" t="s">
        <v>25</v>
      </c>
      <c r="D9" s="8" t="s">
        <v>21</v>
      </c>
      <c r="E9" s="8" t="s">
        <v>26</v>
      </c>
      <c r="F9" s="9">
        <v>2.2000000000000002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27</v>
      </c>
      <c r="C10" s="8" t="s">
        <v>28</v>
      </c>
      <c r="D10" s="8" t="s">
        <v>21</v>
      </c>
      <c r="E10" s="8" t="s">
        <v>29</v>
      </c>
      <c r="F10" s="9">
        <v>4.5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30</v>
      </c>
      <c r="C11" s="8" t="s">
        <v>31</v>
      </c>
      <c r="D11" s="8" t="s">
        <v>21</v>
      </c>
      <c r="E11" s="8" t="s">
        <v>32</v>
      </c>
      <c r="F11" s="9">
        <v>1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33</v>
      </c>
      <c r="C12" s="8" t="s">
        <v>34</v>
      </c>
      <c r="D12" s="8" t="s">
        <v>21</v>
      </c>
      <c r="E12" s="8" t="s">
        <v>35</v>
      </c>
      <c r="F12" s="9">
        <v>1.5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36</v>
      </c>
      <c r="C13" s="8" t="s">
        <v>37</v>
      </c>
      <c r="D13" s="8" t="s">
        <v>21</v>
      </c>
      <c r="E13" s="8" t="s">
        <v>38</v>
      </c>
      <c r="F13" s="9">
        <v>2.2999999999999998</v>
      </c>
      <c r="G13" s="9"/>
      <c r="H13" s="9"/>
      <c r="I13" s="11">
        <f t="shared" si="0"/>
        <v>0</v>
      </c>
    </row>
    <row r="14" spans="1:9" ht="15.6" customHeight="1" x14ac:dyDescent="0.25">
      <c r="A14" s="7">
        <v>10</v>
      </c>
      <c r="B14" s="8" t="s">
        <v>39</v>
      </c>
      <c r="C14" s="8" t="s">
        <v>40</v>
      </c>
      <c r="D14" s="8" t="s">
        <v>21</v>
      </c>
      <c r="E14" s="8" t="s">
        <v>41</v>
      </c>
      <c r="F14" s="9">
        <v>1.5</v>
      </c>
      <c r="G14" s="10"/>
      <c r="H14" s="10"/>
      <c r="I14" s="11">
        <f t="shared" si="0"/>
        <v>0</v>
      </c>
    </row>
    <row r="15" spans="1:9" ht="15.6" customHeight="1" x14ac:dyDescent="0.25">
      <c r="A15" s="7">
        <v>11</v>
      </c>
      <c r="B15" s="8" t="s">
        <v>42</v>
      </c>
      <c r="C15" s="8" t="s">
        <v>43</v>
      </c>
      <c r="D15" s="8" t="s">
        <v>21</v>
      </c>
      <c r="E15" s="8" t="s">
        <v>44</v>
      </c>
      <c r="F15" s="9">
        <v>2.2999999999999998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45</v>
      </c>
      <c r="C16" s="8" t="s">
        <v>46</v>
      </c>
      <c r="D16" s="8" t="s">
        <v>21</v>
      </c>
      <c r="E16" s="8" t="s">
        <v>47</v>
      </c>
      <c r="F16" s="9">
        <v>2.2999999999999998</v>
      </c>
      <c r="G16" s="9"/>
      <c r="H16" s="9"/>
      <c r="I16" s="11">
        <f t="shared" si="0"/>
        <v>0</v>
      </c>
    </row>
    <row r="17" spans="1:9" ht="15.6" customHeight="1" x14ac:dyDescent="0.25">
      <c r="A17" s="7">
        <v>13</v>
      </c>
      <c r="B17" s="8" t="s">
        <v>48</v>
      </c>
      <c r="C17" s="8" t="s">
        <v>49</v>
      </c>
      <c r="D17" s="8" t="s">
        <v>21</v>
      </c>
      <c r="E17" s="8" t="s">
        <v>50</v>
      </c>
      <c r="F17" s="9">
        <v>2.4</v>
      </c>
      <c r="G17" s="10"/>
      <c r="H17" s="10"/>
      <c r="I17" s="11">
        <f t="shared" si="0"/>
        <v>0</v>
      </c>
    </row>
    <row r="18" spans="1:9" ht="15.6" customHeight="1" x14ac:dyDescent="0.25">
      <c r="A18" s="7">
        <v>14</v>
      </c>
      <c r="B18" s="8" t="s">
        <v>51</v>
      </c>
      <c r="C18" s="8" t="s">
        <v>52</v>
      </c>
      <c r="D18" s="8" t="s">
        <v>21</v>
      </c>
      <c r="E18" s="2" t="s">
        <v>32</v>
      </c>
      <c r="F18" s="9">
        <v>1</v>
      </c>
      <c r="G18" s="10"/>
      <c r="H18" s="10"/>
      <c r="I18" s="11">
        <f t="shared" si="0"/>
        <v>0</v>
      </c>
    </row>
    <row r="19" spans="1:9" ht="15.6" customHeight="1" x14ac:dyDescent="0.25">
      <c r="A19" s="7">
        <v>15</v>
      </c>
      <c r="B19" s="8" t="s">
        <v>53</v>
      </c>
      <c r="C19" s="8" t="s">
        <v>54</v>
      </c>
      <c r="D19" s="8" t="s">
        <v>21</v>
      </c>
      <c r="E19" s="8" t="s">
        <v>55</v>
      </c>
      <c r="F19" s="9">
        <v>4</v>
      </c>
      <c r="G19" s="9"/>
      <c r="H19" s="9"/>
      <c r="I19" s="11">
        <f t="shared" si="0"/>
        <v>0</v>
      </c>
    </row>
    <row r="20" spans="1:9" ht="15.6" customHeight="1" x14ac:dyDescent="0.25">
      <c r="A20" s="7">
        <v>16</v>
      </c>
      <c r="B20" s="8" t="s">
        <v>56</v>
      </c>
      <c r="C20" s="8" t="s">
        <v>57</v>
      </c>
      <c r="D20" s="8" t="s">
        <v>21</v>
      </c>
      <c r="E20" s="8" t="s">
        <v>58</v>
      </c>
      <c r="F20" s="9">
        <v>2.5</v>
      </c>
      <c r="G20" s="10"/>
      <c r="H20" s="10"/>
      <c r="I20" s="11">
        <f t="shared" si="0"/>
        <v>0</v>
      </c>
    </row>
    <row r="21" spans="1:9" ht="15.6" customHeight="1" x14ac:dyDescent="0.25">
      <c r="A21" s="7">
        <v>17</v>
      </c>
      <c r="B21" s="8" t="s">
        <v>59</v>
      </c>
      <c r="C21" s="8" t="s">
        <v>60</v>
      </c>
      <c r="D21" s="8" t="s">
        <v>21</v>
      </c>
      <c r="E21" s="8" t="s">
        <v>61</v>
      </c>
      <c r="F21" s="9">
        <v>11</v>
      </c>
      <c r="G21" s="10"/>
      <c r="H21" s="10"/>
      <c r="I21" s="11">
        <f t="shared" si="0"/>
        <v>0</v>
      </c>
    </row>
    <row r="22" spans="1:9" ht="15.6" customHeight="1" x14ac:dyDescent="0.25">
      <c r="A22" s="7">
        <v>18</v>
      </c>
      <c r="B22" s="8" t="s">
        <v>62</v>
      </c>
      <c r="C22" s="8" t="s">
        <v>63</v>
      </c>
      <c r="D22" s="8" t="s">
        <v>21</v>
      </c>
      <c r="E22" s="8" t="s">
        <v>64</v>
      </c>
      <c r="F22" s="9">
        <v>11</v>
      </c>
      <c r="G22" s="9"/>
      <c r="H22" s="9"/>
      <c r="I22" s="11">
        <f t="shared" si="0"/>
        <v>0</v>
      </c>
    </row>
    <row r="23" spans="1:9" ht="15.6" customHeight="1" x14ac:dyDescent="0.25">
      <c r="A23" s="7">
        <v>19</v>
      </c>
      <c r="B23" s="8" t="s">
        <v>65</v>
      </c>
      <c r="C23" s="8" t="s">
        <v>66</v>
      </c>
      <c r="D23" s="8" t="s">
        <v>21</v>
      </c>
      <c r="E23" s="8" t="s">
        <v>67</v>
      </c>
      <c r="F23" s="9">
        <v>3.5</v>
      </c>
      <c r="G23" s="10"/>
      <c r="H23" s="10"/>
      <c r="I23" s="11">
        <f t="shared" si="0"/>
        <v>0</v>
      </c>
    </row>
    <row r="24" spans="1:9" ht="15.6" customHeight="1" x14ac:dyDescent="0.25">
      <c r="A24" s="7">
        <v>20</v>
      </c>
      <c r="B24" s="8" t="s">
        <v>68</v>
      </c>
      <c r="C24" s="8" t="s">
        <v>69</v>
      </c>
      <c r="D24" s="8" t="s">
        <v>21</v>
      </c>
      <c r="E24" s="8" t="s">
        <v>70</v>
      </c>
      <c r="F24" s="9">
        <v>0.7</v>
      </c>
      <c r="G24" s="10"/>
      <c r="H24" s="10"/>
      <c r="I24" s="11">
        <f t="shared" si="0"/>
        <v>0</v>
      </c>
    </row>
    <row r="25" spans="1:9" ht="15.6" customHeight="1" x14ac:dyDescent="0.25">
      <c r="A25" s="7">
        <v>21</v>
      </c>
      <c r="B25" s="8" t="s">
        <v>71</v>
      </c>
      <c r="C25" s="8" t="s">
        <v>72</v>
      </c>
      <c r="D25" s="8" t="s">
        <v>21</v>
      </c>
      <c r="E25" s="8" t="s">
        <v>70</v>
      </c>
      <c r="F25" s="9">
        <v>1</v>
      </c>
      <c r="G25" s="9"/>
      <c r="H25" s="9"/>
      <c r="I25" s="11">
        <f t="shared" si="0"/>
        <v>0</v>
      </c>
    </row>
    <row r="26" spans="1:9" ht="15.6" customHeight="1" x14ac:dyDescent="0.25">
      <c r="A26" s="7">
        <v>22</v>
      </c>
      <c r="B26" s="8" t="s">
        <v>73</v>
      </c>
      <c r="C26" s="8" t="s">
        <v>74</v>
      </c>
      <c r="D26" s="8" t="s">
        <v>21</v>
      </c>
      <c r="E26" s="8" t="s">
        <v>75</v>
      </c>
      <c r="F26" s="9">
        <v>1.2</v>
      </c>
      <c r="G26" s="10"/>
      <c r="H26" s="10"/>
      <c r="I26" s="11">
        <f t="shared" si="0"/>
        <v>0</v>
      </c>
    </row>
    <row r="27" spans="1:9" ht="15.6" customHeight="1" x14ac:dyDescent="0.25">
      <c r="A27" s="7">
        <v>23</v>
      </c>
      <c r="B27" s="8" t="s">
        <v>76</v>
      </c>
      <c r="C27" s="8" t="s">
        <v>77</v>
      </c>
      <c r="D27" s="8" t="s">
        <v>21</v>
      </c>
      <c r="E27" s="8" t="s">
        <v>78</v>
      </c>
      <c r="F27" s="9">
        <v>3</v>
      </c>
      <c r="G27" s="10"/>
      <c r="H27" s="10"/>
      <c r="I27" s="11">
        <f t="shared" si="0"/>
        <v>0</v>
      </c>
    </row>
    <row r="28" spans="1:9" ht="15.6" customHeight="1" x14ac:dyDescent="0.25">
      <c r="A28" s="7">
        <v>24</v>
      </c>
      <c r="B28" s="8" t="s">
        <v>79</v>
      </c>
      <c r="C28" s="8" t="s">
        <v>80</v>
      </c>
      <c r="D28" s="8" t="s">
        <v>21</v>
      </c>
      <c r="E28" s="8" t="s">
        <v>81</v>
      </c>
      <c r="F28" s="9">
        <v>1</v>
      </c>
      <c r="G28" s="10"/>
      <c r="H28" s="10"/>
      <c r="I28" s="11">
        <f t="shared" si="0"/>
        <v>0</v>
      </c>
    </row>
    <row r="29" spans="1:9" ht="15.6" customHeight="1" x14ac:dyDescent="0.25">
      <c r="A29" s="7">
        <v>25</v>
      </c>
      <c r="B29" s="8" t="s">
        <v>82</v>
      </c>
      <c r="C29" s="8" t="s">
        <v>83</v>
      </c>
      <c r="D29" s="8" t="s">
        <v>21</v>
      </c>
      <c r="E29" s="8" t="s">
        <v>84</v>
      </c>
      <c r="F29" s="9">
        <v>1</v>
      </c>
      <c r="G29" s="10"/>
      <c r="H29" s="10"/>
      <c r="I29" s="11">
        <f t="shared" si="0"/>
        <v>0</v>
      </c>
    </row>
    <row r="30" spans="1:9" ht="15.6" customHeight="1" x14ac:dyDescent="0.25">
      <c r="A30" s="7">
        <v>26</v>
      </c>
      <c r="B30" s="8" t="s">
        <v>85</v>
      </c>
      <c r="C30" s="8" t="s">
        <v>86</v>
      </c>
      <c r="D30" s="8" t="s">
        <v>21</v>
      </c>
      <c r="E30" s="8" t="s">
        <v>87</v>
      </c>
      <c r="F30" s="9">
        <v>1</v>
      </c>
      <c r="G30" s="10"/>
      <c r="H30" s="10"/>
      <c r="I30" s="11">
        <f t="shared" si="0"/>
        <v>0</v>
      </c>
    </row>
    <row r="31" spans="1:9" ht="15.6" customHeight="1" x14ac:dyDescent="0.25">
      <c r="A31" s="7">
        <v>27</v>
      </c>
      <c r="B31" s="8" t="s">
        <v>88</v>
      </c>
      <c r="C31" s="8" t="s">
        <v>89</v>
      </c>
      <c r="D31" s="8" t="s">
        <v>21</v>
      </c>
      <c r="E31" s="8" t="s">
        <v>90</v>
      </c>
      <c r="F31" s="9">
        <v>0.5</v>
      </c>
      <c r="G31" s="10"/>
      <c r="H31" s="10"/>
      <c r="I31" s="11">
        <f t="shared" si="0"/>
        <v>0</v>
      </c>
    </row>
    <row r="32" spans="1:9" ht="15.6" customHeight="1" x14ac:dyDescent="0.25">
      <c r="A32" s="7">
        <v>28</v>
      </c>
      <c r="B32" s="8" t="s">
        <v>91</v>
      </c>
      <c r="C32" s="8" t="s">
        <v>92</v>
      </c>
      <c r="D32" s="8" t="s">
        <v>21</v>
      </c>
      <c r="E32" s="8" t="s">
        <v>93</v>
      </c>
      <c r="F32" s="9">
        <v>3</v>
      </c>
      <c r="G32" s="10"/>
      <c r="H32" s="10"/>
      <c r="I32" s="11">
        <f t="shared" si="0"/>
        <v>0</v>
      </c>
    </row>
    <row r="33" spans="1:9" ht="15.6" customHeight="1" x14ac:dyDescent="0.25">
      <c r="A33" s="7">
        <v>29</v>
      </c>
      <c r="B33" s="8" t="s">
        <v>94</v>
      </c>
      <c r="C33" s="8" t="s">
        <v>95</v>
      </c>
      <c r="D33" s="8" t="s">
        <v>96</v>
      </c>
      <c r="E33" s="8" t="s">
        <v>97</v>
      </c>
      <c r="F33" s="9">
        <v>2</v>
      </c>
      <c r="G33" s="10"/>
      <c r="H33" s="10"/>
      <c r="I33" s="11">
        <f t="shared" si="0"/>
        <v>0</v>
      </c>
    </row>
    <row r="34" spans="1:9" ht="15.6" customHeight="1" x14ac:dyDescent="0.25">
      <c r="A34" s="7">
        <v>30</v>
      </c>
      <c r="B34" s="8" t="s">
        <v>98</v>
      </c>
      <c r="C34" s="8" t="s">
        <v>99</v>
      </c>
      <c r="D34" s="8" t="s">
        <v>96</v>
      </c>
      <c r="E34" s="8" t="s">
        <v>100</v>
      </c>
      <c r="F34" s="9">
        <v>1.7</v>
      </c>
      <c r="G34" s="10"/>
      <c r="H34" s="10"/>
      <c r="I34" s="11">
        <f t="shared" si="0"/>
        <v>0</v>
      </c>
    </row>
    <row r="35" spans="1:9" ht="15.6" customHeight="1" x14ac:dyDescent="0.25">
      <c r="A35" s="7">
        <v>31</v>
      </c>
      <c r="B35" s="8" t="s">
        <v>101</v>
      </c>
      <c r="C35" s="8" t="s">
        <v>102</v>
      </c>
      <c r="D35" s="8" t="s">
        <v>96</v>
      </c>
      <c r="E35" s="8" t="s">
        <v>103</v>
      </c>
      <c r="F35" s="9">
        <v>1</v>
      </c>
      <c r="G35" s="10"/>
      <c r="H35" s="10"/>
      <c r="I35" s="11">
        <f t="shared" si="0"/>
        <v>0</v>
      </c>
    </row>
    <row r="36" spans="1:9" ht="15.6" customHeight="1" x14ac:dyDescent="0.25">
      <c r="A36" s="7">
        <v>32</v>
      </c>
      <c r="B36" s="8" t="s">
        <v>104</v>
      </c>
      <c r="C36" s="8" t="s">
        <v>105</v>
      </c>
      <c r="D36" s="8" t="s">
        <v>96</v>
      </c>
      <c r="E36" s="8" t="s">
        <v>106</v>
      </c>
      <c r="F36" s="9">
        <v>3</v>
      </c>
      <c r="G36" s="10"/>
      <c r="H36" s="10"/>
      <c r="I36" s="11">
        <f t="shared" si="0"/>
        <v>0</v>
      </c>
    </row>
    <row r="37" spans="1:9" ht="15.6" customHeight="1" x14ac:dyDescent="0.25">
      <c r="A37" s="7">
        <v>33</v>
      </c>
      <c r="B37" s="8" t="s">
        <v>107</v>
      </c>
      <c r="C37" s="8" t="s">
        <v>108</v>
      </c>
      <c r="D37" s="8" t="s">
        <v>96</v>
      </c>
      <c r="E37" s="8" t="s">
        <v>109</v>
      </c>
      <c r="F37" s="9">
        <v>1.4</v>
      </c>
      <c r="G37" s="10"/>
      <c r="H37" s="10"/>
      <c r="I37" s="11">
        <f t="shared" si="0"/>
        <v>0</v>
      </c>
    </row>
    <row r="38" spans="1:9" ht="15.6" customHeight="1" x14ac:dyDescent="0.25">
      <c r="A38" s="7">
        <v>34</v>
      </c>
      <c r="B38" s="8" t="s">
        <v>110</v>
      </c>
      <c r="C38" s="8" t="s">
        <v>111</v>
      </c>
      <c r="D38" s="8" t="s">
        <v>96</v>
      </c>
      <c r="E38" s="8" t="s">
        <v>112</v>
      </c>
      <c r="F38" s="9">
        <v>4.5</v>
      </c>
      <c r="G38" s="10"/>
      <c r="H38" s="10"/>
      <c r="I38" s="11">
        <f t="shared" si="0"/>
        <v>0</v>
      </c>
    </row>
    <row r="39" spans="1:9" ht="15.6" customHeight="1" x14ac:dyDescent="0.25">
      <c r="A39" s="7">
        <v>35</v>
      </c>
      <c r="B39" s="8" t="s">
        <v>113</v>
      </c>
      <c r="C39" s="8" t="s">
        <v>114</v>
      </c>
      <c r="D39" s="8" t="s">
        <v>96</v>
      </c>
      <c r="E39" s="8" t="s">
        <v>115</v>
      </c>
      <c r="F39" s="9">
        <v>3</v>
      </c>
      <c r="G39" s="10"/>
      <c r="H39" s="10"/>
      <c r="I39" s="11">
        <f t="shared" si="0"/>
        <v>0</v>
      </c>
    </row>
    <row r="40" spans="1:9" ht="15.6" customHeight="1" x14ac:dyDescent="0.25">
      <c r="A40" s="7">
        <v>36</v>
      </c>
      <c r="B40" s="8" t="s">
        <v>116</v>
      </c>
      <c r="C40" s="8" t="s">
        <v>117</v>
      </c>
      <c r="D40" s="8" t="s">
        <v>96</v>
      </c>
      <c r="E40" s="8" t="s">
        <v>84</v>
      </c>
      <c r="F40" s="9">
        <v>1</v>
      </c>
      <c r="G40" s="10"/>
      <c r="H40" s="10"/>
      <c r="I40" s="11">
        <f t="shared" si="0"/>
        <v>0</v>
      </c>
    </row>
    <row r="41" spans="1:9" ht="15.6" customHeight="1" x14ac:dyDescent="0.25">
      <c r="A41" s="7">
        <v>37</v>
      </c>
      <c r="B41" s="8" t="s">
        <v>118</v>
      </c>
      <c r="C41" s="8" t="s">
        <v>119</v>
      </c>
      <c r="D41" s="8" t="s">
        <v>96</v>
      </c>
      <c r="E41" s="8" t="s">
        <v>120</v>
      </c>
      <c r="F41" s="9">
        <v>0</v>
      </c>
      <c r="G41" s="10"/>
      <c r="H41" s="10"/>
      <c r="I41" s="11" t="e">
        <f t="shared" si="0"/>
        <v>#DIV/0!</v>
      </c>
    </row>
    <row r="42" spans="1:9" ht="15.6" customHeight="1" x14ac:dyDescent="0.25">
      <c r="A42" s="7">
        <v>38</v>
      </c>
      <c r="B42" s="8" t="s">
        <v>121</v>
      </c>
      <c r="C42" s="8" t="s">
        <v>122</v>
      </c>
      <c r="D42" s="8" t="s">
        <v>96</v>
      </c>
      <c r="E42" s="8" t="s">
        <v>123</v>
      </c>
      <c r="F42" s="9">
        <v>4</v>
      </c>
      <c r="G42" s="10"/>
      <c r="H42" s="10"/>
      <c r="I42" s="11">
        <f t="shared" si="0"/>
        <v>0</v>
      </c>
    </row>
    <row r="43" spans="1:9" ht="15.6" customHeight="1" x14ac:dyDescent="0.25">
      <c r="A43" s="7">
        <v>39</v>
      </c>
      <c r="B43" s="8" t="s">
        <v>124</v>
      </c>
      <c r="C43" s="8" t="s">
        <v>125</v>
      </c>
      <c r="D43" s="8" t="s">
        <v>96</v>
      </c>
      <c r="E43" s="8" t="s">
        <v>126</v>
      </c>
      <c r="F43" s="9">
        <v>3</v>
      </c>
      <c r="G43" s="10"/>
      <c r="H43" s="10"/>
      <c r="I43" s="11">
        <f t="shared" si="0"/>
        <v>0</v>
      </c>
    </row>
    <row r="44" spans="1:9" ht="15.6" customHeight="1" x14ac:dyDescent="0.25">
      <c r="A44" s="7">
        <v>40</v>
      </c>
      <c r="B44" s="8" t="s">
        <v>127</v>
      </c>
      <c r="C44" s="8" t="s">
        <v>128</v>
      </c>
      <c r="D44" s="8" t="s">
        <v>96</v>
      </c>
      <c r="E44" s="8" t="s">
        <v>129</v>
      </c>
      <c r="F44" s="9">
        <v>1</v>
      </c>
      <c r="G44" s="10"/>
      <c r="H44" s="10"/>
      <c r="I44" s="11">
        <f t="shared" si="0"/>
        <v>0</v>
      </c>
    </row>
    <row r="45" spans="1:9" ht="15.6" customHeight="1" x14ac:dyDescent="0.25">
      <c r="A45" s="7">
        <v>41</v>
      </c>
      <c r="B45" s="8" t="s">
        <v>130</v>
      </c>
      <c r="C45" s="8" t="s">
        <v>131</v>
      </c>
      <c r="D45" s="8" t="s">
        <v>96</v>
      </c>
      <c r="E45" s="8" t="s">
        <v>129</v>
      </c>
      <c r="F45" s="9">
        <v>1.5</v>
      </c>
      <c r="G45" s="10"/>
      <c r="H45" s="10"/>
      <c r="I45" s="11">
        <f t="shared" si="0"/>
        <v>0</v>
      </c>
    </row>
    <row r="46" spans="1:9" ht="15.6" customHeight="1" x14ac:dyDescent="0.25">
      <c r="A46" s="7">
        <v>42</v>
      </c>
      <c r="B46" s="8" t="s">
        <v>132</v>
      </c>
      <c r="C46" s="8" t="s">
        <v>133</v>
      </c>
      <c r="D46" s="8" t="s">
        <v>96</v>
      </c>
      <c r="E46" s="8" t="s">
        <v>134</v>
      </c>
      <c r="F46" s="9">
        <v>13</v>
      </c>
      <c r="G46" s="10"/>
      <c r="H46" s="10"/>
      <c r="I46" s="11">
        <f t="shared" si="0"/>
        <v>0</v>
      </c>
    </row>
    <row r="47" spans="1:9" ht="15.6" customHeight="1" x14ac:dyDescent="0.25">
      <c r="A47" s="7">
        <v>43</v>
      </c>
      <c r="B47" s="8" t="s">
        <v>135</v>
      </c>
      <c r="C47" s="8" t="s">
        <v>136</v>
      </c>
      <c r="D47" s="8" t="s">
        <v>96</v>
      </c>
      <c r="E47" s="8" t="s">
        <v>137</v>
      </c>
      <c r="F47" s="9">
        <v>4</v>
      </c>
      <c r="G47" s="10"/>
      <c r="H47" s="10"/>
      <c r="I47" s="11">
        <f t="shared" si="0"/>
        <v>0</v>
      </c>
    </row>
    <row r="48" spans="1:9" ht="15.6" customHeight="1" x14ac:dyDescent="0.25">
      <c r="A48" s="7">
        <v>44</v>
      </c>
      <c r="B48" s="8" t="s">
        <v>138</v>
      </c>
      <c r="C48" s="8" t="s">
        <v>139</v>
      </c>
      <c r="D48" s="8" t="s">
        <v>96</v>
      </c>
      <c r="E48" s="8" t="s">
        <v>140</v>
      </c>
      <c r="F48" s="9">
        <v>1.3</v>
      </c>
      <c r="G48" s="10"/>
      <c r="H48" s="10"/>
      <c r="I48" s="11">
        <f t="shared" si="0"/>
        <v>0</v>
      </c>
    </row>
    <row r="49" spans="1:9" ht="15.6" customHeight="1" x14ac:dyDescent="0.25">
      <c r="A49" s="7">
        <v>45</v>
      </c>
      <c r="B49" s="8" t="s">
        <v>141</v>
      </c>
      <c r="C49" s="8" t="s">
        <v>142</v>
      </c>
      <c r="D49" s="8" t="s">
        <v>143</v>
      </c>
      <c r="E49" s="8" t="s">
        <v>144</v>
      </c>
      <c r="F49" s="9">
        <v>3</v>
      </c>
      <c r="G49" s="10"/>
      <c r="H49" s="10"/>
      <c r="I49" s="11">
        <f t="shared" si="0"/>
        <v>0</v>
      </c>
    </row>
    <row r="50" spans="1:9" ht="15.6" customHeight="1" x14ac:dyDescent="0.25">
      <c r="A50" s="7">
        <v>46</v>
      </c>
      <c r="B50" s="8" t="s">
        <v>145</v>
      </c>
      <c r="C50" s="8" t="s">
        <v>146</v>
      </c>
      <c r="D50" s="8" t="s">
        <v>143</v>
      </c>
      <c r="E50" s="8" t="s">
        <v>147</v>
      </c>
      <c r="F50" s="9">
        <v>1</v>
      </c>
      <c r="G50" s="10"/>
      <c r="H50" s="10"/>
      <c r="I50" s="11">
        <f t="shared" si="0"/>
        <v>0</v>
      </c>
    </row>
    <row r="51" spans="1:9" ht="15.6" customHeight="1" x14ac:dyDescent="0.25">
      <c r="A51" s="7">
        <v>47</v>
      </c>
      <c r="B51" s="8" t="s">
        <v>148</v>
      </c>
      <c r="C51" s="8" t="s">
        <v>149</v>
      </c>
      <c r="D51" s="8" t="s">
        <v>143</v>
      </c>
      <c r="E51" s="8" t="s">
        <v>150</v>
      </c>
      <c r="F51" s="9">
        <v>1</v>
      </c>
      <c r="G51" s="10"/>
      <c r="H51" s="10"/>
      <c r="I51" s="11">
        <f t="shared" si="0"/>
        <v>0</v>
      </c>
    </row>
    <row r="52" spans="1:9" ht="15.6" customHeight="1" x14ac:dyDescent="0.25">
      <c r="A52" s="7">
        <v>48</v>
      </c>
      <c r="B52" s="8" t="s">
        <v>151</v>
      </c>
      <c r="C52" s="8" t="s">
        <v>152</v>
      </c>
      <c r="D52" s="8" t="s">
        <v>143</v>
      </c>
      <c r="E52" s="8" t="s">
        <v>153</v>
      </c>
      <c r="F52" s="9">
        <v>1</v>
      </c>
      <c r="G52" s="10"/>
      <c r="H52" s="10"/>
      <c r="I52" s="11">
        <f t="shared" si="0"/>
        <v>0</v>
      </c>
    </row>
    <row r="53" spans="1:9" ht="16.8" customHeight="1" x14ac:dyDescent="0.25">
      <c r="A53" s="15" t="s">
        <v>154</v>
      </c>
      <c r="B53" s="15"/>
      <c r="C53" s="15"/>
      <c r="D53" s="15" t="s">
        <v>155</v>
      </c>
      <c r="E53" s="15"/>
      <c r="F53" s="12">
        <f>SUM(F5:F52)</f>
        <v>132.80000000000001</v>
      </c>
      <c r="G53" s="13"/>
      <c r="H53" s="12">
        <f t="shared" ref="H53" si="1">SUM(H5:H52)</f>
        <v>0</v>
      </c>
      <c r="I53" s="14">
        <f t="shared" si="0"/>
        <v>0</v>
      </c>
    </row>
  </sheetData>
  <mergeCells count="8">
    <mergeCell ref="F3:F4"/>
    <mergeCell ref="G3:G4"/>
    <mergeCell ref="H3:I3"/>
    <mergeCell ref="A53:C53"/>
    <mergeCell ref="D53:E53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8EF8-600B-4490-B223-C4F4FF53947C}">
  <dimension ref="A1:I30"/>
  <sheetViews>
    <sheetView zoomScaleNormal="100" workbookViewId="0">
      <selection activeCell="J28" sqref="J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19</v>
      </c>
      <c r="C5" s="8" t="s">
        <v>20</v>
      </c>
      <c r="D5" s="8" t="s">
        <v>21</v>
      </c>
      <c r="E5" s="8" t="s">
        <v>22</v>
      </c>
      <c r="F5" s="9">
        <v>8.3000000000000007</v>
      </c>
      <c r="G5" s="9"/>
      <c r="H5" s="9"/>
      <c r="I5" s="11">
        <f t="shared" ref="I5:I30" si="0">H5/F5</f>
        <v>0</v>
      </c>
    </row>
    <row r="6" spans="1:9" ht="15.6" customHeight="1" x14ac:dyDescent="0.25">
      <c r="A6" s="7">
        <v>2</v>
      </c>
      <c r="B6" s="8" t="s">
        <v>24</v>
      </c>
      <c r="C6" s="8" t="s">
        <v>25</v>
      </c>
      <c r="D6" s="8" t="s">
        <v>21</v>
      </c>
      <c r="E6" s="8" t="s">
        <v>26</v>
      </c>
      <c r="F6" s="9">
        <v>2.2000000000000002</v>
      </c>
      <c r="G6" s="10"/>
      <c r="H6" s="10"/>
      <c r="I6" s="11">
        <f t="shared" si="0"/>
        <v>0</v>
      </c>
    </row>
    <row r="7" spans="1:9" ht="15.6" customHeight="1" x14ac:dyDescent="0.25">
      <c r="A7" s="7">
        <v>3</v>
      </c>
      <c r="B7" s="8" t="s">
        <v>27</v>
      </c>
      <c r="C7" s="8" t="s">
        <v>28</v>
      </c>
      <c r="D7" s="8" t="s">
        <v>21</v>
      </c>
      <c r="E7" s="8" t="s">
        <v>29</v>
      </c>
      <c r="F7" s="9">
        <v>4.5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30</v>
      </c>
      <c r="C8" s="8" t="s">
        <v>31</v>
      </c>
      <c r="D8" s="8" t="s">
        <v>21</v>
      </c>
      <c r="E8" s="8" t="s">
        <v>32</v>
      </c>
      <c r="F8" s="9">
        <v>1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33</v>
      </c>
      <c r="C9" s="8" t="s">
        <v>34</v>
      </c>
      <c r="D9" s="8" t="s">
        <v>21</v>
      </c>
      <c r="E9" s="8" t="s">
        <v>35</v>
      </c>
      <c r="F9" s="9">
        <v>1.5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36</v>
      </c>
      <c r="C10" s="8" t="s">
        <v>37</v>
      </c>
      <c r="D10" s="8" t="s">
        <v>21</v>
      </c>
      <c r="E10" s="8" t="s">
        <v>38</v>
      </c>
      <c r="F10" s="9">
        <v>2.2999999999999998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39</v>
      </c>
      <c r="C11" s="8" t="s">
        <v>40</v>
      </c>
      <c r="D11" s="8" t="s">
        <v>21</v>
      </c>
      <c r="E11" s="8" t="s">
        <v>41</v>
      </c>
      <c r="F11" s="9">
        <v>1.5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42</v>
      </c>
      <c r="C12" s="8" t="s">
        <v>43</v>
      </c>
      <c r="D12" s="8" t="s">
        <v>21</v>
      </c>
      <c r="E12" s="8" t="s">
        <v>44</v>
      </c>
      <c r="F12" s="9">
        <v>2.2999999999999998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45</v>
      </c>
      <c r="C13" s="8" t="s">
        <v>46</v>
      </c>
      <c r="D13" s="8" t="s">
        <v>21</v>
      </c>
      <c r="E13" s="8" t="s">
        <v>47</v>
      </c>
      <c r="F13" s="9">
        <v>2.2999999999999998</v>
      </c>
      <c r="G13" s="9"/>
      <c r="H13" s="9"/>
      <c r="I13" s="11">
        <f t="shared" si="0"/>
        <v>0</v>
      </c>
    </row>
    <row r="14" spans="1:9" ht="15.6" customHeight="1" x14ac:dyDescent="0.25">
      <c r="A14" s="7">
        <v>10</v>
      </c>
      <c r="B14" s="8" t="s">
        <v>48</v>
      </c>
      <c r="C14" s="8" t="s">
        <v>49</v>
      </c>
      <c r="D14" s="8" t="s">
        <v>21</v>
      </c>
      <c r="E14" s="8" t="s">
        <v>50</v>
      </c>
      <c r="F14" s="9">
        <v>2.4</v>
      </c>
      <c r="G14" s="10"/>
      <c r="H14" s="10"/>
      <c r="I14" s="11">
        <f t="shared" si="0"/>
        <v>0</v>
      </c>
    </row>
    <row r="15" spans="1:9" ht="15.6" customHeight="1" x14ac:dyDescent="0.25">
      <c r="A15" s="7">
        <v>11</v>
      </c>
      <c r="B15" s="8" t="s">
        <v>51</v>
      </c>
      <c r="C15" s="8" t="s">
        <v>52</v>
      </c>
      <c r="D15" s="8" t="s">
        <v>21</v>
      </c>
      <c r="E15" s="2" t="s">
        <v>32</v>
      </c>
      <c r="F15" s="9">
        <v>1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53</v>
      </c>
      <c r="C16" s="8" t="s">
        <v>54</v>
      </c>
      <c r="D16" s="8" t="s">
        <v>21</v>
      </c>
      <c r="E16" s="8" t="s">
        <v>55</v>
      </c>
      <c r="F16" s="9">
        <v>4</v>
      </c>
      <c r="G16" s="9"/>
      <c r="H16" s="9"/>
      <c r="I16" s="11">
        <f t="shared" si="0"/>
        <v>0</v>
      </c>
    </row>
    <row r="17" spans="1:9" ht="15.6" customHeight="1" x14ac:dyDescent="0.25">
      <c r="A17" s="7">
        <v>13</v>
      </c>
      <c r="B17" s="8" t="s">
        <v>56</v>
      </c>
      <c r="C17" s="8" t="s">
        <v>57</v>
      </c>
      <c r="D17" s="8" t="s">
        <v>21</v>
      </c>
      <c r="E17" s="8" t="s">
        <v>58</v>
      </c>
      <c r="F17" s="9">
        <v>2.5</v>
      </c>
      <c r="G17" s="10"/>
      <c r="H17" s="10"/>
      <c r="I17" s="11">
        <f t="shared" si="0"/>
        <v>0</v>
      </c>
    </row>
    <row r="18" spans="1:9" ht="15.6" customHeight="1" x14ac:dyDescent="0.25">
      <c r="A18" s="7">
        <v>14</v>
      </c>
      <c r="B18" s="8" t="s">
        <v>59</v>
      </c>
      <c r="C18" s="8" t="s">
        <v>60</v>
      </c>
      <c r="D18" s="8" t="s">
        <v>21</v>
      </c>
      <c r="E18" s="8" t="s">
        <v>61</v>
      </c>
      <c r="F18" s="9">
        <v>11</v>
      </c>
      <c r="G18" s="10"/>
      <c r="H18" s="10"/>
      <c r="I18" s="11">
        <f t="shared" si="0"/>
        <v>0</v>
      </c>
    </row>
    <row r="19" spans="1:9" ht="15.6" customHeight="1" x14ac:dyDescent="0.25">
      <c r="A19" s="7">
        <v>15</v>
      </c>
      <c r="B19" s="8" t="s">
        <v>62</v>
      </c>
      <c r="C19" s="8" t="s">
        <v>63</v>
      </c>
      <c r="D19" s="8" t="s">
        <v>21</v>
      </c>
      <c r="E19" s="8" t="s">
        <v>64</v>
      </c>
      <c r="F19" s="9">
        <v>11</v>
      </c>
      <c r="G19" s="9"/>
      <c r="H19" s="9"/>
      <c r="I19" s="11">
        <f t="shared" si="0"/>
        <v>0</v>
      </c>
    </row>
    <row r="20" spans="1:9" ht="15.6" customHeight="1" x14ac:dyDescent="0.25">
      <c r="A20" s="7">
        <v>16</v>
      </c>
      <c r="B20" s="8" t="s">
        <v>65</v>
      </c>
      <c r="C20" s="8" t="s">
        <v>66</v>
      </c>
      <c r="D20" s="8" t="s">
        <v>21</v>
      </c>
      <c r="E20" s="8" t="s">
        <v>67</v>
      </c>
      <c r="F20" s="9">
        <v>3.5</v>
      </c>
      <c r="G20" s="10"/>
      <c r="H20" s="10"/>
      <c r="I20" s="11">
        <f t="shared" si="0"/>
        <v>0</v>
      </c>
    </row>
    <row r="21" spans="1:9" ht="15.6" customHeight="1" x14ac:dyDescent="0.25">
      <c r="A21" s="7">
        <v>17</v>
      </c>
      <c r="B21" s="8" t="s">
        <v>68</v>
      </c>
      <c r="C21" s="8" t="s">
        <v>69</v>
      </c>
      <c r="D21" s="8" t="s">
        <v>21</v>
      </c>
      <c r="E21" s="8" t="s">
        <v>70</v>
      </c>
      <c r="F21" s="9">
        <v>0.7</v>
      </c>
      <c r="G21" s="10"/>
      <c r="H21" s="10"/>
      <c r="I21" s="11">
        <f t="shared" si="0"/>
        <v>0</v>
      </c>
    </row>
    <row r="22" spans="1:9" ht="15.6" customHeight="1" x14ac:dyDescent="0.25">
      <c r="A22" s="7">
        <v>18</v>
      </c>
      <c r="B22" s="8" t="s">
        <v>71</v>
      </c>
      <c r="C22" s="8" t="s">
        <v>72</v>
      </c>
      <c r="D22" s="8" t="s">
        <v>21</v>
      </c>
      <c r="E22" s="8" t="s">
        <v>70</v>
      </c>
      <c r="F22" s="9">
        <v>1</v>
      </c>
      <c r="G22" s="9"/>
      <c r="H22" s="9"/>
      <c r="I22" s="11">
        <f t="shared" si="0"/>
        <v>0</v>
      </c>
    </row>
    <row r="23" spans="1:9" ht="15.6" customHeight="1" x14ac:dyDescent="0.25">
      <c r="A23" s="7">
        <v>19</v>
      </c>
      <c r="B23" s="8" t="s">
        <v>73</v>
      </c>
      <c r="C23" s="8" t="s">
        <v>74</v>
      </c>
      <c r="D23" s="8" t="s">
        <v>21</v>
      </c>
      <c r="E23" s="8" t="s">
        <v>75</v>
      </c>
      <c r="F23" s="9">
        <v>1.2</v>
      </c>
      <c r="G23" s="10"/>
      <c r="H23" s="10"/>
      <c r="I23" s="11">
        <f t="shared" si="0"/>
        <v>0</v>
      </c>
    </row>
    <row r="24" spans="1:9" ht="15.6" customHeight="1" x14ac:dyDescent="0.25">
      <c r="A24" s="7">
        <v>20</v>
      </c>
      <c r="B24" s="8" t="s">
        <v>76</v>
      </c>
      <c r="C24" s="8" t="s">
        <v>77</v>
      </c>
      <c r="D24" s="8" t="s">
        <v>21</v>
      </c>
      <c r="E24" s="8" t="s">
        <v>78</v>
      </c>
      <c r="F24" s="9">
        <v>3</v>
      </c>
      <c r="G24" s="10"/>
      <c r="H24" s="10"/>
      <c r="I24" s="11">
        <f t="shared" si="0"/>
        <v>0</v>
      </c>
    </row>
    <row r="25" spans="1:9" ht="15.6" customHeight="1" x14ac:dyDescent="0.25">
      <c r="A25" s="7">
        <v>21</v>
      </c>
      <c r="B25" s="8" t="s">
        <v>79</v>
      </c>
      <c r="C25" s="8" t="s">
        <v>80</v>
      </c>
      <c r="D25" s="8" t="s">
        <v>21</v>
      </c>
      <c r="E25" s="8" t="s">
        <v>81</v>
      </c>
      <c r="F25" s="9">
        <v>1</v>
      </c>
      <c r="G25" s="10"/>
      <c r="H25" s="10"/>
      <c r="I25" s="11">
        <f t="shared" si="0"/>
        <v>0</v>
      </c>
    </row>
    <row r="26" spans="1:9" ht="15.6" customHeight="1" x14ac:dyDescent="0.25">
      <c r="A26" s="7">
        <v>22</v>
      </c>
      <c r="B26" s="8" t="s">
        <v>82</v>
      </c>
      <c r="C26" s="8" t="s">
        <v>83</v>
      </c>
      <c r="D26" s="8" t="s">
        <v>21</v>
      </c>
      <c r="E26" s="8" t="s">
        <v>84</v>
      </c>
      <c r="F26" s="9">
        <v>1</v>
      </c>
      <c r="G26" s="10"/>
      <c r="H26" s="10"/>
      <c r="I26" s="11">
        <f t="shared" si="0"/>
        <v>0</v>
      </c>
    </row>
    <row r="27" spans="1:9" ht="15.6" customHeight="1" x14ac:dyDescent="0.25">
      <c r="A27" s="7">
        <v>23</v>
      </c>
      <c r="B27" s="8" t="s">
        <v>85</v>
      </c>
      <c r="C27" s="8" t="s">
        <v>86</v>
      </c>
      <c r="D27" s="8" t="s">
        <v>21</v>
      </c>
      <c r="E27" s="8" t="s">
        <v>87</v>
      </c>
      <c r="F27" s="9">
        <v>1</v>
      </c>
      <c r="G27" s="10"/>
      <c r="H27" s="10"/>
      <c r="I27" s="11">
        <f t="shared" si="0"/>
        <v>0</v>
      </c>
    </row>
    <row r="28" spans="1:9" ht="15.6" customHeight="1" x14ac:dyDescent="0.25">
      <c r="A28" s="7">
        <v>24</v>
      </c>
      <c r="B28" s="8" t="s">
        <v>88</v>
      </c>
      <c r="C28" s="8" t="s">
        <v>89</v>
      </c>
      <c r="D28" s="8" t="s">
        <v>21</v>
      </c>
      <c r="E28" s="8" t="s">
        <v>90</v>
      </c>
      <c r="F28" s="9">
        <v>0.5</v>
      </c>
      <c r="G28" s="10"/>
      <c r="H28" s="10"/>
      <c r="I28" s="11">
        <f t="shared" si="0"/>
        <v>0</v>
      </c>
    </row>
    <row r="29" spans="1:9" ht="15.6" customHeight="1" x14ac:dyDescent="0.25">
      <c r="A29" s="7">
        <v>25</v>
      </c>
      <c r="B29" s="8" t="s">
        <v>91</v>
      </c>
      <c r="C29" s="8" t="s">
        <v>92</v>
      </c>
      <c r="D29" s="8" t="s">
        <v>21</v>
      </c>
      <c r="E29" s="8" t="s">
        <v>93</v>
      </c>
      <c r="F29" s="9">
        <v>3</v>
      </c>
      <c r="G29" s="10"/>
      <c r="H29" s="10"/>
      <c r="I29" s="11">
        <f t="shared" si="0"/>
        <v>0</v>
      </c>
    </row>
    <row r="30" spans="1:9" ht="16.8" customHeight="1" x14ac:dyDescent="0.25">
      <c r="A30" s="15" t="s">
        <v>154</v>
      </c>
      <c r="B30" s="15"/>
      <c r="C30" s="15"/>
      <c r="D30" s="15" t="s">
        <v>156</v>
      </c>
      <c r="E30" s="15"/>
      <c r="F30" s="12">
        <f>SUM(F5:F29)</f>
        <v>73.7</v>
      </c>
      <c r="G30" s="13"/>
      <c r="H30" s="12">
        <f>SUM(H5:H29)</f>
        <v>0</v>
      </c>
      <c r="I30" s="14">
        <f t="shared" si="0"/>
        <v>0</v>
      </c>
    </row>
  </sheetData>
  <mergeCells count="8">
    <mergeCell ref="F3:F4"/>
    <mergeCell ref="G3:G4"/>
    <mergeCell ref="H3:I3"/>
    <mergeCell ref="A30:C30"/>
    <mergeCell ref="D30:E30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A17-69B5-4806-8B98-58B42152937D}">
  <dimension ref="A1:I22"/>
  <sheetViews>
    <sheetView zoomScaleNormal="100" workbookViewId="0">
      <selection activeCell="D23" sqref="D2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94</v>
      </c>
      <c r="C5" s="8" t="s">
        <v>95</v>
      </c>
      <c r="D5" s="8" t="s">
        <v>96</v>
      </c>
      <c r="E5" s="8" t="s">
        <v>97</v>
      </c>
      <c r="F5" s="9">
        <v>2</v>
      </c>
      <c r="G5" s="10"/>
      <c r="H5" s="10"/>
      <c r="I5" s="11">
        <f t="shared" ref="I5:I22" si="0">H5/F5</f>
        <v>0</v>
      </c>
    </row>
    <row r="6" spans="1:9" ht="15.6" customHeight="1" x14ac:dyDescent="0.25">
      <c r="A6" s="7">
        <v>2</v>
      </c>
      <c r="B6" s="8" t="s">
        <v>98</v>
      </c>
      <c r="C6" s="8" t="s">
        <v>99</v>
      </c>
      <c r="D6" s="8" t="s">
        <v>96</v>
      </c>
      <c r="E6" s="8" t="s">
        <v>100</v>
      </c>
      <c r="F6" s="9">
        <v>1.7</v>
      </c>
      <c r="G6" s="10"/>
      <c r="H6" s="10"/>
      <c r="I6" s="11">
        <f t="shared" si="0"/>
        <v>0</v>
      </c>
    </row>
    <row r="7" spans="1:9" ht="15.6" customHeight="1" x14ac:dyDescent="0.25">
      <c r="A7" s="7">
        <v>3</v>
      </c>
      <c r="B7" s="8" t="s">
        <v>101</v>
      </c>
      <c r="C7" s="8" t="s">
        <v>102</v>
      </c>
      <c r="D7" s="8" t="s">
        <v>96</v>
      </c>
      <c r="E7" s="8" t="s">
        <v>103</v>
      </c>
      <c r="F7" s="9">
        <v>1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104</v>
      </c>
      <c r="C8" s="8" t="s">
        <v>105</v>
      </c>
      <c r="D8" s="8" t="s">
        <v>96</v>
      </c>
      <c r="E8" s="8" t="s">
        <v>106</v>
      </c>
      <c r="F8" s="9">
        <v>3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107</v>
      </c>
      <c r="C9" s="8" t="s">
        <v>108</v>
      </c>
      <c r="D9" s="8" t="s">
        <v>96</v>
      </c>
      <c r="E9" s="8" t="s">
        <v>109</v>
      </c>
      <c r="F9" s="9">
        <v>1.4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110</v>
      </c>
      <c r="C10" s="8" t="s">
        <v>111</v>
      </c>
      <c r="D10" s="8" t="s">
        <v>96</v>
      </c>
      <c r="E10" s="8" t="s">
        <v>112</v>
      </c>
      <c r="F10" s="9">
        <v>4.5</v>
      </c>
      <c r="G10" s="10"/>
      <c r="H10" s="10"/>
      <c r="I10" s="11">
        <f t="shared" si="0"/>
        <v>0</v>
      </c>
    </row>
    <row r="11" spans="1:9" ht="15.6" customHeight="1" x14ac:dyDescent="0.25">
      <c r="A11" s="7">
        <v>7</v>
      </c>
      <c r="B11" s="8" t="s">
        <v>113</v>
      </c>
      <c r="C11" s="8" t="s">
        <v>114</v>
      </c>
      <c r="D11" s="8" t="s">
        <v>96</v>
      </c>
      <c r="E11" s="8" t="s">
        <v>115</v>
      </c>
      <c r="F11" s="9">
        <v>3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116</v>
      </c>
      <c r="C12" s="8" t="s">
        <v>117</v>
      </c>
      <c r="D12" s="8" t="s">
        <v>96</v>
      </c>
      <c r="E12" s="8" t="s">
        <v>84</v>
      </c>
      <c r="F12" s="9">
        <v>1</v>
      </c>
      <c r="G12" s="10"/>
      <c r="H12" s="10"/>
      <c r="I12" s="11">
        <f t="shared" si="0"/>
        <v>0</v>
      </c>
    </row>
    <row r="13" spans="1:9" ht="15.6" customHeight="1" x14ac:dyDescent="0.25">
      <c r="A13" s="7">
        <v>9</v>
      </c>
      <c r="B13" s="8" t="s">
        <v>118</v>
      </c>
      <c r="C13" s="8" t="s">
        <v>119</v>
      </c>
      <c r="D13" s="8" t="s">
        <v>96</v>
      </c>
      <c r="E13" s="8" t="s">
        <v>120</v>
      </c>
      <c r="F13" s="9">
        <v>0</v>
      </c>
      <c r="G13" s="10"/>
      <c r="H13" s="10"/>
      <c r="I13" s="11" t="e">
        <f t="shared" si="0"/>
        <v>#DIV/0!</v>
      </c>
    </row>
    <row r="14" spans="1:9" ht="15.6" customHeight="1" x14ac:dyDescent="0.25">
      <c r="A14" s="7">
        <v>10</v>
      </c>
      <c r="B14" s="8" t="s">
        <v>121</v>
      </c>
      <c r="C14" s="8" t="s">
        <v>122</v>
      </c>
      <c r="D14" s="8" t="s">
        <v>96</v>
      </c>
      <c r="E14" s="8" t="s">
        <v>123</v>
      </c>
      <c r="F14" s="9">
        <v>4</v>
      </c>
      <c r="G14" s="10"/>
      <c r="H14" s="10"/>
      <c r="I14" s="11">
        <f t="shared" si="0"/>
        <v>0</v>
      </c>
    </row>
    <row r="15" spans="1:9" ht="15.6" customHeight="1" x14ac:dyDescent="0.25">
      <c r="A15" s="7">
        <v>11</v>
      </c>
      <c r="B15" s="8" t="s">
        <v>124</v>
      </c>
      <c r="C15" s="8" t="s">
        <v>125</v>
      </c>
      <c r="D15" s="8" t="s">
        <v>96</v>
      </c>
      <c r="E15" s="8" t="s">
        <v>126</v>
      </c>
      <c r="F15" s="9">
        <v>3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127</v>
      </c>
      <c r="C16" s="8" t="s">
        <v>128</v>
      </c>
      <c r="D16" s="8" t="s">
        <v>96</v>
      </c>
      <c r="E16" s="8" t="s">
        <v>129</v>
      </c>
      <c r="F16" s="9">
        <v>1</v>
      </c>
      <c r="G16" s="10"/>
      <c r="H16" s="10"/>
      <c r="I16" s="11">
        <f t="shared" si="0"/>
        <v>0</v>
      </c>
    </row>
    <row r="17" spans="1:9" ht="15.6" customHeight="1" x14ac:dyDescent="0.25">
      <c r="A17" s="7">
        <v>13</v>
      </c>
      <c r="B17" s="8" t="s">
        <v>130</v>
      </c>
      <c r="C17" s="8" t="s">
        <v>131</v>
      </c>
      <c r="D17" s="8" t="s">
        <v>96</v>
      </c>
      <c r="E17" s="8" t="s">
        <v>129</v>
      </c>
      <c r="F17" s="9">
        <v>1.5</v>
      </c>
      <c r="G17" s="10"/>
      <c r="H17" s="10"/>
      <c r="I17" s="11">
        <f t="shared" si="0"/>
        <v>0</v>
      </c>
    </row>
    <row r="18" spans="1:9" ht="15.6" customHeight="1" x14ac:dyDescent="0.25">
      <c r="A18" s="7">
        <v>14</v>
      </c>
      <c r="B18" s="8" t="s">
        <v>132</v>
      </c>
      <c r="C18" s="8" t="s">
        <v>133</v>
      </c>
      <c r="D18" s="8" t="s">
        <v>96</v>
      </c>
      <c r="E18" s="8" t="s">
        <v>134</v>
      </c>
      <c r="F18" s="9">
        <v>13</v>
      </c>
      <c r="G18" s="10"/>
      <c r="H18" s="10"/>
      <c r="I18" s="11">
        <f t="shared" si="0"/>
        <v>0</v>
      </c>
    </row>
    <row r="19" spans="1:9" ht="15.6" customHeight="1" x14ac:dyDescent="0.25">
      <c r="A19" s="7">
        <v>15</v>
      </c>
      <c r="B19" s="8" t="s">
        <v>135</v>
      </c>
      <c r="C19" s="8" t="s">
        <v>136</v>
      </c>
      <c r="D19" s="8" t="s">
        <v>96</v>
      </c>
      <c r="E19" s="8" t="s">
        <v>137</v>
      </c>
      <c r="F19" s="9">
        <v>4</v>
      </c>
      <c r="G19" s="10"/>
      <c r="H19" s="10"/>
      <c r="I19" s="11">
        <f t="shared" si="0"/>
        <v>0</v>
      </c>
    </row>
    <row r="20" spans="1:9" ht="15.6" customHeight="1" x14ac:dyDescent="0.25">
      <c r="A20" s="7">
        <v>16</v>
      </c>
      <c r="B20" s="8" t="s">
        <v>11</v>
      </c>
      <c r="C20" s="8" t="s">
        <v>12</v>
      </c>
      <c r="D20" s="8" t="s">
        <v>13</v>
      </c>
      <c r="E20" s="8" t="s">
        <v>14</v>
      </c>
      <c r="F20" s="9">
        <v>1</v>
      </c>
      <c r="G20" s="10"/>
      <c r="H20" s="10"/>
      <c r="I20" s="11">
        <f>H20/F20</f>
        <v>0</v>
      </c>
    </row>
    <row r="21" spans="1:9" ht="15.6" customHeight="1" x14ac:dyDescent="0.25">
      <c r="A21" s="7">
        <v>17</v>
      </c>
      <c r="B21" s="8" t="s">
        <v>138</v>
      </c>
      <c r="C21" s="8" t="s">
        <v>139</v>
      </c>
      <c r="D21" s="8" t="s">
        <v>96</v>
      </c>
      <c r="E21" s="8" t="s">
        <v>140</v>
      </c>
      <c r="F21" s="9">
        <v>1.3</v>
      </c>
      <c r="G21" s="10"/>
      <c r="H21" s="10"/>
      <c r="I21" s="11">
        <f t="shared" si="0"/>
        <v>0</v>
      </c>
    </row>
    <row r="22" spans="1:9" ht="16.8" customHeight="1" x14ac:dyDescent="0.25">
      <c r="A22" s="15" t="s">
        <v>154</v>
      </c>
      <c r="B22" s="15"/>
      <c r="C22" s="15"/>
      <c r="D22" s="15" t="s">
        <v>158</v>
      </c>
      <c r="E22" s="15"/>
      <c r="F22" s="12">
        <f>SUM(F5:F21)</f>
        <v>46.4</v>
      </c>
      <c r="G22" s="13"/>
      <c r="H22" s="12">
        <f>SUM(H5:H21)</f>
        <v>0</v>
      </c>
      <c r="I22" s="14">
        <f t="shared" si="0"/>
        <v>0</v>
      </c>
    </row>
  </sheetData>
  <mergeCells count="8">
    <mergeCell ref="F3:F4"/>
    <mergeCell ref="G3:G4"/>
    <mergeCell ref="H3:I3"/>
    <mergeCell ref="A22:C22"/>
    <mergeCell ref="D22:E22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4ACE-F913-4D82-8604-0A48D859D7E6}"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15</v>
      </c>
      <c r="C5" s="8" t="s">
        <v>16</v>
      </c>
      <c r="D5" s="8" t="s">
        <v>17</v>
      </c>
      <c r="E5" s="8" t="s">
        <v>18</v>
      </c>
      <c r="F5" s="9">
        <v>4.5</v>
      </c>
      <c r="G5" s="10"/>
      <c r="H5" s="10"/>
      <c r="I5" s="11">
        <f t="shared" ref="I5:I11" si="0">H5/F5</f>
        <v>0</v>
      </c>
    </row>
    <row r="6" spans="1:9" ht="15.6" customHeight="1" x14ac:dyDescent="0.25">
      <c r="A6" s="7">
        <v>2</v>
      </c>
      <c r="B6" s="8" t="s">
        <v>23</v>
      </c>
      <c r="C6" s="8" t="s">
        <v>22</v>
      </c>
      <c r="D6" s="8" t="s">
        <v>17</v>
      </c>
      <c r="E6" s="8" t="s">
        <v>22</v>
      </c>
      <c r="F6" s="9">
        <v>2.2000000000000002</v>
      </c>
      <c r="G6" s="10"/>
      <c r="H6" s="10"/>
      <c r="I6" s="11">
        <f t="shared" si="0"/>
        <v>0</v>
      </c>
    </row>
    <row r="7" spans="1:9" ht="15.6" customHeight="1" x14ac:dyDescent="0.25">
      <c r="A7" s="7">
        <v>3</v>
      </c>
      <c r="B7" s="8" t="s">
        <v>141</v>
      </c>
      <c r="C7" s="8" t="s">
        <v>142</v>
      </c>
      <c r="D7" s="8" t="s">
        <v>143</v>
      </c>
      <c r="E7" s="8" t="s">
        <v>144</v>
      </c>
      <c r="F7" s="9">
        <v>3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145</v>
      </c>
      <c r="C8" s="8" t="s">
        <v>146</v>
      </c>
      <c r="D8" s="8" t="s">
        <v>143</v>
      </c>
      <c r="E8" s="8" t="s">
        <v>147</v>
      </c>
      <c r="F8" s="9">
        <v>1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148</v>
      </c>
      <c r="C9" s="8" t="s">
        <v>149</v>
      </c>
      <c r="D9" s="8" t="s">
        <v>143</v>
      </c>
      <c r="E9" s="8" t="s">
        <v>150</v>
      </c>
      <c r="F9" s="9">
        <v>1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151</v>
      </c>
      <c r="C10" s="8" t="s">
        <v>152</v>
      </c>
      <c r="D10" s="8" t="s">
        <v>143</v>
      </c>
      <c r="E10" s="8" t="s">
        <v>153</v>
      </c>
      <c r="F10" s="9">
        <v>1</v>
      </c>
      <c r="G10" s="10"/>
      <c r="H10" s="10"/>
      <c r="I10" s="11">
        <f t="shared" si="0"/>
        <v>0</v>
      </c>
    </row>
    <row r="11" spans="1:9" ht="16.8" customHeight="1" x14ac:dyDescent="0.25">
      <c r="A11" s="15" t="s">
        <v>154</v>
      </c>
      <c r="B11" s="15"/>
      <c r="C11" s="15"/>
      <c r="D11" s="15" t="s">
        <v>157</v>
      </c>
      <c r="E11" s="15"/>
      <c r="F11" s="12">
        <f>SUM(F5:F10)</f>
        <v>12.7</v>
      </c>
      <c r="G11" s="13"/>
      <c r="H11" s="12">
        <f>SUM(H5:H10)</f>
        <v>0</v>
      </c>
      <c r="I11" s="14">
        <f t="shared" si="0"/>
        <v>0</v>
      </c>
    </row>
  </sheetData>
  <mergeCells count="8">
    <mergeCell ref="F3:F4"/>
    <mergeCell ref="G3:G4"/>
    <mergeCell ref="H3:I3"/>
    <mergeCell ref="A11:C11"/>
    <mergeCell ref="D11:E11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 Skrapar</vt:lpstr>
      <vt:lpstr>Rezervuar</vt:lpstr>
      <vt:lpstr>Stacion Pompimi</vt:lpstr>
      <vt:lpstr>Lume &amp; Kanal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2026-10-05T10:38:23Z</dcterms:created>
  <dcterms:modified xsi:type="dcterms:W3CDTF">2026-10-05T13:07:02Z</dcterms:modified>
</cp:coreProperties>
</file>