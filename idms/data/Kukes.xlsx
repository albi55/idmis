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DC574F23-C1FB-4161-86C3-EF5606F91F48}" xr6:coauthVersionLast="47" xr6:coauthVersionMax="47" xr10:uidLastSave="{00000000-0000-0000-0000-000000000000}"/>
  <bookViews>
    <workbookView xWindow="-28920" yWindow="-1470" windowWidth="29040" windowHeight="15720" activeTab="3" xr2:uid="{0F8BD418-F5F4-4EAA-82ED-4D52919DD6A4}"/>
  </bookViews>
  <sheets>
    <sheet name="Inv__Ujitjes_Kukes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4" l="1"/>
  <c r="F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3" i="3"/>
  <c r="F13" i="3"/>
  <c r="I12" i="3"/>
  <c r="I11" i="3"/>
  <c r="I10" i="3"/>
  <c r="I9" i="3"/>
  <c r="I8" i="3"/>
  <c r="I7" i="3"/>
  <c r="I6" i="3"/>
  <c r="I5" i="3"/>
  <c r="H11" i="2"/>
  <c r="F11" i="2"/>
  <c r="I10" i="2"/>
  <c r="I9" i="2"/>
  <c r="I8" i="2"/>
  <c r="I7" i="2"/>
  <c r="I6" i="2"/>
  <c r="I5" i="2"/>
  <c r="H32" i="1"/>
  <c r="I32" i="1" s="1"/>
  <c r="F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8" i="4" l="1"/>
  <c r="I13" i="3"/>
  <c r="I11" i="2"/>
</calcChain>
</file>

<file path=xl/sharedStrings.xml><?xml version="1.0" encoding="utf-8"?>
<sst xmlns="http://schemas.openxmlformats.org/spreadsheetml/2006/main" count="268" uniqueCount="74">
  <si>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</si>
  <si>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</si>
  <si>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</si>
  <si>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</si>
  <si>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</si>
  <si>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</si>
  <si>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</si>
  <si>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</si>
  <si>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</si>
  <si>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</si>
  <si>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</si>
  <si>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KUU - 1</t>
  </si>
  <si>
    <t>Kanali Uzines</t>
  </si>
  <si>
    <t>Lume Lumes</t>
  </si>
  <si>
    <t>KUU - 2</t>
  </si>
  <si>
    <t>Shishtavec reservoir</t>
  </si>
  <si>
    <t>Rezervuar</t>
  </si>
  <si>
    <t>KUU - 12</t>
  </si>
  <si>
    <t>Shtiqni kanal</t>
  </si>
  <si>
    <t>Lume</t>
  </si>
  <si>
    <t>KUU - 4</t>
  </si>
  <si>
    <t>Kolsh reservoir</t>
  </si>
  <si>
    <t>KUU - 17</t>
  </si>
  <si>
    <t>Sheje kanal</t>
  </si>
  <si>
    <t>KUU - 20</t>
  </si>
  <si>
    <t>Qinamake kanal</t>
  </si>
  <si>
    <t>KUU - 24</t>
  </si>
  <si>
    <t>Cernaleves kanal</t>
  </si>
  <si>
    <t>KUU - Pob</t>
  </si>
  <si>
    <t>Pobreg</t>
  </si>
  <si>
    <t>KUU - Bardh</t>
  </si>
  <si>
    <t>Bardhoc 1,2</t>
  </si>
  <si>
    <t>KUU - 3</t>
  </si>
  <si>
    <t>Voren reservoir</t>
  </si>
  <si>
    <t>KUU - 5</t>
  </si>
  <si>
    <t>Shtane reservoir</t>
  </si>
  <si>
    <t>KUU - 6</t>
  </si>
  <si>
    <t>Shtraze stacion pompimi</t>
  </si>
  <si>
    <t>Stp</t>
  </si>
  <si>
    <t>KUU - 7</t>
  </si>
  <si>
    <t>Borje stacion pompimi</t>
  </si>
  <si>
    <t>KUU - 8</t>
  </si>
  <si>
    <t>Perbreg stacion pompimi</t>
  </si>
  <si>
    <t>KUU - 9</t>
  </si>
  <si>
    <t>Dukagjin stacion pompimi</t>
  </si>
  <si>
    <t>KUU - 10</t>
  </si>
  <si>
    <t>Surraj stacion pompimi</t>
  </si>
  <si>
    <t>KUU - 11</t>
  </si>
  <si>
    <t>Caj - Vile kanal</t>
  </si>
  <si>
    <t>KUU - 13</t>
  </si>
  <si>
    <t>Perbreg - Morin kanal</t>
  </si>
  <si>
    <t>KUU - 14</t>
  </si>
  <si>
    <t>Fshat Resk kanal</t>
  </si>
  <si>
    <t>KUU - 15</t>
  </si>
  <si>
    <t>Borje - Orgjost kanal</t>
  </si>
  <si>
    <t>KUU - 16</t>
  </si>
  <si>
    <t>Koder Pece kanal</t>
  </si>
  <si>
    <t>KUU - 18</t>
  </si>
  <si>
    <t>Nange - Bushat kanal</t>
  </si>
  <si>
    <t>KUU - 19</t>
  </si>
  <si>
    <t>Borje Nimce kanal</t>
  </si>
  <si>
    <t>KUU - 21</t>
  </si>
  <si>
    <t>Surraj kanal</t>
  </si>
  <si>
    <t>KUU - 22</t>
  </si>
  <si>
    <t>Aliaj kanal</t>
  </si>
  <si>
    <t>KUU - 23</t>
  </si>
  <si>
    <t>Shtane kanal</t>
  </si>
  <si>
    <t>KUU - 25</t>
  </si>
  <si>
    <t>Radomire - Kalise kanal</t>
  </si>
  <si>
    <t>Total</t>
  </si>
  <si>
    <t>27 Skema</t>
  </si>
  <si>
    <t>6 Skema</t>
  </si>
  <si>
    <t>8 Skema</t>
  </si>
  <si>
    <t>13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</si>
</sst>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ADBA193-8BAB-4BE7-8E86-5F895A7F9D41}"/>
    <cellStyle name="Percent 3" xfId="2" xr:uid="{E4EF876B-AFD7-466E-897A-6A8DBEFD76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4EEE-848B-489B-B6AF-9EEBA3BC6A17}">
  <sheetPr codeName="Sheet34"/>
  <dimension ref="A1:I32"/>
  <sheetViews>
    <sheetView topLeftCell="A4" zoomScaleNormal="100" workbookViewId="0">
      <selection activeCell="D33" sqref="D3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17</v>
      </c>
      <c r="G5" s="18"/>
      <c r="H5" s="18"/>
      <c r="I5" s="19">
        <f t="shared" ref="I5:I3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14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8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16</v>
      </c>
      <c r="E8" s="16" t="s">
        <v>16</v>
      </c>
      <c r="F8" s="17">
        <v>4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19</v>
      </c>
      <c r="E9" s="16" t="s">
        <v>19</v>
      </c>
      <c r="F9" s="17">
        <v>3.5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19</v>
      </c>
      <c r="E10" s="16" t="s">
        <v>19</v>
      </c>
      <c r="F10" s="17">
        <v>11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19</v>
      </c>
      <c r="E11" s="16" t="s">
        <v>19</v>
      </c>
      <c r="F11" s="17">
        <v>4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5" t="s">
        <v>16</v>
      </c>
      <c r="E12" s="16" t="s">
        <v>16</v>
      </c>
      <c r="F12" s="17">
        <v>2.5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16</v>
      </c>
      <c r="E13" s="16" t="s">
        <v>16</v>
      </c>
      <c r="F13" s="17">
        <v>2.9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32</v>
      </c>
      <c r="C14" s="14" t="s">
        <v>33</v>
      </c>
      <c r="D14" s="15" t="s">
        <v>16</v>
      </c>
      <c r="E14" s="16" t="s">
        <v>16</v>
      </c>
      <c r="F14" s="17">
        <v>7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34</v>
      </c>
      <c r="C15" s="14" t="s">
        <v>35</v>
      </c>
      <c r="D15" s="15" t="s">
        <v>16</v>
      </c>
      <c r="E15" s="16" t="s">
        <v>16</v>
      </c>
      <c r="F15" s="17">
        <v>6.1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36</v>
      </c>
      <c r="C16" s="14" t="s">
        <v>37</v>
      </c>
      <c r="D16" s="15" t="s">
        <v>38</v>
      </c>
      <c r="E16" s="16" t="s">
        <v>38</v>
      </c>
      <c r="F16" s="17">
        <v>0</v>
      </c>
      <c r="G16" s="17"/>
      <c r="H16" s="17"/>
      <c r="I16" s="19" t="e">
        <f t="shared" si="0"/>
        <v>#DIV/0!</v>
      </c>
    </row>
    <row r="17" spans="1:9" ht="15.6" customHeight="1" x14ac:dyDescent="0.25">
      <c r="A17" s="13">
        <v>13</v>
      </c>
      <c r="B17" s="14" t="s">
        <v>39</v>
      </c>
      <c r="C17" s="14" t="s">
        <v>40</v>
      </c>
      <c r="D17" s="15" t="s">
        <v>38</v>
      </c>
      <c r="E17" s="16" t="s">
        <v>38</v>
      </c>
      <c r="F17" s="17">
        <v>2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41</v>
      </c>
      <c r="C18" s="14" t="s">
        <v>42</v>
      </c>
      <c r="D18" s="15" t="s">
        <v>38</v>
      </c>
      <c r="E18" s="16" t="s">
        <v>38</v>
      </c>
      <c r="F18" s="17">
        <v>16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43</v>
      </c>
      <c r="C19" s="14" t="s">
        <v>44</v>
      </c>
      <c r="D19" s="15" t="s">
        <v>38</v>
      </c>
      <c r="E19" s="16" t="s">
        <v>38</v>
      </c>
      <c r="F19" s="17">
        <v>4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45</v>
      </c>
      <c r="C20" s="14" t="s">
        <v>46</v>
      </c>
      <c r="D20" s="15" t="s">
        <v>38</v>
      </c>
      <c r="E20" s="16" t="s">
        <v>38</v>
      </c>
      <c r="F20" s="17">
        <v>9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47</v>
      </c>
      <c r="C21" s="14" t="s">
        <v>48</v>
      </c>
      <c r="D21" s="15" t="s">
        <v>19</v>
      </c>
      <c r="E21" s="16" t="s">
        <v>19</v>
      </c>
      <c r="F21" s="20">
        <v>68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49</v>
      </c>
      <c r="C22" s="14" t="s">
        <v>50</v>
      </c>
      <c r="D22" s="15" t="s">
        <v>38</v>
      </c>
      <c r="E22" s="16" t="s">
        <v>38</v>
      </c>
      <c r="F22" s="17">
        <v>15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51</v>
      </c>
      <c r="C23" s="14" t="s">
        <v>52</v>
      </c>
      <c r="D23" s="15" t="s">
        <v>19</v>
      </c>
      <c r="E23" s="16" t="s">
        <v>19</v>
      </c>
      <c r="F23" s="17">
        <v>15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53</v>
      </c>
      <c r="C24" s="14" t="s">
        <v>54</v>
      </c>
      <c r="D24" s="15" t="s">
        <v>38</v>
      </c>
      <c r="E24" s="16" t="s">
        <v>38</v>
      </c>
      <c r="F24" s="17">
        <v>2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55</v>
      </c>
      <c r="C25" s="14" t="s">
        <v>56</v>
      </c>
      <c r="D25" s="15" t="s">
        <v>19</v>
      </c>
      <c r="E25" s="16" t="s">
        <v>19</v>
      </c>
      <c r="F25" s="17">
        <v>5.7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57</v>
      </c>
      <c r="C26" s="14" t="s">
        <v>58</v>
      </c>
      <c r="D26" s="15" t="s">
        <v>19</v>
      </c>
      <c r="E26" s="16" t="s">
        <v>19</v>
      </c>
      <c r="F26" s="17">
        <v>3.8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59</v>
      </c>
      <c r="C27" s="14" t="s">
        <v>60</v>
      </c>
      <c r="D27" s="15" t="s">
        <v>19</v>
      </c>
      <c r="E27" s="16" t="s">
        <v>19</v>
      </c>
      <c r="F27" s="17">
        <v>8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61</v>
      </c>
      <c r="C28" s="14" t="s">
        <v>62</v>
      </c>
      <c r="D28" s="15" t="s">
        <v>38</v>
      </c>
      <c r="E28" s="16" t="s">
        <v>38</v>
      </c>
      <c r="F28" s="17">
        <v>3.4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63</v>
      </c>
      <c r="C29" s="14" t="s">
        <v>64</v>
      </c>
      <c r="D29" s="15" t="s">
        <v>19</v>
      </c>
      <c r="E29" s="16" t="s">
        <v>19</v>
      </c>
      <c r="F29" s="17">
        <v>11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65</v>
      </c>
      <c r="C30" s="14" t="s">
        <v>66</v>
      </c>
      <c r="D30" s="15" t="s">
        <v>19</v>
      </c>
      <c r="E30" s="16" t="s">
        <v>19</v>
      </c>
      <c r="F30" s="17">
        <v>5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67</v>
      </c>
      <c r="C31" s="14" t="s">
        <v>68</v>
      </c>
      <c r="D31" s="15" t="s">
        <v>19</v>
      </c>
      <c r="E31" s="16" t="s">
        <v>19</v>
      </c>
      <c r="F31" s="17">
        <v>22</v>
      </c>
      <c r="G31" s="18"/>
      <c r="H31" s="18"/>
      <c r="I31" s="19">
        <f>H31/F31</f>
        <v>0</v>
      </c>
    </row>
    <row r="32" spans="1:9" ht="16.8" customHeight="1" x14ac:dyDescent="0.25">
      <c r="A32" s="5" t="s">
        <v>69</v>
      </c>
      <c r="B32" s="5"/>
      <c r="C32" s="5"/>
      <c r="D32" s="5" t="s">
        <v>70</v>
      </c>
      <c r="E32" s="5"/>
      <c r="F32" s="21">
        <f>SUM(F5:F31)</f>
        <v>269.89999999999998</v>
      </c>
      <c r="G32" s="22"/>
      <c r="H32" s="21">
        <f>SUM(H5:H31)</f>
        <v>0</v>
      </c>
      <c r="I32" s="23">
        <f>H32/F32</f>
        <v>0</v>
      </c>
    </row>
  </sheetData>
  <mergeCells count="35">
    <mergeCell ref="D29:E29"/>
    <mergeCell ref="D30:E30"/>
    <mergeCell ref="D31:E31"/>
    <mergeCell ref="A32:C32"/>
    <mergeCell ref="D32:E32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98D9-8576-40A5-BA8B-979567FE17E0}">
  <sheetPr codeName="Sheet35"/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14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20</v>
      </c>
      <c r="C6" s="14" t="s">
        <v>21</v>
      </c>
      <c r="D6" s="15" t="s">
        <v>16</v>
      </c>
      <c r="E6" s="16" t="s">
        <v>16</v>
      </c>
      <c r="F6" s="17">
        <v>4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28</v>
      </c>
      <c r="C7" s="14" t="s">
        <v>29</v>
      </c>
      <c r="D7" s="15" t="s">
        <v>16</v>
      </c>
      <c r="E7" s="16" t="s">
        <v>16</v>
      </c>
      <c r="F7" s="17">
        <v>2.5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30</v>
      </c>
      <c r="C8" s="14" t="s">
        <v>31</v>
      </c>
      <c r="D8" s="15" t="s">
        <v>16</v>
      </c>
      <c r="E8" s="16" t="s">
        <v>16</v>
      </c>
      <c r="F8" s="17">
        <v>2.9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32</v>
      </c>
      <c r="C9" s="14" t="s">
        <v>33</v>
      </c>
      <c r="D9" s="15" t="s">
        <v>16</v>
      </c>
      <c r="E9" s="16" t="s">
        <v>16</v>
      </c>
      <c r="F9" s="17">
        <v>7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34</v>
      </c>
      <c r="C10" s="14" t="s">
        <v>35</v>
      </c>
      <c r="D10" s="15" t="s">
        <v>16</v>
      </c>
      <c r="E10" s="16" t="s">
        <v>16</v>
      </c>
      <c r="F10" s="17">
        <v>6.1</v>
      </c>
      <c r="G10" s="18"/>
      <c r="H10" s="18"/>
      <c r="I10" s="19">
        <f t="shared" si="0"/>
        <v>0</v>
      </c>
    </row>
    <row r="11" spans="1:9" ht="16.8" customHeight="1" x14ac:dyDescent="0.25">
      <c r="A11" s="5" t="s">
        <v>69</v>
      </c>
      <c r="B11" s="5"/>
      <c r="C11" s="5"/>
      <c r="D11" s="5" t="s">
        <v>71</v>
      </c>
      <c r="E11" s="5"/>
      <c r="F11" s="21">
        <f>SUM(F5:F10)</f>
        <v>36.5</v>
      </c>
      <c r="G11" s="22"/>
      <c r="H11" s="21">
        <f>SUM(H5:H10)</f>
        <v>0</v>
      </c>
      <c r="I11" s="23">
        <f>H11/F11</f>
        <v>0</v>
      </c>
    </row>
  </sheetData>
  <mergeCells count="14">
    <mergeCell ref="A11:C11"/>
    <mergeCell ref="D11:E11"/>
    <mergeCell ref="D7:E7"/>
    <mergeCell ref="D8:E8"/>
    <mergeCell ref="D9:E9"/>
    <mergeCell ref="D10:E10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467B-B847-4223-A51A-88E9515B1C17}">
  <sheetPr codeName="Sheet36"/>
  <dimension ref="A1:I13"/>
  <sheetViews>
    <sheetView zoomScaleNormal="100" workbookViewId="0">
      <selection activeCell="D14" sqref="D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36</v>
      </c>
      <c r="C5" s="14" t="s">
        <v>37</v>
      </c>
      <c r="D5" s="15" t="s">
        <v>38</v>
      </c>
      <c r="E5" s="16" t="s">
        <v>38</v>
      </c>
      <c r="F5" s="17">
        <v>0</v>
      </c>
      <c r="G5" s="17"/>
      <c r="H5" s="17"/>
      <c r="I5" s="19" t="e">
        <f t="shared" ref="I5:I12" si="0">H5/F5</f>
        <v>#DIV/0!</v>
      </c>
    </row>
    <row r="6" spans="1:9" ht="15.6" customHeight="1" x14ac:dyDescent="0.25">
      <c r="A6" s="13">
        <v>2</v>
      </c>
      <c r="B6" s="14" t="s">
        <v>39</v>
      </c>
      <c r="C6" s="14" t="s">
        <v>40</v>
      </c>
      <c r="D6" s="15" t="s">
        <v>38</v>
      </c>
      <c r="E6" s="16" t="s">
        <v>38</v>
      </c>
      <c r="F6" s="17">
        <v>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41</v>
      </c>
      <c r="C7" s="14" t="s">
        <v>42</v>
      </c>
      <c r="D7" s="15" t="s">
        <v>38</v>
      </c>
      <c r="E7" s="16" t="s">
        <v>38</v>
      </c>
      <c r="F7" s="17">
        <v>16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43</v>
      </c>
      <c r="C8" s="14" t="s">
        <v>44</v>
      </c>
      <c r="D8" s="15" t="s">
        <v>38</v>
      </c>
      <c r="E8" s="16" t="s">
        <v>38</v>
      </c>
      <c r="F8" s="17">
        <v>4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45</v>
      </c>
      <c r="C9" s="14" t="s">
        <v>46</v>
      </c>
      <c r="D9" s="15" t="s">
        <v>38</v>
      </c>
      <c r="E9" s="16" t="s">
        <v>38</v>
      </c>
      <c r="F9" s="17">
        <v>9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49</v>
      </c>
      <c r="C10" s="14" t="s">
        <v>50</v>
      </c>
      <c r="D10" s="15" t="s">
        <v>38</v>
      </c>
      <c r="E10" s="16" t="s">
        <v>38</v>
      </c>
      <c r="F10" s="17">
        <v>15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53</v>
      </c>
      <c r="C11" s="14" t="s">
        <v>54</v>
      </c>
      <c r="D11" s="15" t="s">
        <v>38</v>
      </c>
      <c r="E11" s="16" t="s">
        <v>38</v>
      </c>
      <c r="F11" s="17">
        <v>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61</v>
      </c>
      <c r="C12" s="14" t="s">
        <v>62</v>
      </c>
      <c r="D12" s="15" t="s">
        <v>38</v>
      </c>
      <c r="E12" s="16" t="s">
        <v>38</v>
      </c>
      <c r="F12" s="17">
        <v>3.4</v>
      </c>
      <c r="G12" s="18"/>
      <c r="H12" s="18"/>
      <c r="I12" s="19">
        <f t="shared" si="0"/>
        <v>0</v>
      </c>
    </row>
    <row r="13" spans="1:9" ht="16.8" customHeight="1" x14ac:dyDescent="0.25">
      <c r="A13" s="5" t="s">
        <v>69</v>
      </c>
      <c r="B13" s="5"/>
      <c r="C13" s="5"/>
      <c r="D13" s="5" t="s">
        <v>72</v>
      </c>
      <c r="E13" s="5"/>
      <c r="F13" s="21">
        <f>SUM(F5:F12)</f>
        <v>51.4</v>
      </c>
      <c r="G13" s="22"/>
      <c r="H13" s="21">
        <f>SUM(H5:H12)</f>
        <v>0</v>
      </c>
      <c r="I13" s="23">
        <f>H13/F13</f>
        <v>0</v>
      </c>
    </row>
  </sheetData>
  <mergeCells count="16">
    <mergeCell ref="A13:C13"/>
    <mergeCell ref="D13:E13"/>
    <mergeCell ref="D11:E11"/>
    <mergeCell ref="D12:E12"/>
    <mergeCell ref="D6:E6"/>
    <mergeCell ref="D7:E7"/>
    <mergeCell ref="D8:E8"/>
    <mergeCell ref="D9:E9"/>
    <mergeCell ref="D10:E10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A2E6-7FFC-4F41-93B7-6318DD851220}">
  <sheetPr codeName="Sheet37"/>
  <dimension ref="A1:I18"/>
  <sheetViews>
    <sheetView tabSelected="1" zoomScaleNormal="100" workbookViewId="0">
      <selection activeCell="D19" sqref="D1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17</v>
      </c>
      <c r="G5" s="18"/>
      <c r="H5" s="18"/>
      <c r="I5" s="19">
        <f t="shared" ref="I5:I16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19</v>
      </c>
      <c r="E6" s="16" t="s">
        <v>19</v>
      </c>
      <c r="F6" s="17">
        <v>8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22</v>
      </c>
      <c r="C7" s="14" t="s">
        <v>23</v>
      </c>
      <c r="D7" s="15" t="s">
        <v>19</v>
      </c>
      <c r="E7" s="16" t="s">
        <v>19</v>
      </c>
      <c r="F7" s="17">
        <v>3.5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24</v>
      </c>
      <c r="C8" s="14" t="s">
        <v>25</v>
      </c>
      <c r="D8" s="15" t="s">
        <v>19</v>
      </c>
      <c r="E8" s="16" t="s">
        <v>19</v>
      </c>
      <c r="F8" s="17">
        <v>11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26</v>
      </c>
      <c r="C9" s="14" t="s">
        <v>27</v>
      </c>
      <c r="D9" s="15" t="s">
        <v>19</v>
      </c>
      <c r="E9" s="16" t="s">
        <v>19</v>
      </c>
      <c r="F9" s="17">
        <v>4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47</v>
      </c>
      <c r="C10" s="14" t="s">
        <v>48</v>
      </c>
      <c r="D10" s="15" t="s">
        <v>19</v>
      </c>
      <c r="E10" s="16" t="s">
        <v>19</v>
      </c>
      <c r="F10" s="20">
        <v>68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51</v>
      </c>
      <c r="C11" s="14" t="s">
        <v>52</v>
      </c>
      <c r="D11" s="15" t="s">
        <v>19</v>
      </c>
      <c r="E11" s="16" t="s">
        <v>19</v>
      </c>
      <c r="F11" s="17">
        <v>15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55</v>
      </c>
      <c r="C12" s="14" t="s">
        <v>56</v>
      </c>
      <c r="D12" s="15" t="s">
        <v>19</v>
      </c>
      <c r="E12" s="16" t="s">
        <v>19</v>
      </c>
      <c r="F12" s="17">
        <v>5.7</v>
      </c>
      <c r="G12" s="17"/>
      <c r="H12" s="17"/>
      <c r="I12" s="19">
        <f t="shared" si="0"/>
        <v>0</v>
      </c>
    </row>
    <row r="13" spans="1:9" ht="15.6" customHeight="1" x14ac:dyDescent="0.25">
      <c r="A13" s="13">
        <v>9</v>
      </c>
      <c r="B13" s="14" t="s">
        <v>57</v>
      </c>
      <c r="C13" s="14" t="s">
        <v>58</v>
      </c>
      <c r="D13" s="15" t="s">
        <v>19</v>
      </c>
      <c r="E13" s="16" t="s">
        <v>19</v>
      </c>
      <c r="F13" s="17">
        <v>3.8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59</v>
      </c>
      <c r="C14" s="14" t="s">
        <v>60</v>
      </c>
      <c r="D14" s="15" t="s">
        <v>19</v>
      </c>
      <c r="E14" s="16" t="s">
        <v>19</v>
      </c>
      <c r="F14" s="17">
        <v>8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63</v>
      </c>
      <c r="C15" s="14" t="s">
        <v>64</v>
      </c>
      <c r="D15" s="15" t="s">
        <v>19</v>
      </c>
      <c r="E15" s="16" t="s">
        <v>19</v>
      </c>
      <c r="F15" s="17">
        <v>11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65</v>
      </c>
      <c r="C16" s="14" t="s">
        <v>66</v>
      </c>
      <c r="D16" s="15" t="s">
        <v>19</v>
      </c>
      <c r="E16" s="16" t="s">
        <v>19</v>
      </c>
      <c r="F16" s="17">
        <v>5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67</v>
      </c>
      <c r="C17" s="14" t="s">
        <v>68</v>
      </c>
      <c r="D17" s="15" t="s">
        <v>19</v>
      </c>
      <c r="E17" s="16" t="s">
        <v>19</v>
      </c>
      <c r="F17" s="17">
        <v>22</v>
      </c>
      <c r="G17" s="18"/>
      <c r="H17" s="18"/>
      <c r="I17" s="19">
        <f>H17/F17</f>
        <v>0</v>
      </c>
    </row>
    <row r="18" spans="1:9" ht="16.8" customHeight="1" x14ac:dyDescent="0.25">
      <c r="A18" s="5" t="s">
        <v>69</v>
      </c>
      <c r="B18" s="5"/>
      <c r="C18" s="5"/>
      <c r="D18" s="5" t="s">
        <v>73</v>
      </c>
      <c r="E18" s="5"/>
      <c r="F18" s="21">
        <f>SUM(F5:F17)</f>
        <v>182</v>
      </c>
      <c r="G18" s="22"/>
      <c r="H18" s="21">
        <f>SUM(H5:H17)</f>
        <v>0</v>
      </c>
      <c r="I18" s="23">
        <f>H18/F18</f>
        <v>0</v>
      </c>
    </row>
  </sheetData>
  <mergeCells count="21">
    <mergeCell ref="D15:E15"/>
    <mergeCell ref="D16:E16"/>
    <mergeCell ref="D17:E17"/>
    <mergeCell ref="A18:C18"/>
    <mergeCell ref="D18:E18"/>
    <mergeCell ref="D11:E11"/>
    <mergeCell ref="D12:E12"/>
    <mergeCell ref="D13:E13"/>
    <mergeCell ref="D14:E14"/>
    <mergeCell ref="D10:E10"/>
    <mergeCell ref="D9:E9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Inv__Ujitjes_Kukes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2026-10-06T13:07:18Z</dcterms:created>
  <dcterms:modified xsi:type="dcterms:W3CDTF">2026-10-06T13:10:02Z</dcterms:modified>
</cp:coreProperties>
</file>