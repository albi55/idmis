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373E5A7-53E2-48D7-84D5-757876BAF06C}" xr6:coauthVersionLast="47" xr6:coauthVersionMax="47" xr10:uidLastSave="{00000000-0000-0000-0000-000000000000}"/>
  <bookViews>
    <workbookView xWindow="-28920" yWindow="-1470" windowWidth="29040" windowHeight="15720" activeTab="3" xr2:uid="{557AAB23-D753-4645-8CCB-1C9EE5202AE5}"/>
  </bookViews>
  <sheets>
    <sheet name="Inv__Ujitjes_Pogradec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4" l="1"/>
  <c r="F8" i="4"/>
  <c r="I7" i="4"/>
  <c r="I6" i="4"/>
  <c r="I5" i="4"/>
  <c r="H22" i="3"/>
  <c r="F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25" i="2"/>
  <c r="F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45" i="1"/>
  <c r="I45" i="1" s="1"/>
  <c r="F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8" i="4" l="1"/>
  <c r="I22" i="3"/>
  <c r="I25" i="2"/>
</calcChain>
</file>

<file path=xl/sharedStrings.xml><?xml version="1.0" encoding="utf-8"?>
<sst xmlns="http://schemas.openxmlformats.org/spreadsheetml/2006/main" count="336" uniqueCount="115">
  <si>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</si>
  <si>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</si>
  <si>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</si>
  <si>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</si>
  <si>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</si>
  <si>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</si>
  <si>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</si>
  <si>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</si>
  <si>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</si>
  <si>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</si>
  <si>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</si>
  <si>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PGU - 17</t>
  </si>
  <si>
    <t>Grunjas Reservoir</t>
  </si>
  <si>
    <t>Rezervuar ( Vercun )</t>
  </si>
  <si>
    <t>PGU - 1</t>
  </si>
  <si>
    <t>Fusha e Staroves</t>
  </si>
  <si>
    <t>ReLume Stropcke + stp</t>
  </si>
  <si>
    <t>PGU - 10</t>
  </si>
  <si>
    <t>Grabovice Reservoir</t>
  </si>
  <si>
    <t>Rezervuar ( Grabovice )</t>
  </si>
  <si>
    <t>PGU - 14</t>
  </si>
  <si>
    <t>Kori - Vakefit Reservoir</t>
  </si>
  <si>
    <t>Rezervuar ( Kori )</t>
  </si>
  <si>
    <t>PGU - 15</t>
  </si>
  <si>
    <t>Pretush Reservoir</t>
  </si>
  <si>
    <t>Rezervuar ( Petrush )</t>
  </si>
  <si>
    <t>PGU - 9</t>
  </si>
  <si>
    <t>Stropck Vjeter</t>
  </si>
  <si>
    <t>Rezervuar ( Stropck )</t>
  </si>
  <si>
    <t>PGU - 22</t>
  </si>
  <si>
    <t>Mujazave Reservoir</t>
  </si>
  <si>
    <t>Rezervuar ( Mujazave )</t>
  </si>
  <si>
    <t>PGU - 8</t>
  </si>
  <si>
    <t>Plloce Reservoir</t>
  </si>
  <si>
    <t>Rezervuar ( Plloce )</t>
  </si>
  <si>
    <t>PGU - 19</t>
  </si>
  <si>
    <t>Hykollare</t>
  </si>
  <si>
    <t>Rezervuar ( Hykollare )</t>
  </si>
  <si>
    <t>PGU - 11</t>
  </si>
  <si>
    <t>Pusi Reservoir</t>
  </si>
  <si>
    <t>Rezervuar ( Pusi )</t>
  </si>
  <si>
    <t>PGU - 20</t>
  </si>
  <si>
    <t>Vasidol</t>
  </si>
  <si>
    <t>Rezervuar. ( Vasi )</t>
  </si>
  <si>
    <t>PGU - 23</t>
  </si>
  <si>
    <t>Maline Reservoir</t>
  </si>
  <si>
    <t>Rezervuar ( Maline )</t>
  </si>
  <si>
    <t>PGU - 16</t>
  </si>
  <si>
    <t>Pretush - Fshat</t>
  </si>
  <si>
    <t>Rezervuar ( Pretush )</t>
  </si>
  <si>
    <t>PGU - 2</t>
  </si>
  <si>
    <t>Qaf - Thana Reservoir</t>
  </si>
  <si>
    <t>Rezervuar ( Thana )</t>
  </si>
  <si>
    <t>PGU - 3</t>
  </si>
  <si>
    <t>Lin stacion pompimi 1</t>
  </si>
  <si>
    <t>Lake</t>
  </si>
  <si>
    <t>PGU - 4</t>
  </si>
  <si>
    <t>Lin stacion pompimi 2</t>
  </si>
  <si>
    <t>PGU - 5</t>
  </si>
  <si>
    <t>Hudenisht stacion pompimi</t>
  </si>
  <si>
    <t>PGU - 6</t>
  </si>
  <si>
    <t>Memelisht stacion pompimi</t>
  </si>
  <si>
    <t>PGU - 12</t>
  </si>
  <si>
    <t>Pallash Reservoir</t>
  </si>
  <si>
    <t>Rezervuar ( Pallash )</t>
  </si>
  <si>
    <t>PGU - 13</t>
  </si>
  <si>
    <t>Luadhi Celo</t>
  </si>
  <si>
    <t xml:space="preserve">Rezervuar </t>
  </si>
  <si>
    <t>PGU - 21</t>
  </si>
  <si>
    <t>Jame - Omezh</t>
  </si>
  <si>
    <t>Rezervuar ( Jame )</t>
  </si>
  <si>
    <t>PGU - 24</t>
  </si>
  <si>
    <t>Verri stacion pompimi</t>
  </si>
  <si>
    <t xml:space="preserve">Lume </t>
  </si>
  <si>
    <t>PGU - 25</t>
  </si>
  <si>
    <t>Krickove stacion pompimi</t>
  </si>
  <si>
    <t>Lume</t>
  </si>
  <si>
    <t>PGU - 26</t>
  </si>
  <si>
    <t>Zall Tore stacion pompimi</t>
  </si>
  <si>
    <t>PGU - 27</t>
  </si>
  <si>
    <t>Slabinje stacion pompimi</t>
  </si>
  <si>
    <t>PGU - 28</t>
  </si>
  <si>
    <t xml:space="preserve">Golik stacion pompimi </t>
  </si>
  <si>
    <t>PGU - 29</t>
  </si>
  <si>
    <t>Guri - Nikes kanal</t>
  </si>
  <si>
    <t>PGU - 30</t>
  </si>
  <si>
    <t>Katjel - Rodokal kanal</t>
  </si>
  <si>
    <t>Rezervuar</t>
  </si>
  <si>
    <t>PGU - 31</t>
  </si>
  <si>
    <t>Central kanal</t>
  </si>
  <si>
    <t>PGU - 32</t>
  </si>
  <si>
    <t>Selce e poshtme</t>
  </si>
  <si>
    <t>PGU - 33</t>
  </si>
  <si>
    <t>Grabovice St.pomp</t>
  </si>
  <si>
    <t>PGU - 34</t>
  </si>
  <si>
    <t>Blace 1+2 st.pomp</t>
  </si>
  <si>
    <t>PGU - 35</t>
  </si>
  <si>
    <t>Gurras st.pomp</t>
  </si>
  <si>
    <t>PGU - 36</t>
  </si>
  <si>
    <t>PGU - 37</t>
  </si>
  <si>
    <t>Pogradec st.pomp</t>
  </si>
  <si>
    <t>PGU - 38</t>
  </si>
  <si>
    <t>PGU - 39</t>
  </si>
  <si>
    <t>Grunjas st.pomp</t>
  </si>
  <si>
    <t>PGU - 40</t>
  </si>
  <si>
    <t>Skema individuale kooperativa</t>
  </si>
  <si>
    <t>PGU - 18</t>
  </si>
  <si>
    <t>Frangovisht</t>
  </si>
  <si>
    <t>Rezervuar ( Frangovisht )</t>
  </si>
  <si>
    <t>PGU - 7</t>
  </si>
  <si>
    <t>Stropck Re</t>
  </si>
  <si>
    <t>Total</t>
  </si>
  <si>
    <t>40 Skema</t>
  </si>
  <si>
    <t>20 Skema</t>
  </si>
  <si>
    <t>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</si>
</sst>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75A41FF-8E9D-4AC4-AC8A-3879943D3D3C}"/>
    <cellStyle name="Percent 2" xfId="2" xr:uid="{11FA7844-69CF-4734-B7D1-56AD9A1AD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AFAD-CECA-40D5-90B2-0812CE9AAE4F}">
  <sheetPr codeName="Sheet32"/>
  <dimension ref="A1:I45"/>
  <sheetViews>
    <sheetView topLeftCell="A13" zoomScaleNormal="100" workbookViewId="0">
      <selection activeCell="K41" sqref="K4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10</v>
      </c>
      <c r="G5" s="18"/>
      <c r="H5" s="18"/>
      <c r="I5" s="19">
        <f t="shared" ref="I5:I4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30.5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20.8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3.5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7">
        <v>3.6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7">
        <v>25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7">
        <v>0.6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37</v>
      </c>
      <c r="E13" s="16" t="s">
        <v>37</v>
      </c>
      <c r="F13" s="17">
        <v>0</v>
      </c>
      <c r="G13" s="17"/>
      <c r="H13" s="17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40</v>
      </c>
      <c r="E14" s="16" t="s">
        <v>40</v>
      </c>
      <c r="F14" s="17">
        <v>1.5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41</v>
      </c>
      <c r="C15" s="14" t="s">
        <v>42</v>
      </c>
      <c r="D15" s="15" t="s">
        <v>43</v>
      </c>
      <c r="E15" s="16" t="s">
        <v>43</v>
      </c>
      <c r="F15" s="17">
        <v>4.5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44</v>
      </c>
      <c r="C16" s="14" t="s">
        <v>45</v>
      </c>
      <c r="D16" s="15" t="s">
        <v>46</v>
      </c>
      <c r="E16" s="16" t="s">
        <v>46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47</v>
      </c>
      <c r="C17" s="14" t="s">
        <v>48</v>
      </c>
      <c r="D17" s="15" t="s">
        <v>49</v>
      </c>
      <c r="E17" s="16" t="s">
        <v>49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50</v>
      </c>
      <c r="C18" s="14" t="s">
        <v>51</v>
      </c>
      <c r="D18" s="15" t="s">
        <v>52</v>
      </c>
      <c r="E18" s="16" t="s">
        <v>52</v>
      </c>
      <c r="F18" s="17">
        <v>3.2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53</v>
      </c>
      <c r="C19" s="14" t="s">
        <v>54</v>
      </c>
      <c r="D19" s="15" t="s">
        <v>55</v>
      </c>
      <c r="E19" s="16" t="s">
        <v>55</v>
      </c>
      <c r="F19" s="17">
        <v>6.5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56</v>
      </c>
      <c r="C20" s="14" t="s">
        <v>57</v>
      </c>
      <c r="D20" s="15" t="s">
        <v>55</v>
      </c>
      <c r="E20" s="16" t="s">
        <v>55</v>
      </c>
      <c r="F20" s="17">
        <v>10.5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58</v>
      </c>
      <c r="C21" s="14" t="s">
        <v>59</v>
      </c>
      <c r="D21" s="15" t="s">
        <v>55</v>
      </c>
      <c r="E21" s="16" t="s">
        <v>55</v>
      </c>
      <c r="F21" s="17">
        <v>1.1000000000000001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60</v>
      </c>
      <c r="C22" s="14" t="s">
        <v>61</v>
      </c>
      <c r="D22" s="15" t="s">
        <v>55</v>
      </c>
      <c r="E22" s="16" t="s">
        <v>55</v>
      </c>
      <c r="F22" s="17">
        <v>5.6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62</v>
      </c>
      <c r="C23" s="14" t="s">
        <v>63</v>
      </c>
      <c r="D23" s="15" t="s">
        <v>64</v>
      </c>
      <c r="E23" s="16" t="s">
        <v>64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65</v>
      </c>
      <c r="C24" s="14" t="s">
        <v>66</v>
      </c>
      <c r="D24" s="15" t="s">
        <v>67</v>
      </c>
      <c r="E24" s="16" t="s">
        <v>67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68</v>
      </c>
      <c r="C25" s="14" t="s">
        <v>69</v>
      </c>
      <c r="D25" s="15" t="s">
        <v>70</v>
      </c>
      <c r="E25" s="16" t="s">
        <v>70</v>
      </c>
      <c r="F25" s="17">
        <v>3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71</v>
      </c>
      <c r="C26" s="14" t="s">
        <v>72</v>
      </c>
      <c r="D26" s="15" t="s">
        <v>73</v>
      </c>
      <c r="E26" s="16" t="s">
        <v>73</v>
      </c>
      <c r="F26" s="17">
        <v>6.2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74</v>
      </c>
      <c r="C27" s="14" t="s">
        <v>75</v>
      </c>
      <c r="D27" s="15" t="s">
        <v>76</v>
      </c>
      <c r="E27" s="16" t="s">
        <v>76</v>
      </c>
      <c r="F27" s="17">
        <v>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77</v>
      </c>
      <c r="C28" s="14" t="s">
        <v>78</v>
      </c>
      <c r="D28" s="15" t="s">
        <v>76</v>
      </c>
      <c r="E28" s="16" t="s">
        <v>76</v>
      </c>
      <c r="F28" s="17">
        <v>6.5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79</v>
      </c>
      <c r="C29" s="14" t="s">
        <v>80</v>
      </c>
      <c r="D29" s="15" t="s">
        <v>76</v>
      </c>
      <c r="E29" s="16" t="s">
        <v>76</v>
      </c>
      <c r="F29" s="17">
        <v>18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81</v>
      </c>
      <c r="C30" s="14" t="s">
        <v>82</v>
      </c>
      <c r="D30" s="15" t="s">
        <v>76</v>
      </c>
      <c r="E30" s="16" t="s">
        <v>76</v>
      </c>
      <c r="F30" s="17">
        <v>1.3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83</v>
      </c>
      <c r="C31" s="14" t="s">
        <v>84</v>
      </c>
      <c r="D31" s="15" t="s">
        <v>76</v>
      </c>
      <c r="E31" s="16" t="s">
        <v>76</v>
      </c>
      <c r="F31" s="17">
        <v>0</v>
      </c>
      <c r="G31" s="18"/>
      <c r="H31" s="18"/>
      <c r="I31" s="19" t="e">
        <f t="shared" si="0"/>
        <v>#DIV/0!</v>
      </c>
    </row>
    <row r="32" spans="1:9" ht="15.6" customHeight="1" x14ac:dyDescent="0.25">
      <c r="A32" s="13">
        <v>28</v>
      </c>
      <c r="B32" s="14" t="s">
        <v>85</v>
      </c>
      <c r="C32" s="14" t="s">
        <v>86</v>
      </c>
      <c r="D32" s="15" t="s">
        <v>87</v>
      </c>
      <c r="E32" s="16" t="s">
        <v>87</v>
      </c>
      <c r="F32" s="17">
        <v>0</v>
      </c>
      <c r="G32" s="18"/>
      <c r="H32" s="18"/>
      <c r="I32" s="19" t="e">
        <f t="shared" si="0"/>
        <v>#DIV/0!</v>
      </c>
    </row>
    <row r="33" spans="1:9" ht="15.6" customHeight="1" x14ac:dyDescent="0.25">
      <c r="A33" s="13">
        <v>29</v>
      </c>
      <c r="B33" s="14" t="s">
        <v>88</v>
      </c>
      <c r="C33" s="14" t="s">
        <v>89</v>
      </c>
      <c r="D33" s="15" t="s">
        <v>76</v>
      </c>
      <c r="E33" s="16" t="s">
        <v>76</v>
      </c>
      <c r="F33" s="17">
        <v>0</v>
      </c>
      <c r="G33" s="18"/>
      <c r="H33" s="18"/>
      <c r="I33" s="19" t="e">
        <f t="shared" si="0"/>
        <v>#DIV/0!</v>
      </c>
    </row>
    <row r="34" spans="1:9" ht="15.6" customHeight="1" x14ac:dyDescent="0.25">
      <c r="A34" s="13">
        <v>30</v>
      </c>
      <c r="B34" s="14" t="s">
        <v>90</v>
      </c>
      <c r="C34" s="14" t="s">
        <v>91</v>
      </c>
      <c r="D34" s="15"/>
      <c r="E34" s="16"/>
      <c r="F34" s="17">
        <v>1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92</v>
      </c>
      <c r="C35" s="14" t="s">
        <v>93</v>
      </c>
      <c r="D35" s="15"/>
      <c r="E35" s="16"/>
      <c r="F35" s="17">
        <v>5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94</v>
      </c>
      <c r="C36" s="14" t="s">
        <v>95</v>
      </c>
      <c r="D36" s="15"/>
      <c r="E36" s="16"/>
      <c r="F36" s="17">
        <v>0</v>
      </c>
      <c r="G36" s="18"/>
      <c r="H36" s="18"/>
      <c r="I36" s="19" t="e">
        <f t="shared" si="0"/>
        <v>#DIV/0!</v>
      </c>
    </row>
    <row r="37" spans="1:9" ht="15.6" customHeight="1" x14ac:dyDescent="0.25">
      <c r="A37" s="13">
        <v>33</v>
      </c>
      <c r="B37" s="14" t="s">
        <v>96</v>
      </c>
      <c r="C37" s="14" t="s">
        <v>97</v>
      </c>
      <c r="D37" s="15"/>
      <c r="E37" s="16"/>
      <c r="F37" s="17">
        <v>10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98</v>
      </c>
      <c r="C38" s="14" t="s">
        <v>97</v>
      </c>
      <c r="D38" s="15"/>
      <c r="E38" s="16"/>
      <c r="F38" s="17">
        <v>4.3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99</v>
      </c>
      <c r="C39" s="14" t="s">
        <v>100</v>
      </c>
      <c r="D39" s="15"/>
      <c r="E39" s="16"/>
      <c r="F39" s="17">
        <v>12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101</v>
      </c>
      <c r="C40" s="14" t="s">
        <v>100</v>
      </c>
      <c r="D40" s="15"/>
      <c r="E40" s="16"/>
      <c r="F40" s="17">
        <v>0</v>
      </c>
      <c r="G40" s="18"/>
      <c r="H40" s="18"/>
      <c r="I40" s="19" t="e">
        <f t="shared" si="0"/>
        <v>#DIV/0!</v>
      </c>
    </row>
    <row r="41" spans="1:9" ht="15.6" customHeight="1" x14ac:dyDescent="0.25">
      <c r="A41" s="13">
        <v>37</v>
      </c>
      <c r="B41" s="14" t="s">
        <v>102</v>
      </c>
      <c r="C41" s="14" t="s">
        <v>103</v>
      </c>
      <c r="D41" s="15"/>
      <c r="E41" s="16"/>
      <c r="F41" s="17">
        <v>5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104</v>
      </c>
      <c r="C42" s="14" t="s">
        <v>105</v>
      </c>
      <c r="D42" s="15"/>
      <c r="E42" s="16"/>
      <c r="F42" s="17">
        <v>0</v>
      </c>
      <c r="G42" s="18"/>
      <c r="H42" s="18"/>
      <c r="I42" s="19" t="e">
        <f t="shared" si="0"/>
        <v>#DIV/0!</v>
      </c>
    </row>
    <row r="43" spans="1:9" ht="15.6" customHeight="1" x14ac:dyDescent="0.25">
      <c r="A43" s="13">
        <v>39</v>
      </c>
      <c r="B43" s="14" t="s">
        <v>106</v>
      </c>
      <c r="C43" s="14" t="s">
        <v>107</v>
      </c>
      <c r="D43" s="15" t="s">
        <v>108</v>
      </c>
      <c r="E43" s="16" t="s">
        <v>108</v>
      </c>
      <c r="F43" s="17">
        <v>32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109</v>
      </c>
      <c r="C44" s="14" t="s">
        <v>110</v>
      </c>
      <c r="D44" s="15" t="s">
        <v>28</v>
      </c>
      <c r="E44" s="16" t="s">
        <v>28</v>
      </c>
      <c r="F44" s="17">
        <v>25</v>
      </c>
      <c r="G44" s="18"/>
      <c r="H44" s="18"/>
      <c r="I44" s="19">
        <f>H44/F44</f>
        <v>0</v>
      </c>
    </row>
    <row r="45" spans="1:9" ht="16.8" customHeight="1" x14ac:dyDescent="0.25">
      <c r="A45" s="5" t="s">
        <v>111</v>
      </c>
      <c r="B45" s="5"/>
      <c r="C45" s="5"/>
      <c r="D45" s="5" t="s">
        <v>112</v>
      </c>
      <c r="E45" s="5"/>
      <c r="F45" s="20">
        <f>SUM(F5:F44)</f>
        <v>261.2</v>
      </c>
      <c r="G45" s="21"/>
      <c r="H45" s="20">
        <f>SUM(H5:H44)</f>
        <v>0</v>
      </c>
      <c r="I45" s="22">
        <f>H45/F45</f>
        <v>0</v>
      </c>
    </row>
  </sheetData>
  <mergeCells count="48">
    <mergeCell ref="D41:E41"/>
    <mergeCell ref="D42:E42"/>
    <mergeCell ref="D43:E43"/>
    <mergeCell ref="D44:E44"/>
    <mergeCell ref="A45:C45"/>
    <mergeCell ref="D45:E45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2BAB-854F-4ACB-81EB-F9FDF6748593}">
  <sheetPr codeName="Sheet33"/>
  <dimension ref="A1:I25"/>
  <sheetViews>
    <sheetView zoomScaleNormal="100" workbookViewId="0">
      <selection activeCell="D26" sqref="D2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10</v>
      </c>
      <c r="G5" s="18"/>
      <c r="H5" s="18"/>
      <c r="I5" s="19">
        <f t="shared" ref="I5:I2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30.5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20.8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3.5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7">
        <v>3.6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7">
        <v>25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7">
        <v>0.6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37</v>
      </c>
      <c r="E13" s="16" t="s">
        <v>37</v>
      </c>
      <c r="F13" s="17">
        <v>0</v>
      </c>
      <c r="G13" s="17"/>
      <c r="H13" s="17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40</v>
      </c>
      <c r="E14" s="16" t="s">
        <v>40</v>
      </c>
      <c r="F14" s="17">
        <v>1.5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41</v>
      </c>
      <c r="C15" s="14" t="s">
        <v>42</v>
      </c>
      <c r="D15" s="15" t="s">
        <v>43</v>
      </c>
      <c r="E15" s="16" t="s">
        <v>43</v>
      </c>
      <c r="F15" s="17">
        <v>4.5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44</v>
      </c>
      <c r="C16" s="14" t="s">
        <v>45</v>
      </c>
      <c r="D16" s="15" t="s">
        <v>46</v>
      </c>
      <c r="E16" s="16" t="s">
        <v>46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47</v>
      </c>
      <c r="C17" s="14" t="s">
        <v>48</v>
      </c>
      <c r="D17" s="15" t="s">
        <v>49</v>
      </c>
      <c r="E17" s="16" t="s">
        <v>49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50</v>
      </c>
      <c r="C18" s="14" t="s">
        <v>51</v>
      </c>
      <c r="D18" s="15" t="s">
        <v>52</v>
      </c>
      <c r="E18" s="16" t="s">
        <v>52</v>
      </c>
      <c r="F18" s="17">
        <v>3.2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62</v>
      </c>
      <c r="C19" s="14" t="s">
        <v>63</v>
      </c>
      <c r="D19" s="15" t="s">
        <v>64</v>
      </c>
      <c r="E19" s="16" t="s">
        <v>64</v>
      </c>
      <c r="F19" s="17">
        <v>0</v>
      </c>
      <c r="G19" s="18"/>
      <c r="H19" s="18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65</v>
      </c>
      <c r="C20" s="14" t="s">
        <v>66</v>
      </c>
      <c r="D20" s="15" t="s">
        <v>67</v>
      </c>
      <c r="E20" s="16" t="s">
        <v>67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68</v>
      </c>
      <c r="C21" s="14" t="s">
        <v>69</v>
      </c>
      <c r="D21" s="15" t="s">
        <v>70</v>
      </c>
      <c r="E21" s="16" t="s">
        <v>70</v>
      </c>
      <c r="F21" s="17">
        <v>3</v>
      </c>
      <c r="G21" s="17"/>
      <c r="H21" s="17"/>
      <c r="I21" s="19">
        <f t="shared" si="0"/>
        <v>0</v>
      </c>
    </row>
    <row r="22" spans="1:9" ht="15.6" customHeight="1" x14ac:dyDescent="0.25">
      <c r="A22" s="13">
        <v>18</v>
      </c>
      <c r="B22" s="14" t="s">
        <v>85</v>
      </c>
      <c r="C22" s="14" t="s">
        <v>86</v>
      </c>
      <c r="D22" s="15" t="s">
        <v>87</v>
      </c>
      <c r="E22" s="16" t="s">
        <v>87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106</v>
      </c>
      <c r="C23" s="14" t="s">
        <v>107</v>
      </c>
      <c r="D23" s="15" t="s">
        <v>108</v>
      </c>
      <c r="E23" s="16" t="s">
        <v>108</v>
      </c>
      <c r="F23" s="17">
        <v>32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109</v>
      </c>
      <c r="C24" s="14" t="s">
        <v>110</v>
      </c>
      <c r="D24" s="15" t="s">
        <v>28</v>
      </c>
      <c r="E24" s="16" t="s">
        <v>28</v>
      </c>
      <c r="F24" s="17">
        <v>25</v>
      </c>
      <c r="G24" s="18"/>
      <c r="H24" s="18"/>
      <c r="I24" s="19">
        <f>H24/F24</f>
        <v>0</v>
      </c>
    </row>
    <row r="25" spans="1:9" ht="16.8" customHeight="1" x14ac:dyDescent="0.25">
      <c r="A25" s="5" t="s">
        <v>111</v>
      </c>
      <c r="B25" s="5"/>
      <c r="C25" s="5"/>
      <c r="D25" s="5" t="s">
        <v>113</v>
      </c>
      <c r="E25" s="5"/>
      <c r="F25" s="20">
        <f>SUM(F5:F24)</f>
        <v>163.19999999999999</v>
      </c>
      <c r="G25" s="21"/>
      <c r="H25" s="20">
        <f>SUM(H5:H24)</f>
        <v>0</v>
      </c>
      <c r="I25" s="22">
        <f>H25/F25</f>
        <v>0</v>
      </c>
    </row>
  </sheetData>
  <mergeCells count="28">
    <mergeCell ref="D23:E23"/>
    <mergeCell ref="D24:E24"/>
    <mergeCell ref="A25:C25"/>
    <mergeCell ref="D25:E25"/>
    <mergeCell ref="D22:E22"/>
    <mergeCell ref="D19:E19"/>
    <mergeCell ref="D20:E20"/>
    <mergeCell ref="D21:E21"/>
    <mergeCell ref="D17:E17"/>
    <mergeCell ref="D18:E18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5BB4-05E5-4856-85BD-32CA976ED653}">
  <sheetPr codeName="Sheet34"/>
  <dimension ref="A1:I22"/>
  <sheetViews>
    <sheetView zoomScaleNormal="100" workbookViewId="0">
      <selection activeCell="C32" sqref="C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2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30.5</v>
      </c>
      <c r="G5" s="18"/>
      <c r="H5" s="18"/>
      <c r="I5" s="19">
        <f t="shared" ref="I5:I21" si="0">H5/F5</f>
        <v>0</v>
      </c>
    </row>
    <row r="6" spans="1:9" ht="15.6" customHeight="1" x14ac:dyDescent="0.25">
      <c r="A6" s="13">
        <v>15</v>
      </c>
      <c r="B6" s="14" t="s">
        <v>53</v>
      </c>
      <c r="C6" s="14" t="s">
        <v>54</v>
      </c>
      <c r="D6" s="15" t="s">
        <v>55</v>
      </c>
      <c r="E6" s="16" t="s">
        <v>55</v>
      </c>
      <c r="F6" s="17">
        <v>6.5</v>
      </c>
      <c r="G6" s="17"/>
      <c r="H6" s="17"/>
      <c r="I6" s="19">
        <f t="shared" si="0"/>
        <v>0</v>
      </c>
    </row>
    <row r="7" spans="1:9" ht="15.6" customHeight="1" x14ac:dyDescent="0.25">
      <c r="A7" s="13">
        <v>16</v>
      </c>
      <c r="B7" s="14" t="s">
        <v>56</v>
      </c>
      <c r="C7" s="14" t="s">
        <v>57</v>
      </c>
      <c r="D7" s="15" t="s">
        <v>55</v>
      </c>
      <c r="E7" s="16" t="s">
        <v>55</v>
      </c>
      <c r="F7" s="17">
        <v>10.5</v>
      </c>
      <c r="G7" s="18"/>
      <c r="H7" s="18"/>
      <c r="I7" s="19">
        <f t="shared" si="0"/>
        <v>0</v>
      </c>
    </row>
    <row r="8" spans="1:9" ht="15.6" customHeight="1" x14ac:dyDescent="0.25">
      <c r="A8" s="13">
        <v>17</v>
      </c>
      <c r="B8" s="14" t="s">
        <v>58</v>
      </c>
      <c r="C8" s="14" t="s">
        <v>59</v>
      </c>
      <c r="D8" s="15" t="s">
        <v>55</v>
      </c>
      <c r="E8" s="16" t="s">
        <v>55</v>
      </c>
      <c r="F8" s="17">
        <v>1.1000000000000001</v>
      </c>
      <c r="G8" s="18"/>
      <c r="H8" s="18"/>
      <c r="I8" s="19">
        <f t="shared" si="0"/>
        <v>0</v>
      </c>
    </row>
    <row r="9" spans="1:9" ht="15.6" customHeight="1" x14ac:dyDescent="0.25">
      <c r="A9" s="13">
        <v>18</v>
      </c>
      <c r="B9" s="14" t="s">
        <v>60</v>
      </c>
      <c r="C9" s="14" t="s">
        <v>61</v>
      </c>
      <c r="D9" s="15" t="s">
        <v>55</v>
      </c>
      <c r="E9" s="16" t="s">
        <v>55</v>
      </c>
      <c r="F9" s="17">
        <v>5.6</v>
      </c>
      <c r="G9" s="17"/>
      <c r="H9" s="17"/>
      <c r="I9" s="19">
        <f t="shared" si="0"/>
        <v>0</v>
      </c>
    </row>
    <row r="10" spans="1:9" ht="15.6" customHeight="1" x14ac:dyDescent="0.25">
      <c r="A10" s="13">
        <v>22</v>
      </c>
      <c r="B10" s="14" t="s">
        <v>71</v>
      </c>
      <c r="C10" s="14" t="s">
        <v>72</v>
      </c>
      <c r="D10" s="15" t="s">
        <v>73</v>
      </c>
      <c r="E10" s="16" t="s">
        <v>73</v>
      </c>
      <c r="F10" s="17">
        <v>6.2</v>
      </c>
      <c r="G10" s="18"/>
      <c r="H10" s="18"/>
      <c r="I10" s="19">
        <f t="shared" si="0"/>
        <v>0</v>
      </c>
    </row>
    <row r="11" spans="1:9" ht="15.6" customHeight="1" x14ac:dyDescent="0.25">
      <c r="A11" s="13">
        <v>23</v>
      </c>
      <c r="B11" s="14" t="s">
        <v>74</v>
      </c>
      <c r="C11" s="14" t="s">
        <v>75</v>
      </c>
      <c r="D11" s="15" t="s">
        <v>76</v>
      </c>
      <c r="E11" s="16" t="s">
        <v>76</v>
      </c>
      <c r="F11" s="17">
        <v>5</v>
      </c>
      <c r="G11" s="18"/>
      <c r="H11" s="18"/>
      <c r="I11" s="19">
        <f t="shared" si="0"/>
        <v>0</v>
      </c>
    </row>
    <row r="12" spans="1:9" ht="15.6" customHeight="1" x14ac:dyDescent="0.25">
      <c r="A12" s="13">
        <v>24</v>
      </c>
      <c r="B12" s="14" t="s">
        <v>77</v>
      </c>
      <c r="C12" s="14" t="s">
        <v>78</v>
      </c>
      <c r="D12" s="15" t="s">
        <v>76</v>
      </c>
      <c r="E12" s="16" t="s">
        <v>76</v>
      </c>
      <c r="F12" s="17">
        <v>6.5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25</v>
      </c>
      <c r="B13" s="14" t="s">
        <v>79</v>
      </c>
      <c r="C13" s="14" t="s">
        <v>80</v>
      </c>
      <c r="D13" s="15" t="s">
        <v>76</v>
      </c>
      <c r="E13" s="16" t="s">
        <v>76</v>
      </c>
      <c r="F13" s="17">
        <v>18</v>
      </c>
      <c r="G13" s="18"/>
      <c r="H13" s="18"/>
      <c r="I13" s="19">
        <f t="shared" si="0"/>
        <v>0</v>
      </c>
    </row>
    <row r="14" spans="1:9" ht="15.6" customHeight="1" x14ac:dyDescent="0.25">
      <c r="A14" s="13">
        <v>26</v>
      </c>
      <c r="B14" s="14" t="s">
        <v>81</v>
      </c>
      <c r="C14" s="14" t="s">
        <v>82</v>
      </c>
      <c r="D14" s="15" t="s">
        <v>76</v>
      </c>
      <c r="E14" s="16" t="s">
        <v>76</v>
      </c>
      <c r="F14" s="17">
        <v>1.3</v>
      </c>
      <c r="G14" s="18"/>
      <c r="H14" s="18"/>
      <c r="I14" s="19">
        <f t="shared" si="0"/>
        <v>0</v>
      </c>
    </row>
    <row r="15" spans="1:9" ht="15.6" customHeight="1" x14ac:dyDescent="0.25">
      <c r="A15" s="13">
        <v>31</v>
      </c>
      <c r="B15" s="14" t="s">
        <v>92</v>
      </c>
      <c r="C15" s="14" t="s">
        <v>93</v>
      </c>
      <c r="D15" s="15"/>
      <c r="E15" s="16"/>
      <c r="F15" s="17">
        <v>5</v>
      </c>
      <c r="G15" s="18"/>
      <c r="H15" s="18"/>
      <c r="I15" s="19">
        <f t="shared" si="0"/>
        <v>0</v>
      </c>
    </row>
    <row r="16" spans="1:9" ht="15.6" customHeight="1" x14ac:dyDescent="0.25">
      <c r="A16" s="13">
        <v>32</v>
      </c>
      <c r="B16" s="14" t="s">
        <v>94</v>
      </c>
      <c r="C16" s="14" t="s">
        <v>95</v>
      </c>
      <c r="D16" s="15"/>
      <c r="E16" s="16"/>
      <c r="F16" s="17">
        <v>0</v>
      </c>
      <c r="G16" s="18"/>
      <c r="H16" s="18"/>
      <c r="I16" s="19" t="e">
        <f t="shared" si="0"/>
        <v>#DIV/0!</v>
      </c>
    </row>
    <row r="17" spans="1:9" ht="15.6" customHeight="1" x14ac:dyDescent="0.25">
      <c r="A17" s="13">
        <v>33</v>
      </c>
      <c r="B17" s="14" t="s">
        <v>96</v>
      </c>
      <c r="C17" s="14" t="s">
        <v>97</v>
      </c>
      <c r="D17" s="15"/>
      <c r="E17" s="16"/>
      <c r="F17" s="17">
        <v>10</v>
      </c>
      <c r="G17" s="18"/>
      <c r="H17" s="18"/>
      <c r="I17" s="19">
        <f t="shared" si="0"/>
        <v>0</v>
      </c>
    </row>
    <row r="18" spans="1:9" ht="15.6" customHeight="1" x14ac:dyDescent="0.25">
      <c r="A18" s="13">
        <v>34</v>
      </c>
      <c r="B18" s="14" t="s">
        <v>98</v>
      </c>
      <c r="C18" s="14" t="s">
        <v>97</v>
      </c>
      <c r="D18" s="15"/>
      <c r="E18" s="16"/>
      <c r="F18" s="17">
        <v>4.3</v>
      </c>
      <c r="G18" s="18"/>
      <c r="H18" s="18"/>
      <c r="I18" s="19">
        <f t="shared" si="0"/>
        <v>0</v>
      </c>
    </row>
    <row r="19" spans="1:9" ht="15.6" customHeight="1" x14ac:dyDescent="0.25">
      <c r="A19" s="13">
        <v>35</v>
      </c>
      <c r="B19" s="14" t="s">
        <v>99</v>
      </c>
      <c r="C19" s="14" t="s">
        <v>100</v>
      </c>
      <c r="D19" s="15"/>
      <c r="E19" s="16"/>
      <c r="F19" s="17">
        <v>12</v>
      </c>
      <c r="G19" s="18"/>
      <c r="H19" s="18"/>
      <c r="I19" s="19">
        <f t="shared" si="0"/>
        <v>0</v>
      </c>
    </row>
    <row r="20" spans="1:9" ht="15.6" customHeight="1" x14ac:dyDescent="0.25">
      <c r="A20" s="13">
        <v>36</v>
      </c>
      <c r="B20" s="14" t="s">
        <v>101</v>
      </c>
      <c r="C20" s="14" t="s">
        <v>100</v>
      </c>
      <c r="D20" s="15"/>
      <c r="E20" s="16"/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37</v>
      </c>
      <c r="B21" s="14" t="s">
        <v>102</v>
      </c>
      <c r="C21" s="14" t="s">
        <v>103</v>
      </c>
      <c r="D21" s="15"/>
      <c r="E21" s="16"/>
      <c r="F21" s="17">
        <v>5</v>
      </c>
      <c r="G21" s="18"/>
      <c r="H21" s="18"/>
      <c r="I21" s="19">
        <f t="shared" si="0"/>
        <v>0</v>
      </c>
    </row>
    <row r="22" spans="1:9" ht="16.8" customHeight="1" x14ac:dyDescent="0.25">
      <c r="A22" s="5" t="s">
        <v>111</v>
      </c>
      <c r="B22" s="5"/>
      <c r="C22" s="5"/>
      <c r="D22" s="5" t="s">
        <v>112</v>
      </c>
      <c r="E22" s="5"/>
      <c r="F22" s="20">
        <f>SUM(F5:F21)</f>
        <v>127.5</v>
      </c>
      <c r="G22" s="21"/>
      <c r="H22" s="20">
        <f>SUM(H5:H21)</f>
        <v>0</v>
      </c>
      <c r="I22" s="22">
        <f>H22/F22</f>
        <v>0</v>
      </c>
    </row>
  </sheetData>
  <mergeCells count="25">
    <mergeCell ref="D21:E21"/>
    <mergeCell ref="A22:C22"/>
    <mergeCell ref="D22:E22"/>
    <mergeCell ref="D15:E15"/>
    <mergeCell ref="D16:E16"/>
    <mergeCell ref="D17:E17"/>
    <mergeCell ref="D18:E18"/>
    <mergeCell ref="D19:E19"/>
    <mergeCell ref="D20:E20"/>
    <mergeCell ref="D13:E13"/>
    <mergeCell ref="D14:E14"/>
    <mergeCell ref="D10:E10"/>
    <mergeCell ref="D11:E11"/>
    <mergeCell ref="D12:E12"/>
    <mergeCell ref="D6:E6"/>
    <mergeCell ref="D7:E7"/>
    <mergeCell ref="D8:E8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8F5C-60A0-4BC6-A64D-8577AAD7F0B6}">
  <sheetPr codeName="Sheet35"/>
  <dimension ref="A1:I8"/>
  <sheetViews>
    <sheetView tabSelected="1"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88</v>
      </c>
      <c r="C5" s="14" t="s">
        <v>89</v>
      </c>
      <c r="D5" s="15" t="s">
        <v>76</v>
      </c>
      <c r="E5" s="16" t="s">
        <v>76</v>
      </c>
      <c r="F5" s="17">
        <v>0</v>
      </c>
      <c r="G5" s="18"/>
      <c r="H5" s="18"/>
      <c r="I5" s="19" t="e">
        <f t="shared" ref="I5:I7" si="0">H5/F5</f>
        <v>#DIV/0!</v>
      </c>
    </row>
    <row r="6" spans="1:9" ht="15.6" customHeight="1" x14ac:dyDescent="0.25">
      <c r="A6" s="13">
        <v>2</v>
      </c>
      <c r="B6" s="14" t="s">
        <v>90</v>
      </c>
      <c r="C6" s="14" t="s">
        <v>91</v>
      </c>
      <c r="D6" s="15"/>
      <c r="E6" s="16"/>
      <c r="F6" s="17">
        <v>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104</v>
      </c>
      <c r="C7" s="14" t="s">
        <v>105</v>
      </c>
      <c r="D7" s="15"/>
      <c r="E7" s="16"/>
      <c r="F7" s="17">
        <v>0</v>
      </c>
      <c r="G7" s="18"/>
      <c r="H7" s="18"/>
      <c r="I7" s="19" t="e">
        <f t="shared" si="0"/>
        <v>#DIV/0!</v>
      </c>
    </row>
    <row r="8" spans="1:9" ht="16.8" customHeight="1" x14ac:dyDescent="0.25">
      <c r="A8" s="5" t="s">
        <v>111</v>
      </c>
      <c r="B8" s="5"/>
      <c r="C8" s="5"/>
      <c r="D8" s="5" t="s">
        <v>114</v>
      </c>
      <c r="E8" s="5"/>
      <c r="F8" s="20">
        <f>SUM(F5:F7)</f>
        <v>1</v>
      </c>
      <c r="G8" s="21"/>
      <c r="H8" s="20">
        <f>SUM(H5:H7)</f>
        <v>0</v>
      </c>
      <c r="I8" s="22">
        <f>H8/F8</f>
        <v>0</v>
      </c>
    </row>
  </sheetData>
  <mergeCells count="11">
    <mergeCell ref="D7:E7"/>
    <mergeCell ref="A8:C8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Inv__Ujitjes_Pogradec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2026-10-06T12:59:55Z</dcterms:created>
  <dcterms:modified xsi:type="dcterms:W3CDTF">2026-10-06T13:02:54Z</dcterms:modified>
</cp:coreProperties>
</file>