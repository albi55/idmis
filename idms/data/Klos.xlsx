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724F13D4-05CB-4AB0-9B4C-2AA89C96C2D9}" xr6:coauthVersionLast="47" xr6:coauthVersionMax="47" xr10:uidLastSave="{00000000-0000-0000-0000-000000000000}"/>
  <bookViews>
    <workbookView xWindow="-28920" yWindow="-1470" windowWidth="29040" windowHeight="15720" activeTab="2" xr2:uid="{25234385-39B3-4457-BBCA-8B57B7559CCB}"/>
  </bookViews>
  <sheets>
    <sheet name="Inv__Ujitjes_Klos" sheetId="1" r:id="rId1"/>
    <sheet name="Rezervuar" sheetId="2" r:id="rId2"/>
    <sheet name="Lume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4" l="1"/>
  <c r="F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4" i="2"/>
  <c r="F14" i="2"/>
  <c r="I13" i="2"/>
  <c r="I12" i="2"/>
  <c r="I11" i="2"/>
  <c r="I10" i="2"/>
  <c r="I9" i="2"/>
  <c r="I8" i="2"/>
  <c r="I7" i="2"/>
  <c r="I6" i="2"/>
  <c r="I5" i="2"/>
  <c r="H36" i="1"/>
  <c r="I36" i="1" s="1"/>
  <c r="F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8" i="4" l="1"/>
  <c r="I14" i="2"/>
</calcChain>
</file>

<file path=xl/sharedStrings.xml><?xml version="1.0" encoding="utf-8"?>
<sst xmlns="http://schemas.openxmlformats.org/spreadsheetml/2006/main" count="291" uniqueCount="91">
  <si>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</si>
  <si>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</si>
  <si>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</si>
  <si>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</si>
  <si>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</si>
  <si>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</si>
  <si>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</si>
  <si>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</si>
  <si>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</si>
  <si>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</si>
  <si>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</si>
  <si>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MTU - V34</t>
  </si>
  <si>
    <t>Kanali ujites Guri i Bardhe</t>
  </si>
  <si>
    <t>Perrua</t>
  </si>
  <si>
    <t>MTU - V21</t>
  </si>
  <si>
    <t>Rezervuari Kurdari</t>
  </si>
  <si>
    <t>Kurdari</t>
  </si>
  <si>
    <t>MTU - V40</t>
  </si>
  <si>
    <t>Kanali Ujites Kurdari</t>
  </si>
  <si>
    <t>MTU - V41</t>
  </si>
  <si>
    <t>Kanali Ujites Kurqelaj</t>
  </si>
  <si>
    <t>MTU - V43</t>
  </si>
  <si>
    <t>Kanali ujites Patin</t>
  </si>
  <si>
    <t>MTU - V44</t>
  </si>
  <si>
    <t>Kanali ujites Fullqet</t>
  </si>
  <si>
    <t>MTU - V45</t>
  </si>
  <si>
    <t>Kanali Ujites Dars</t>
  </si>
  <si>
    <t>MTU - V47</t>
  </si>
  <si>
    <t>Rezervuari  Balgjaj Nr 2</t>
  </si>
  <si>
    <t>Balgjaj Nr 2</t>
  </si>
  <si>
    <t>MTU - V48</t>
  </si>
  <si>
    <t>Kanali Ujites Pleshe</t>
  </si>
  <si>
    <t>MTU - V22</t>
  </si>
  <si>
    <t>Rezervuari Xheres Suç</t>
  </si>
  <si>
    <t>Xheres Suç</t>
  </si>
  <si>
    <t>MTU - V51</t>
  </si>
  <si>
    <t>Kanali Ujites Havale Ceruje</t>
  </si>
  <si>
    <t>MTU - V52</t>
  </si>
  <si>
    <t>Kanali ujites fshati Fshat</t>
  </si>
  <si>
    <t>MTU - V53</t>
  </si>
  <si>
    <t>Kanali Ujites Gurrat e Kaqulit</t>
  </si>
  <si>
    <t>MTU - V14</t>
  </si>
  <si>
    <t>Rezervuari Berrshi</t>
  </si>
  <si>
    <t>Berrshi</t>
  </si>
  <si>
    <t>MTU - V55</t>
  </si>
  <si>
    <t>Kanali Ujites Lagjia Rrase Ceruje</t>
  </si>
  <si>
    <t>MTU - V56</t>
  </si>
  <si>
    <t>Kanali Ujites i Ballazhit</t>
  </si>
  <si>
    <t>MTU - V8</t>
  </si>
  <si>
    <t>Rezervuari i Rripes</t>
  </si>
  <si>
    <t>Rripe</t>
  </si>
  <si>
    <t>MTU - V6</t>
  </si>
  <si>
    <t>Rezervuari Bejne Nr 2</t>
  </si>
  <si>
    <t>Bejne Nr 2</t>
  </si>
  <si>
    <t>MTU - V9</t>
  </si>
  <si>
    <t>Rezervuari Bejne Nr 1</t>
  </si>
  <si>
    <t>Bejne Nr 1</t>
  </si>
  <si>
    <t>MTU - V11</t>
  </si>
  <si>
    <t>Rezervuari Balgjaj Nr 3</t>
  </si>
  <si>
    <t>Balgjaj Nr 3</t>
  </si>
  <si>
    <t>MTU - V71</t>
  </si>
  <si>
    <t>Pleshe</t>
  </si>
  <si>
    <t>Klos</t>
  </si>
  <si>
    <t>MTU - V72</t>
  </si>
  <si>
    <t>Mazrek Klos</t>
  </si>
  <si>
    <t>Mat</t>
  </si>
  <si>
    <t>MTU - V73</t>
  </si>
  <si>
    <t>Dars Klos</t>
  </si>
  <si>
    <t>MTU - V74</t>
  </si>
  <si>
    <t>Fshati  Fshat</t>
  </si>
  <si>
    <t>MTU - V75</t>
  </si>
  <si>
    <t>Bershi</t>
  </si>
  <si>
    <t>Rezervuari Bershi</t>
  </si>
  <si>
    <t>MTU - V76</t>
  </si>
  <si>
    <t>Shengjun nr.1</t>
  </si>
  <si>
    <t>Traverbangu</t>
  </si>
  <si>
    <t>MTU - V77</t>
  </si>
  <si>
    <t>Shengjun nr.2</t>
  </si>
  <si>
    <t>MTU - V78</t>
  </si>
  <si>
    <t>Suç</t>
  </si>
  <si>
    <t>MTU - V79</t>
  </si>
  <si>
    <t>Dom</t>
  </si>
  <si>
    <t>MTU - V80</t>
  </si>
  <si>
    <t>Shulbater</t>
  </si>
  <si>
    <t>MTU - V81</t>
  </si>
  <si>
    <t>Grekaj Suç</t>
  </si>
  <si>
    <t>Kanali Klos</t>
  </si>
  <si>
    <t>Total</t>
  </si>
  <si>
    <t>31 Skema</t>
  </si>
  <si>
    <t>9 Skema</t>
  </si>
  <si>
    <t>23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</si>
</sst>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0C8FE6D-A4DC-456E-960F-B662B8D26FB9}"/>
    <cellStyle name="Percent 3" xfId="2" xr:uid="{CA3AED33-A895-4576-A157-B7096C0A0B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D11D-D09C-430B-A8EB-B75BF816A95F}">
  <sheetPr codeName="Sheet42"/>
  <dimension ref="A1:I36"/>
  <sheetViews>
    <sheetView zoomScaleNormal="100" workbookViewId="0">
      <selection activeCell="K28" sqref="K2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8</v>
      </c>
      <c r="G5" s="18"/>
      <c r="H5" s="18"/>
      <c r="I5" s="19">
        <f t="shared" ref="I5:I3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4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13</v>
      </c>
      <c r="E7" s="16" t="s">
        <v>13</v>
      </c>
      <c r="F7" s="17">
        <v>2.2000000000000002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13</v>
      </c>
      <c r="E8" s="16" t="s">
        <v>13</v>
      </c>
      <c r="F8" s="17">
        <v>5.4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13</v>
      </c>
      <c r="E9" s="16" t="s">
        <v>13</v>
      </c>
      <c r="F9" s="17">
        <v>4.7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13</v>
      </c>
      <c r="E10" s="16" t="s">
        <v>13</v>
      </c>
      <c r="F10" s="17">
        <v>3.1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25</v>
      </c>
      <c r="C11" s="14" t="s">
        <v>26</v>
      </c>
      <c r="D11" s="15" t="s">
        <v>13</v>
      </c>
      <c r="E11" s="16" t="s">
        <v>13</v>
      </c>
      <c r="F11" s="17">
        <v>3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29</v>
      </c>
      <c r="E12" s="16" t="s">
        <v>29</v>
      </c>
      <c r="F12" s="17">
        <v>4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13</v>
      </c>
      <c r="E13" s="16" t="s">
        <v>13</v>
      </c>
      <c r="F13" s="17">
        <v>4.5999999999999996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32</v>
      </c>
      <c r="C14" s="14" t="s">
        <v>33</v>
      </c>
      <c r="D14" s="15" t="s">
        <v>34</v>
      </c>
      <c r="E14" s="16" t="s">
        <v>34</v>
      </c>
      <c r="F14" s="17">
        <v>2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35</v>
      </c>
      <c r="C15" s="14" t="s">
        <v>36</v>
      </c>
      <c r="D15" s="15" t="s">
        <v>13</v>
      </c>
      <c r="E15" s="16" t="s">
        <v>13</v>
      </c>
      <c r="F15" s="17">
        <v>3.3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37</v>
      </c>
      <c r="C16" s="14" t="s">
        <v>38</v>
      </c>
      <c r="D16" s="15" t="s">
        <v>13</v>
      </c>
      <c r="E16" s="16" t="s">
        <v>13</v>
      </c>
      <c r="F16" s="17">
        <v>2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39</v>
      </c>
      <c r="C17" s="14" t="s">
        <v>40</v>
      </c>
      <c r="D17" s="15" t="s">
        <v>13</v>
      </c>
      <c r="E17" s="16" t="s">
        <v>13</v>
      </c>
      <c r="F17" s="17">
        <v>3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41</v>
      </c>
      <c r="C18" s="14" t="s">
        <v>42</v>
      </c>
      <c r="D18" s="15" t="s">
        <v>43</v>
      </c>
      <c r="E18" s="16" t="s">
        <v>43</v>
      </c>
      <c r="F18" s="17">
        <v>2.2000000000000002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44</v>
      </c>
      <c r="C19" s="14" t="s">
        <v>45</v>
      </c>
      <c r="D19" s="15" t="s">
        <v>13</v>
      </c>
      <c r="E19" s="16" t="s">
        <v>13</v>
      </c>
      <c r="F19" s="17">
        <v>1.9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46</v>
      </c>
      <c r="C20" s="14" t="s">
        <v>47</v>
      </c>
      <c r="D20" s="15" t="s">
        <v>13</v>
      </c>
      <c r="E20" s="16" t="s">
        <v>13</v>
      </c>
      <c r="F20" s="17">
        <v>2.2999999999999998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48</v>
      </c>
      <c r="C21" s="14" t="s">
        <v>49</v>
      </c>
      <c r="D21" s="15" t="s">
        <v>50</v>
      </c>
      <c r="E21" s="16" t="s">
        <v>50</v>
      </c>
      <c r="F21" s="20">
        <v>4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51</v>
      </c>
      <c r="C22" s="14" t="s">
        <v>52</v>
      </c>
      <c r="D22" s="15" t="s">
        <v>53</v>
      </c>
      <c r="E22" s="16" t="s">
        <v>53</v>
      </c>
      <c r="F22" s="17">
        <v>4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54</v>
      </c>
      <c r="C23" s="14" t="s">
        <v>55</v>
      </c>
      <c r="D23" s="15" t="s">
        <v>56</v>
      </c>
      <c r="E23" s="16" t="s">
        <v>56</v>
      </c>
      <c r="F23" s="17">
        <v>1.5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57</v>
      </c>
      <c r="C24" s="14" t="s">
        <v>58</v>
      </c>
      <c r="D24" s="15" t="s">
        <v>59</v>
      </c>
      <c r="E24" s="16" t="s">
        <v>59</v>
      </c>
      <c r="F24" s="17">
        <v>4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60</v>
      </c>
      <c r="C25" s="14" t="s">
        <v>61</v>
      </c>
      <c r="D25" s="15" t="s">
        <v>62</v>
      </c>
      <c r="E25" s="16" t="s">
        <v>62</v>
      </c>
      <c r="F25" s="17">
        <v>2</v>
      </c>
      <c r="G25" s="18"/>
      <c r="H25" s="18"/>
      <c r="I25" s="19">
        <f t="shared" si="0"/>
        <v>0</v>
      </c>
    </row>
    <row r="26" spans="1:9" ht="15.6" customHeight="1" x14ac:dyDescent="0.25">
      <c r="A26" s="13">
        <v>22</v>
      </c>
      <c r="B26" s="14" t="s">
        <v>63</v>
      </c>
      <c r="C26" s="14" t="s">
        <v>64</v>
      </c>
      <c r="D26" s="15" t="s">
        <v>65</v>
      </c>
      <c r="E26" s="16" t="s">
        <v>65</v>
      </c>
      <c r="F26" s="17">
        <v>1.5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66</v>
      </c>
      <c r="C27" s="14" t="s">
        <v>67</v>
      </c>
      <c r="D27" s="15" t="s">
        <v>65</v>
      </c>
      <c r="E27" s="16" t="s">
        <v>65</v>
      </c>
      <c r="F27" s="17">
        <v>1.5</v>
      </c>
      <c r="G27" s="17"/>
      <c r="H27" s="17"/>
      <c r="I27" s="19">
        <f t="shared" si="0"/>
        <v>0</v>
      </c>
    </row>
    <row r="28" spans="1:9" ht="15.6" customHeight="1" x14ac:dyDescent="0.25">
      <c r="A28" s="13">
        <v>24</v>
      </c>
      <c r="B28" s="14" t="s">
        <v>68</v>
      </c>
      <c r="C28" s="14" t="s">
        <v>69</v>
      </c>
      <c r="D28" s="15" t="s">
        <v>65</v>
      </c>
      <c r="E28" s="16" t="s">
        <v>65</v>
      </c>
      <c r="F28" s="17">
        <v>2.2000000000000002</v>
      </c>
      <c r="G28" s="17"/>
      <c r="H28" s="17"/>
      <c r="I28" s="19">
        <f t="shared" si="0"/>
        <v>0</v>
      </c>
    </row>
    <row r="29" spans="1:9" ht="15.6" customHeight="1" x14ac:dyDescent="0.25">
      <c r="A29" s="13">
        <v>25</v>
      </c>
      <c r="B29" s="14" t="s">
        <v>70</v>
      </c>
      <c r="C29" s="14" t="s">
        <v>71</v>
      </c>
      <c r="D29" s="15" t="s">
        <v>72</v>
      </c>
      <c r="E29" s="16" t="s">
        <v>72</v>
      </c>
      <c r="F29" s="17">
        <v>2.5</v>
      </c>
      <c r="G29" s="17"/>
      <c r="H29" s="17"/>
      <c r="I29" s="19">
        <f t="shared" si="0"/>
        <v>0</v>
      </c>
    </row>
    <row r="30" spans="1:9" ht="15.6" customHeight="1" x14ac:dyDescent="0.25">
      <c r="A30" s="13">
        <v>26</v>
      </c>
      <c r="B30" s="14" t="s">
        <v>73</v>
      </c>
      <c r="C30" s="14" t="s">
        <v>74</v>
      </c>
      <c r="D30" s="15" t="s">
        <v>75</v>
      </c>
      <c r="E30" s="16" t="s">
        <v>75</v>
      </c>
      <c r="F30" s="17">
        <v>1.8</v>
      </c>
      <c r="G30" s="17"/>
      <c r="H30" s="17"/>
      <c r="I30" s="19">
        <f t="shared" si="0"/>
        <v>0</v>
      </c>
    </row>
    <row r="31" spans="1:9" ht="15.6" customHeight="1" x14ac:dyDescent="0.25">
      <c r="A31" s="13">
        <v>27</v>
      </c>
      <c r="B31" s="14" t="s">
        <v>76</v>
      </c>
      <c r="C31" s="14" t="s">
        <v>77</v>
      </c>
      <c r="D31" s="15" t="s">
        <v>75</v>
      </c>
      <c r="E31" s="16" t="s">
        <v>75</v>
      </c>
      <c r="F31" s="17">
        <v>1.6</v>
      </c>
      <c r="G31" s="17"/>
      <c r="H31" s="17"/>
      <c r="I31" s="19">
        <f t="shared" si="0"/>
        <v>0</v>
      </c>
    </row>
    <row r="32" spans="1:9" ht="15.6" customHeight="1" x14ac:dyDescent="0.25">
      <c r="A32" s="13">
        <v>28</v>
      </c>
      <c r="B32" s="14" t="s">
        <v>78</v>
      </c>
      <c r="C32" s="14" t="s">
        <v>79</v>
      </c>
      <c r="D32" s="15" t="s">
        <v>65</v>
      </c>
      <c r="E32" s="16" t="s">
        <v>65</v>
      </c>
      <c r="F32" s="17">
        <v>1.5</v>
      </c>
      <c r="G32" s="17"/>
      <c r="H32" s="17"/>
      <c r="I32" s="19">
        <f t="shared" si="0"/>
        <v>0</v>
      </c>
    </row>
    <row r="33" spans="1:9" ht="15.6" customHeight="1" x14ac:dyDescent="0.25">
      <c r="A33" s="13">
        <v>29</v>
      </c>
      <c r="B33" s="14" t="s">
        <v>80</v>
      </c>
      <c r="C33" s="14" t="s">
        <v>81</v>
      </c>
      <c r="D33" s="15" t="s">
        <v>65</v>
      </c>
      <c r="E33" s="16" t="s">
        <v>65</v>
      </c>
      <c r="F33" s="17">
        <v>2.5</v>
      </c>
      <c r="G33" s="17"/>
      <c r="H33" s="17"/>
      <c r="I33" s="19">
        <f t="shared" si="0"/>
        <v>0</v>
      </c>
    </row>
    <row r="34" spans="1:9" ht="15.6" customHeight="1" x14ac:dyDescent="0.25">
      <c r="A34" s="13">
        <v>30</v>
      </c>
      <c r="B34" s="14" t="s">
        <v>82</v>
      </c>
      <c r="C34" s="14" t="s">
        <v>83</v>
      </c>
      <c r="D34" s="15" t="s">
        <v>65</v>
      </c>
      <c r="E34" s="16" t="s">
        <v>65</v>
      </c>
      <c r="F34" s="17">
        <v>0.9</v>
      </c>
      <c r="G34" s="18"/>
      <c r="H34" s="18"/>
      <c r="I34" s="19">
        <f>H34/F34</f>
        <v>0</v>
      </c>
    </row>
    <row r="35" spans="1:9" ht="15.6" customHeight="1" x14ac:dyDescent="0.25">
      <c r="A35" s="13">
        <v>31</v>
      </c>
      <c r="B35" s="14" t="s">
        <v>84</v>
      </c>
      <c r="C35" s="14" t="s">
        <v>85</v>
      </c>
      <c r="D35" s="15" t="s">
        <v>86</v>
      </c>
      <c r="E35" s="16" t="s">
        <v>86</v>
      </c>
      <c r="F35" s="17">
        <v>3</v>
      </c>
      <c r="G35" s="18"/>
      <c r="H35" s="18"/>
      <c r="I35" s="19">
        <f>H35/F35</f>
        <v>0</v>
      </c>
    </row>
    <row r="36" spans="1:9" ht="16.8" customHeight="1" x14ac:dyDescent="0.25">
      <c r="A36" s="5" t="s">
        <v>87</v>
      </c>
      <c r="B36" s="5"/>
      <c r="C36" s="5"/>
      <c r="D36" s="5" t="s">
        <v>88</v>
      </c>
      <c r="E36" s="5"/>
      <c r="F36" s="21">
        <f>SUM(F5:F35)</f>
        <v>90.2</v>
      </c>
      <c r="G36" s="22"/>
      <c r="H36" s="21">
        <f>SUM(H5:H35)</f>
        <v>0</v>
      </c>
      <c r="I36" s="23">
        <f>H36/F36</f>
        <v>0</v>
      </c>
    </row>
  </sheetData>
  <mergeCells count="39">
    <mergeCell ref="D35:E35"/>
    <mergeCell ref="A36:C36"/>
    <mergeCell ref="D36:E36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2FCE-0A5D-4117-8376-EC233CF9F1B3}">
  <sheetPr codeName="Sheet43"/>
  <dimension ref="A1:I14"/>
  <sheetViews>
    <sheetView zoomScaleNormal="100" workbookViewId="0">
      <selection activeCell="D15" sqref="D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4</v>
      </c>
      <c r="G5" s="18"/>
      <c r="H5" s="18"/>
      <c r="I5" s="19">
        <f t="shared" ref="I5:I13" si="0">H5/F5</f>
        <v>0</v>
      </c>
    </row>
    <row r="6" spans="1:9" ht="15.6" customHeight="1" x14ac:dyDescent="0.25">
      <c r="A6" s="13">
        <v>2</v>
      </c>
      <c r="B6" s="14" t="s">
        <v>27</v>
      </c>
      <c r="C6" s="14" t="s">
        <v>28</v>
      </c>
      <c r="D6" s="15" t="s">
        <v>29</v>
      </c>
      <c r="E6" s="16" t="s">
        <v>29</v>
      </c>
      <c r="F6" s="17">
        <v>4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32</v>
      </c>
      <c r="C7" s="14" t="s">
        <v>33</v>
      </c>
      <c r="D7" s="15" t="s">
        <v>34</v>
      </c>
      <c r="E7" s="16" t="s">
        <v>34</v>
      </c>
      <c r="F7" s="17">
        <v>2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41</v>
      </c>
      <c r="C8" s="14" t="s">
        <v>42</v>
      </c>
      <c r="D8" s="15" t="s">
        <v>43</v>
      </c>
      <c r="E8" s="16" t="s">
        <v>43</v>
      </c>
      <c r="F8" s="17">
        <v>2.2000000000000002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48</v>
      </c>
      <c r="C9" s="14" t="s">
        <v>49</v>
      </c>
      <c r="D9" s="15" t="s">
        <v>50</v>
      </c>
      <c r="E9" s="16" t="s">
        <v>50</v>
      </c>
      <c r="F9" s="20">
        <v>4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51</v>
      </c>
      <c r="C10" s="14" t="s">
        <v>52</v>
      </c>
      <c r="D10" s="15" t="s">
        <v>53</v>
      </c>
      <c r="E10" s="16" t="s">
        <v>53</v>
      </c>
      <c r="F10" s="17">
        <v>4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54</v>
      </c>
      <c r="C11" s="14" t="s">
        <v>55</v>
      </c>
      <c r="D11" s="15" t="s">
        <v>56</v>
      </c>
      <c r="E11" s="16" t="s">
        <v>56</v>
      </c>
      <c r="F11" s="17">
        <v>1.5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57</v>
      </c>
      <c r="C12" s="14" t="s">
        <v>58</v>
      </c>
      <c r="D12" s="15" t="s">
        <v>59</v>
      </c>
      <c r="E12" s="16" t="s">
        <v>59</v>
      </c>
      <c r="F12" s="17">
        <v>4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70</v>
      </c>
      <c r="C13" s="14" t="s">
        <v>71</v>
      </c>
      <c r="D13" s="15" t="s">
        <v>72</v>
      </c>
      <c r="E13" s="16" t="s">
        <v>72</v>
      </c>
      <c r="F13" s="17">
        <v>2.5</v>
      </c>
      <c r="G13" s="17"/>
      <c r="H13" s="17"/>
      <c r="I13" s="19">
        <f t="shared" si="0"/>
        <v>0</v>
      </c>
    </row>
    <row r="14" spans="1:9" ht="16.8" customHeight="1" x14ac:dyDescent="0.25">
      <c r="A14" s="5" t="s">
        <v>87</v>
      </c>
      <c r="B14" s="5"/>
      <c r="C14" s="5"/>
      <c r="D14" s="5" t="s">
        <v>89</v>
      </c>
      <c r="E14" s="5"/>
      <c r="F14" s="21">
        <f>SUM(F5:F13)</f>
        <v>28.2</v>
      </c>
      <c r="G14" s="22"/>
      <c r="H14" s="21">
        <f>SUM(H5:H13)</f>
        <v>0</v>
      </c>
      <c r="I14" s="23">
        <f>H14/F14</f>
        <v>0</v>
      </c>
    </row>
  </sheetData>
  <mergeCells count="17">
    <mergeCell ref="A14:C14"/>
    <mergeCell ref="D14:E14"/>
    <mergeCell ref="D13:E13"/>
    <mergeCell ref="D11:E11"/>
    <mergeCell ref="D12:E12"/>
    <mergeCell ref="D8:E8"/>
    <mergeCell ref="D9:E9"/>
    <mergeCell ref="D10:E10"/>
    <mergeCell ref="D6:E6"/>
    <mergeCell ref="D7:E7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A7B4-8E27-4A10-942F-587ABF55BA81}">
  <sheetPr codeName="Sheet45"/>
  <dimension ref="A1:I28"/>
  <sheetViews>
    <sheetView tabSelected="1" zoomScaleNormal="100" workbookViewId="0">
      <selection activeCell="D29" sqref="D2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8</v>
      </c>
      <c r="G5" s="18"/>
      <c r="H5" s="18"/>
      <c r="I5" s="19">
        <f t="shared" ref="I5:I25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13</v>
      </c>
      <c r="E6" s="16" t="s">
        <v>13</v>
      </c>
      <c r="F6" s="17">
        <v>2.2000000000000002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13</v>
      </c>
      <c r="E7" s="16" t="s">
        <v>13</v>
      </c>
      <c r="F7" s="17">
        <v>5.4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4" t="s">
        <v>22</v>
      </c>
      <c r="D8" s="15" t="s">
        <v>13</v>
      </c>
      <c r="E8" s="16" t="s">
        <v>13</v>
      </c>
      <c r="F8" s="17">
        <v>4.7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13</v>
      </c>
      <c r="E9" s="16" t="s">
        <v>13</v>
      </c>
      <c r="F9" s="17">
        <v>3.1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13</v>
      </c>
      <c r="E10" s="16" t="s">
        <v>13</v>
      </c>
      <c r="F10" s="17">
        <v>3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30</v>
      </c>
      <c r="C11" s="14" t="s">
        <v>31</v>
      </c>
      <c r="D11" s="15" t="s">
        <v>13</v>
      </c>
      <c r="E11" s="16" t="s">
        <v>13</v>
      </c>
      <c r="F11" s="17">
        <v>4.5999999999999996</v>
      </c>
      <c r="G11" s="17"/>
      <c r="H11" s="17"/>
      <c r="I11" s="19">
        <f t="shared" si="0"/>
        <v>0</v>
      </c>
    </row>
    <row r="12" spans="1:9" ht="15.6" customHeight="1" x14ac:dyDescent="0.25">
      <c r="A12" s="13">
        <v>8</v>
      </c>
      <c r="B12" s="14" t="s">
        <v>35</v>
      </c>
      <c r="C12" s="14" t="s">
        <v>36</v>
      </c>
      <c r="D12" s="15" t="s">
        <v>13</v>
      </c>
      <c r="E12" s="16" t="s">
        <v>13</v>
      </c>
      <c r="F12" s="17">
        <v>3.3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37</v>
      </c>
      <c r="C13" s="14" t="s">
        <v>38</v>
      </c>
      <c r="D13" s="15" t="s">
        <v>13</v>
      </c>
      <c r="E13" s="16" t="s">
        <v>13</v>
      </c>
      <c r="F13" s="17">
        <v>2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39</v>
      </c>
      <c r="C14" s="14" t="s">
        <v>40</v>
      </c>
      <c r="D14" s="15" t="s">
        <v>13</v>
      </c>
      <c r="E14" s="16" t="s">
        <v>13</v>
      </c>
      <c r="F14" s="17">
        <v>3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41</v>
      </c>
      <c r="C15" s="14" t="s">
        <v>42</v>
      </c>
      <c r="D15" s="15" t="s">
        <v>43</v>
      </c>
      <c r="E15" s="16" t="s">
        <v>43</v>
      </c>
      <c r="F15" s="17">
        <v>2.2000000000000002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44</v>
      </c>
      <c r="C16" s="14" t="s">
        <v>45</v>
      </c>
      <c r="D16" s="15" t="s">
        <v>13</v>
      </c>
      <c r="E16" s="16" t="s">
        <v>13</v>
      </c>
      <c r="F16" s="17">
        <v>1.9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46</v>
      </c>
      <c r="C17" s="14" t="s">
        <v>47</v>
      </c>
      <c r="D17" s="15" t="s">
        <v>13</v>
      </c>
      <c r="E17" s="16" t="s">
        <v>13</v>
      </c>
      <c r="F17" s="17">
        <v>2.2999999999999998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60</v>
      </c>
      <c r="C18" s="14" t="s">
        <v>61</v>
      </c>
      <c r="D18" s="15" t="s">
        <v>62</v>
      </c>
      <c r="E18" s="16" t="s">
        <v>62</v>
      </c>
      <c r="F18" s="17">
        <v>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63</v>
      </c>
      <c r="C19" s="14" t="s">
        <v>64</v>
      </c>
      <c r="D19" s="15" t="s">
        <v>65</v>
      </c>
      <c r="E19" s="16" t="s">
        <v>65</v>
      </c>
      <c r="F19" s="17">
        <v>1.5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66</v>
      </c>
      <c r="C20" s="14" t="s">
        <v>67</v>
      </c>
      <c r="D20" s="15" t="s">
        <v>65</v>
      </c>
      <c r="E20" s="16" t="s">
        <v>65</v>
      </c>
      <c r="F20" s="17">
        <v>1.5</v>
      </c>
      <c r="G20" s="17"/>
      <c r="H20" s="17"/>
      <c r="I20" s="19">
        <f t="shared" si="0"/>
        <v>0</v>
      </c>
    </row>
    <row r="21" spans="1:9" ht="15.6" customHeight="1" x14ac:dyDescent="0.25">
      <c r="A21" s="13">
        <v>17</v>
      </c>
      <c r="B21" s="14" t="s">
        <v>68</v>
      </c>
      <c r="C21" s="14" t="s">
        <v>69</v>
      </c>
      <c r="D21" s="15" t="s">
        <v>65</v>
      </c>
      <c r="E21" s="16" t="s">
        <v>65</v>
      </c>
      <c r="F21" s="17">
        <v>2.2000000000000002</v>
      </c>
      <c r="G21" s="17"/>
      <c r="H21" s="17"/>
      <c r="I21" s="19">
        <f t="shared" si="0"/>
        <v>0</v>
      </c>
    </row>
    <row r="22" spans="1:9" ht="15.6" customHeight="1" x14ac:dyDescent="0.25">
      <c r="A22" s="13">
        <v>18</v>
      </c>
      <c r="B22" s="14" t="s">
        <v>73</v>
      </c>
      <c r="C22" s="14" t="s">
        <v>74</v>
      </c>
      <c r="D22" s="15" t="s">
        <v>75</v>
      </c>
      <c r="E22" s="16" t="s">
        <v>75</v>
      </c>
      <c r="F22" s="17">
        <v>1.8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76</v>
      </c>
      <c r="C23" s="14" t="s">
        <v>77</v>
      </c>
      <c r="D23" s="15" t="s">
        <v>75</v>
      </c>
      <c r="E23" s="16" t="s">
        <v>75</v>
      </c>
      <c r="F23" s="17">
        <v>1.6</v>
      </c>
      <c r="G23" s="17"/>
      <c r="H23" s="17"/>
      <c r="I23" s="19">
        <f t="shared" si="0"/>
        <v>0</v>
      </c>
    </row>
    <row r="24" spans="1:9" ht="15.6" customHeight="1" x14ac:dyDescent="0.25">
      <c r="A24" s="13">
        <v>20</v>
      </c>
      <c r="B24" s="14" t="s">
        <v>78</v>
      </c>
      <c r="C24" s="14" t="s">
        <v>79</v>
      </c>
      <c r="D24" s="15" t="s">
        <v>65</v>
      </c>
      <c r="E24" s="16" t="s">
        <v>65</v>
      </c>
      <c r="F24" s="17">
        <v>1.5</v>
      </c>
      <c r="G24" s="17"/>
      <c r="H24" s="17"/>
      <c r="I24" s="19">
        <f t="shared" si="0"/>
        <v>0</v>
      </c>
    </row>
    <row r="25" spans="1:9" ht="15.6" customHeight="1" x14ac:dyDescent="0.25">
      <c r="A25" s="13">
        <v>21</v>
      </c>
      <c r="B25" s="14" t="s">
        <v>80</v>
      </c>
      <c r="C25" s="14" t="s">
        <v>81</v>
      </c>
      <c r="D25" s="15" t="s">
        <v>65</v>
      </c>
      <c r="E25" s="16" t="s">
        <v>65</v>
      </c>
      <c r="F25" s="17">
        <v>2.5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82</v>
      </c>
      <c r="C26" s="14" t="s">
        <v>83</v>
      </c>
      <c r="D26" s="15" t="s">
        <v>65</v>
      </c>
      <c r="E26" s="16" t="s">
        <v>65</v>
      </c>
      <c r="F26" s="17">
        <v>0.9</v>
      </c>
      <c r="G26" s="18"/>
      <c r="H26" s="18"/>
      <c r="I26" s="19">
        <f>H26/F26</f>
        <v>0</v>
      </c>
    </row>
    <row r="27" spans="1:9" ht="15.6" customHeight="1" x14ac:dyDescent="0.25">
      <c r="A27" s="13">
        <v>23</v>
      </c>
      <c r="B27" s="14" t="s">
        <v>84</v>
      </c>
      <c r="C27" s="14" t="s">
        <v>85</v>
      </c>
      <c r="D27" s="15" t="s">
        <v>86</v>
      </c>
      <c r="E27" s="16" t="s">
        <v>86</v>
      </c>
      <c r="F27" s="17">
        <v>3</v>
      </c>
      <c r="G27" s="18"/>
      <c r="H27" s="18"/>
      <c r="I27" s="19">
        <f>H27/F27</f>
        <v>0</v>
      </c>
    </row>
    <row r="28" spans="1:9" ht="16.8" customHeight="1" x14ac:dyDescent="0.25">
      <c r="A28" s="5" t="s">
        <v>87</v>
      </c>
      <c r="B28" s="5"/>
      <c r="C28" s="5"/>
      <c r="D28" s="5" t="s">
        <v>90</v>
      </c>
      <c r="E28" s="5"/>
      <c r="F28" s="21">
        <f>SUM(F5:F27)</f>
        <v>64.199999999999989</v>
      </c>
      <c r="G28" s="22"/>
      <c r="H28" s="21">
        <f>SUM(H5:H27)</f>
        <v>0</v>
      </c>
      <c r="I28" s="23">
        <f>H28/F28</f>
        <v>0</v>
      </c>
    </row>
  </sheetData>
  <mergeCells count="31">
    <mergeCell ref="D27:E27"/>
    <mergeCell ref="A28:C28"/>
    <mergeCell ref="D28:E28"/>
    <mergeCell ref="D22:E22"/>
    <mergeCell ref="D23:E23"/>
    <mergeCell ref="D24:E24"/>
    <mergeCell ref="D25:E25"/>
    <mergeCell ref="D26:E26"/>
    <mergeCell ref="D18:E18"/>
    <mergeCell ref="D19:E19"/>
    <mergeCell ref="D20:E20"/>
    <mergeCell ref="D21:E21"/>
    <mergeCell ref="D14:E14"/>
    <mergeCell ref="D15:E15"/>
    <mergeCell ref="D16:E16"/>
    <mergeCell ref="D17:E17"/>
    <mergeCell ref="D10:E10"/>
    <mergeCell ref="D11:E11"/>
    <mergeCell ref="D12:E12"/>
    <mergeCell ref="D13:E13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Inv__Ujitjes_Klos</vt:lpstr>
      <vt:lpstr>Rezervuar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2026-10-06T13:48:33Z</dcterms:created>
  <dcterms:modified xsi:type="dcterms:W3CDTF">2026-10-06T13:51:59Z</dcterms:modified>
</cp:coreProperties>
</file>