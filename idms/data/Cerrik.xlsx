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A963339E-2E39-49F3-AD99-9EB06E5BEE0C}" xr6:coauthVersionLast="47" xr6:coauthVersionMax="47" xr10:uidLastSave="{00000000-0000-0000-0000-000000000000}"/>
  <bookViews>
    <workbookView xWindow="-28920" yWindow="-1470" windowWidth="29040" windowHeight="15720" activeTab="3" xr2:uid="{BAE60760-9837-418A-A435-CC5F6C762A62}"/>
  </bookViews>
  <sheets>
    <sheet name="Inv__Ujitjes_Cerrik" sheetId="1" r:id="rId1"/>
    <sheet name="Rezervuar" sheetId="2" r:id="rId2"/>
    <sheet name="Stacion pompimi" sheetId="3" r:id="rId3"/>
    <sheet name="Lume Liqen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4" l="1"/>
  <c r="F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11" i="3"/>
  <c r="F11" i="3"/>
  <c r="I10" i="3"/>
  <c r="I9" i="3"/>
  <c r="I8" i="3"/>
  <c r="I7" i="3"/>
  <c r="I6" i="3"/>
  <c r="I5" i="3"/>
  <c r="H10" i="2"/>
  <c r="F10" i="2"/>
  <c r="I9" i="2"/>
  <c r="I8" i="2"/>
  <c r="I7" i="2"/>
  <c r="I6" i="2"/>
  <c r="I5" i="2"/>
  <c r="H32" i="1"/>
  <c r="I32" i="1" s="1"/>
  <c r="F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21" i="4" l="1"/>
  <c r="I11" i="3"/>
  <c r="I10" i="2"/>
</calcChain>
</file>

<file path=xl/sharedStrings.xml><?xml version="1.0" encoding="utf-8"?>
<sst xmlns="http://schemas.openxmlformats.org/spreadsheetml/2006/main" count="268" uniqueCount="100">
  <si>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</si>
  <si>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</si>
  <si>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</si>
  <si>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</si>
  <si>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</si>
  <si>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</si>
  <si>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</si>
  <si>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</si>
  <si>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</si>
  <si>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</si>
  <si>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</si>
  <si>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 xml:space="preserve">ELU 1 -3 </t>
  </si>
  <si>
    <t>Kanale Ujites Rez Shales</t>
  </si>
  <si>
    <t>Rezervuar</t>
  </si>
  <si>
    <t>Shales</t>
  </si>
  <si>
    <t>ELU - 53</t>
  </si>
  <si>
    <t>Kanal Rema Shtermen</t>
  </si>
  <si>
    <t>Perrua</t>
  </si>
  <si>
    <t>Gostime</t>
  </si>
  <si>
    <t>ELU - 3</t>
  </si>
  <si>
    <t>Kanal ujites Sulove</t>
  </si>
  <si>
    <t>Lume</t>
  </si>
  <si>
    <t>Sulove</t>
  </si>
  <si>
    <t>ELU(B) -4</t>
  </si>
  <si>
    <t xml:space="preserve">KU.Rez. Xherije </t>
  </si>
  <si>
    <t>Xherije</t>
  </si>
  <si>
    <t>ELU - 40</t>
  </si>
  <si>
    <t xml:space="preserve">KU.Rez. Cerrik </t>
  </si>
  <si>
    <t>Cerrik</t>
  </si>
  <si>
    <t>ELU - 45</t>
  </si>
  <si>
    <t xml:space="preserve">Kanal ujites Gostime </t>
  </si>
  <si>
    <t>ELU - 54</t>
  </si>
  <si>
    <t xml:space="preserve">Kanal ujites Mollas </t>
  </si>
  <si>
    <t>Shice</t>
  </si>
  <si>
    <t>ELU - 20</t>
  </si>
  <si>
    <t xml:space="preserve">KU.Rez. Shtermen </t>
  </si>
  <si>
    <t>Shtermen</t>
  </si>
  <si>
    <t>ELU(B) - 47</t>
  </si>
  <si>
    <t>Kanal ujites Shales</t>
  </si>
  <si>
    <t>Garunje</t>
  </si>
  <si>
    <t>ELU(B) - 42</t>
  </si>
  <si>
    <t xml:space="preserve">Kanal ujites Bicit </t>
  </si>
  <si>
    <t>Liqen</t>
  </si>
  <si>
    <t>Bic</t>
  </si>
  <si>
    <t>ELU(B) - 41</t>
  </si>
  <si>
    <t xml:space="preserve">Kanal ujites  Katund  </t>
  </si>
  <si>
    <t>Katund</t>
  </si>
  <si>
    <t>ELU(B) - 40</t>
  </si>
  <si>
    <t xml:space="preserve">Kanal ujites  Kozhe  </t>
  </si>
  <si>
    <t>Kozhe</t>
  </si>
  <si>
    <t>ELU(B) - 27</t>
  </si>
  <si>
    <t xml:space="preserve">Kanal ujites  Gjolit  </t>
  </si>
  <si>
    <t>Gjol</t>
  </si>
  <si>
    <t>ELU(B) - 39</t>
  </si>
  <si>
    <t xml:space="preserve">Kanal ujites  Kamnec  </t>
  </si>
  <si>
    <t>Kamnec</t>
  </si>
  <si>
    <t>ELU(B) - 45</t>
  </si>
  <si>
    <t xml:space="preserve">Kanal ujites  Ulez  </t>
  </si>
  <si>
    <t>Ulez</t>
  </si>
  <si>
    <t>ELU(B) - 44</t>
  </si>
  <si>
    <t xml:space="preserve">Kanal ujites Gode </t>
  </si>
  <si>
    <t>Gode</t>
  </si>
  <si>
    <t>ELU(B) - 29</t>
  </si>
  <si>
    <t xml:space="preserve">Kanal ujites Dorbi </t>
  </si>
  <si>
    <t>Dorb</t>
  </si>
  <si>
    <t>ELU - 6</t>
  </si>
  <si>
    <t xml:space="preserve">KU Stp Xibrake </t>
  </si>
  <si>
    <t>Xibrake</t>
  </si>
  <si>
    <t>ELU(B) - 43</t>
  </si>
  <si>
    <t xml:space="preserve">Kanal ujites Millosh </t>
  </si>
  <si>
    <t>Millosh</t>
  </si>
  <si>
    <t>ELU(B) - 46</t>
  </si>
  <si>
    <t>Kanal ujites Cartalloz</t>
  </si>
  <si>
    <t>Cartalloz</t>
  </si>
  <si>
    <t>ELU - 52</t>
  </si>
  <si>
    <t xml:space="preserve">Kanal ujites Klos </t>
  </si>
  <si>
    <t>Klos</t>
  </si>
  <si>
    <t>ELU - 37</t>
  </si>
  <si>
    <t xml:space="preserve">KU.Rez. Topojan    </t>
  </si>
  <si>
    <t>Topojan</t>
  </si>
  <si>
    <t>ELU - 18</t>
  </si>
  <si>
    <t>KU Stp Floq Nr. 2</t>
  </si>
  <si>
    <t>Floq</t>
  </si>
  <si>
    <t>ELU - 16</t>
  </si>
  <si>
    <t xml:space="preserve">KU Stp Devoll  </t>
  </si>
  <si>
    <t>Devoll</t>
  </si>
  <si>
    <t>ELU - 15</t>
  </si>
  <si>
    <t xml:space="preserve">KU Stp  Leproz  </t>
  </si>
  <si>
    <t>Leproz</t>
  </si>
  <si>
    <t>ELU - 14</t>
  </si>
  <si>
    <t xml:space="preserve">KU Stp  Shtepanj    </t>
  </si>
  <si>
    <t>Shtepanj</t>
  </si>
  <si>
    <t>ELU - 13</t>
  </si>
  <si>
    <t xml:space="preserve">KU Stp  Banje  </t>
  </si>
  <si>
    <t>Banje</t>
  </si>
  <si>
    <t>Total</t>
  </si>
  <si>
    <t>27 Skema</t>
  </si>
  <si>
    <t>6 Skema</t>
  </si>
  <si>
    <t>5 Skema</t>
  </si>
  <si>
    <t>16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</si>
</sst>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Border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2" applyFont="1" applyBorder="1" applyAlignment="1">
      <alignment wrapText="1"/>
    </xf>
    <xf numFmtId="0" fontId="3" fillId="0" borderId="1" xfId="2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10" fontId="6" fillId="0" borderId="1" xfId="1" applyNumberFormat="1" applyFont="1" applyBorder="1"/>
    <xf numFmtId="0" fontId="3" fillId="0" borderId="1" xfId="2" applyFont="1" applyBorder="1" applyAlignment="1">
      <alignment horizontal="center" wrapText="1"/>
    </xf>
    <xf numFmtId="1" fontId="3" fillId="0" borderId="1" xfId="2" applyNumberFormat="1" applyFont="1" applyBorder="1" applyAlignment="1">
      <alignment horizontal="left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9F458C69-2F86-40AC-BFD6-0F4ACA18105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65D5-CA15-4D74-9384-BE83D27AEB82}">
  <dimension ref="A1:I32"/>
  <sheetViews>
    <sheetView zoomScaleNormal="100" workbookViewId="0">
      <selection activeCell="E35" sqref="E3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5" t="s">
        <v>12</v>
      </c>
      <c r="D5" s="15" t="s">
        <v>13</v>
      </c>
      <c r="E5" s="15" t="s">
        <v>14</v>
      </c>
      <c r="F5" s="16">
        <v>46.33</v>
      </c>
      <c r="G5" s="16"/>
      <c r="H5" s="16"/>
      <c r="I5" s="17">
        <f>H5/F5</f>
        <v>0</v>
      </c>
    </row>
    <row r="6" spans="1:9" ht="15.6" customHeight="1" x14ac:dyDescent="0.25">
      <c r="A6" s="13">
        <v>2</v>
      </c>
      <c r="B6" s="14" t="s">
        <v>15</v>
      </c>
      <c r="C6" s="15" t="s">
        <v>16</v>
      </c>
      <c r="D6" s="15" t="s">
        <v>17</v>
      </c>
      <c r="E6" s="15" t="s">
        <v>18</v>
      </c>
      <c r="F6" s="18">
        <v>14</v>
      </c>
      <c r="G6" s="16"/>
      <c r="H6" s="16"/>
      <c r="I6" s="17">
        <f t="shared" ref="I6:I32" si="0">H6/F6</f>
        <v>0</v>
      </c>
    </row>
    <row r="7" spans="1:9" ht="15.6" customHeight="1" x14ac:dyDescent="0.25">
      <c r="A7" s="13">
        <v>3</v>
      </c>
      <c r="B7" s="14" t="s">
        <v>19</v>
      </c>
      <c r="C7" s="15" t="s">
        <v>20</v>
      </c>
      <c r="D7" s="15" t="s">
        <v>21</v>
      </c>
      <c r="E7" s="15" t="s">
        <v>22</v>
      </c>
      <c r="F7" s="16">
        <v>53</v>
      </c>
      <c r="G7" s="18"/>
      <c r="H7" s="18"/>
      <c r="I7" s="17">
        <f t="shared" si="0"/>
        <v>0</v>
      </c>
    </row>
    <row r="8" spans="1:9" ht="15.6" customHeight="1" x14ac:dyDescent="0.25">
      <c r="A8" s="13">
        <v>4</v>
      </c>
      <c r="B8" s="14" t="s">
        <v>23</v>
      </c>
      <c r="C8" s="15" t="s">
        <v>24</v>
      </c>
      <c r="D8" s="15" t="s">
        <v>13</v>
      </c>
      <c r="E8" s="15" t="s">
        <v>25</v>
      </c>
      <c r="F8" s="16">
        <v>2.7</v>
      </c>
      <c r="G8" s="16"/>
      <c r="H8" s="16"/>
      <c r="I8" s="17">
        <f t="shared" si="0"/>
        <v>0</v>
      </c>
    </row>
    <row r="9" spans="1:9" ht="15.6" customHeight="1" x14ac:dyDescent="0.25">
      <c r="A9" s="13">
        <v>5</v>
      </c>
      <c r="B9" s="14" t="s">
        <v>26</v>
      </c>
      <c r="C9" s="15" t="s">
        <v>27</v>
      </c>
      <c r="D9" s="15" t="s">
        <v>13</v>
      </c>
      <c r="E9" s="15" t="s">
        <v>28</v>
      </c>
      <c r="F9" s="18">
        <v>2.5</v>
      </c>
      <c r="G9" s="16"/>
      <c r="H9" s="16"/>
      <c r="I9" s="17">
        <f t="shared" si="0"/>
        <v>0</v>
      </c>
    </row>
    <row r="10" spans="1:9" ht="15.6" customHeight="1" x14ac:dyDescent="0.25">
      <c r="A10" s="13">
        <v>6</v>
      </c>
      <c r="B10" s="14" t="s">
        <v>29</v>
      </c>
      <c r="C10" s="15" t="s">
        <v>30</v>
      </c>
      <c r="D10" s="15" t="s">
        <v>17</v>
      </c>
      <c r="E10" s="15" t="s">
        <v>18</v>
      </c>
      <c r="F10" s="16">
        <v>1.4</v>
      </c>
      <c r="G10" s="18"/>
      <c r="H10" s="18"/>
      <c r="I10" s="17">
        <f t="shared" si="0"/>
        <v>0</v>
      </c>
    </row>
    <row r="11" spans="1:9" ht="15.6" customHeight="1" x14ac:dyDescent="0.25">
      <c r="A11" s="13">
        <v>7</v>
      </c>
      <c r="B11" s="14" t="s">
        <v>31</v>
      </c>
      <c r="C11" s="15" t="s">
        <v>32</v>
      </c>
      <c r="D11" s="15" t="s">
        <v>17</v>
      </c>
      <c r="E11" s="15" t="s">
        <v>33</v>
      </c>
      <c r="F11" s="16">
        <v>1</v>
      </c>
      <c r="G11" s="16"/>
      <c r="H11" s="16"/>
      <c r="I11" s="17">
        <f t="shared" si="0"/>
        <v>0</v>
      </c>
    </row>
    <row r="12" spans="1:9" ht="15.6" customHeight="1" x14ac:dyDescent="0.25">
      <c r="A12" s="13">
        <v>8</v>
      </c>
      <c r="B12" s="14" t="s">
        <v>34</v>
      </c>
      <c r="C12" s="15" t="s">
        <v>35</v>
      </c>
      <c r="D12" s="15" t="s">
        <v>13</v>
      </c>
      <c r="E12" s="15" t="s">
        <v>36</v>
      </c>
      <c r="F12" s="18">
        <v>6.7</v>
      </c>
      <c r="G12" s="16"/>
      <c r="H12" s="16"/>
      <c r="I12" s="17">
        <f t="shared" si="0"/>
        <v>0</v>
      </c>
    </row>
    <row r="13" spans="1:9" ht="15.6" customHeight="1" x14ac:dyDescent="0.25">
      <c r="A13" s="13">
        <v>9</v>
      </c>
      <c r="B13" s="14" t="s">
        <v>37</v>
      </c>
      <c r="C13" s="15" t="s">
        <v>38</v>
      </c>
      <c r="D13" s="15" t="s">
        <v>17</v>
      </c>
      <c r="E13" s="15" t="s">
        <v>39</v>
      </c>
      <c r="F13" s="16">
        <v>3.2</v>
      </c>
      <c r="G13" s="18"/>
      <c r="H13" s="18"/>
      <c r="I13" s="17">
        <f t="shared" si="0"/>
        <v>0</v>
      </c>
    </row>
    <row r="14" spans="1:9" ht="15.6" customHeight="1" x14ac:dyDescent="0.25">
      <c r="A14" s="13">
        <v>10</v>
      </c>
      <c r="B14" s="14" t="s">
        <v>40</v>
      </c>
      <c r="C14" s="15" t="s">
        <v>41</v>
      </c>
      <c r="D14" s="15" t="s">
        <v>42</v>
      </c>
      <c r="E14" s="15" t="s">
        <v>43</v>
      </c>
      <c r="F14" s="18">
        <v>0.4</v>
      </c>
      <c r="G14" s="16"/>
      <c r="H14" s="16"/>
      <c r="I14" s="17">
        <f t="shared" si="0"/>
        <v>0</v>
      </c>
    </row>
    <row r="15" spans="1:9" ht="15.6" customHeight="1" x14ac:dyDescent="0.25">
      <c r="A15" s="13">
        <v>11</v>
      </c>
      <c r="B15" s="14" t="s">
        <v>44</v>
      </c>
      <c r="C15" s="15" t="s">
        <v>45</v>
      </c>
      <c r="D15" s="15" t="s">
        <v>42</v>
      </c>
      <c r="E15" s="15" t="s">
        <v>46</v>
      </c>
      <c r="F15" s="16">
        <v>0.5</v>
      </c>
      <c r="G15" s="16"/>
      <c r="H15" s="16"/>
      <c r="I15" s="17">
        <f t="shared" si="0"/>
        <v>0</v>
      </c>
    </row>
    <row r="16" spans="1:9" ht="15.6" customHeight="1" x14ac:dyDescent="0.25">
      <c r="A16" s="13">
        <v>12</v>
      </c>
      <c r="B16" s="14" t="s">
        <v>47</v>
      </c>
      <c r="C16" s="15" t="s">
        <v>48</v>
      </c>
      <c r="D16" s="15" t="s">
        <v>42</v>
      </c>
      <c r="E16" s="15" t="s">
        <v>49</v>
      </c>
      <c r="F16" s="16">
        <v>0.4</v>
      </c>
      <c r="G16" s="18"/>
      <c r="H16" s="18"/>
      <c r="I16" s="17">
        <f t="shared" si="0"/>
        <v>0</v>
      </c>
    </row>
    <row r="17" spans="1:9" ht="15.6" customHeight="1" x14ac:dyDescent="0.25">
      <c r="A17" s="13">
        <v>13</v>
      </c>
      <c r="B17" s="14" t="s">
        <v>50</v>
      </c>
      <c r="C17" s="15" t="s">
        <v>51</v>
      </c>
      <c r="D17" s="15" t="s">
        <v>42</v>
      </c>
      <c r="E17" s="15" t="s">
        <v>52</v>
      </c>
      <c r="F17" s="18">
        <v>0.4</v>
      </c>
      <c r="G17" s="16"/>
      <c r="H17" s="16"/>
      <c r="I17" s="17">
        <f t="shared" si="0"/>
        <v>0</v>
      </c>
    </row>
    <row r="18" spans="1:9" ht="15.6" customHeight="1" x14ac:dyDescent="0.25">
      <c r="A18" s="13">
        <v>14</v>
      </c>
      <c r="B18" s="14" t="s">
        <v>53</v>
      </c>
      <c r="C18" s="15" t="s">
        <v>54</v>
      </c>
      <c r="D18" s="15" t="s">
        <v>42</v>
      </c>
      <c r="E18" s="15" t="s">
        <v>55</v>
      </c>
      <c r="F18" s="16">
        <v>0.7</v>
      </c>
      <c r="G18" s="16"/>
      <c r="H18" s="16"/>
      <c r="I18" s="17">
        <f t="shared" si="0"/>
        <v>0</v>
      </c>
    </row>
    <row r="19" spans="1:9" ht="15.6" customHeight="1" x14ac:dyDescent="0.25">
      <c r="A19" s="13">
        <v>15</v>
      </c>
      <c r="B19" s="14" t="s">
        <v>56</v>
      </c>
      <c r="C19" s="15" t="s">
        <v>57</v>
      </c>
      <c r="D19" s="15" t="s">
        <v>42</v>
      </c>
      <c r="E19" s="15" t="s">
        <v>58</v>
      </c>
      <c r="F19" s="16">
        <v>0.6</v>
      </c>
      <c r="G19" s="18"/>
      <c r="H19" s="18"/>
      <c r="I19" s="17">
        <f t="shared" si="0"/>
        <v>0</v>
      </c>
    </row>
    <row r="20" spans="1:9" ht="15.6" customHeight="1" x14ac:dyDescent="0.25">
      <c r="A20" s="13">
        <v>16</v>
      </c>
      <c r="B20" s="14" t="s">
        <v>59</v>
      </c>
      <c r="C20" s="19" t="s">
        <v>60</v>
      </c>
      <c r="D20" s="15" t="s">
        <v>42</v>
      </c>
      <c r="E20" s="19" t="s">
        <v>61</v>
      </c>
      <c r="F20" s="18">
        <v>0.6</v>
      </c>
      <c r="G20" s="16"/>
      <c r="H20" s="16"/>
      <c r="I20" s="17">
        <f t="shared" si="0"/>
        <v>0</v>
      </c>
    </row>
    <row r="21" spans="1:9" ht="15.6" customHeight="1" x14ac:dyDescent="0.25">
      <c r="A21" s="13">
        <v>17</v>
      </c>
      <c r="B21" s="14" t="s">
        <v>62</v>
      </c>
      <c r="C21" s="15" t="s">
        <v>63</v>
      </c>
      <c r="D21" s="15" t="s">
        <v>42</v>
      </c>
      <c r="E21" s="15" t="s">
        <v>64</v>
      </c>
      <c r="F21" s="16">
        <v>0.4</v>
      </c>
      <c r="G21" s="16"/>
      <c r="H21" s="16"/>
      <c r="I21" s="17">
        <f t="shared" si="0"/>
        <v>0</v>
      </c>
    </row>
    <row r="22" spans="1:9" ht="15.6" customHeight="1" x14ac:dyDescent="0.25">
      <c r="A22" s="13">
        <v>18</v>
      </c>
      <c r="B22" s="14" t="s">
        <v>65</v>
      </c>
      <c r="C22" s="15" t="s">
        <v>66</v>
      </c>
      <c r="D22" s="15" t="s">
        <v>21</v>
      </c>
      <c r="E22" s="15" t="s">
        <v>67</v>
      </c>
      <c r="F22" s="18">
        <v>3.2</v>
      </c>
      <c r="G22" s="18"/>
      <c r="H22" s="18"/>
      <c r="I22" s="17">
        <f t="shared" si="0"/>
        <v>0</v>
      </c>
    </row>
    <row r="23" spans="1:9" ht="15.6" customHeight="1" x14ac:dyDescent="0.25">
      <c r="A23" s="13">
        <v>19</v>
      </c>
      <c r="B23" s="14" t="s">
        <v>68</v>
      </c>
      <c r="C23" s="15" t="s">
        <v>69</v>
      </c>
      <c r="D23" s="15" t="s">
        <v>42</v>
      </c>
      <c r="E23" s="15" t="s">
        <v>70</v>
      </c>
      <c r="F23" s="16">
        <v>0.4</v>
      </c>
      <c r="G23" s="16"/>
      <c r="H23" s="16"/>
      <c r="I23" s="17">
        <f t="shared" si="0"/>
        <v>0</v>
      </c>
    </row>
    <row r="24" spans="1:9" ht="15.6" customHeight="1" x14ac:dyDescent="0.25">
      <c r="A24" s="13">
        <v>20</v>
      </c>
      <c r="B24" s="14" t="s">
        <v>71</v>
      </c>
      <c r="C24" s="15" t="s">
        <v>72</v>
      </c>
      <c r="D24" s="15" t="s">
        <v>21</v>
      </c>
      <c r="E24" s="15" t="s">
        <v>73</v>
      </c>
      <c r="F24" s="16">
        <v>9.4</v>
      </c>
      <c r="G24" s="16"/>
      <c r="H24" s="16"/>
      <c r="I24" s="17">
        <f t="shared" si="0"/>
        <v>0</v>
      </c>
    </row>
    <row r="25" spans="1:9" ht="15.6" customHeight="1" x14ac:dyDescent="0.25">
      <c r="A25" s="13">
        <v>21</v>
      </c>
      <c r="B25" s="14" t="s">
        <v>74</v>
      </c>
      <c r="C25" s="15" t="s">
        <v>75</v>
      </c>
      <c r="D25" s="15" t="s">
        <v>21</v>
      </c>
      <c r="E25" s="15" t="s">
        <v>76</v>
      </c>
      <c r="F25" s="18">
        <v>3.9</v>
      </c>
      <c r="G25" s="18"/>
      <c r="H25" s="18"/>
      <c r="I25" s="17">
        <f t="shared" si="0"/>
        <v>0</v>
      </c>
    </row>
    <row r="26" spans="1:9" ht="15.6" customHeight="1" x14ac:dyDescent="0.25">
      <c r="A26" s="13">
        <v>22</v>
      </c>
      <c r="B26" s="14" t="s">
        <v>77</v>
      </c>
      <c r="C26" s="15" t="s">
        <v>78</v>
      </c>
      <c r="D26" s="15" t="s">
        <v>13</v>
      </c>
      <c r="E26" s="15" t="s">
        <v>79</v>
      </c>
      <c r="F26" s="16">
        <v>1.5</v>
      </c>
      <c r="G26" s="16"/>
      <c r="H26" s="16"/>
      <c r="I26" s="17">
        <f t="shared" si="0"/>
        <v>0</v>
      </c>
    </row>
    <row r="27" spans="1:9" ht="15.6" customHeight="1" x14ac:dyDescent="0.25">
      <c r="A27" s="13">
        <v>23</v>
      </c>
      <c r="B27" s="14" t="s">
        <v>80</v>
      </c>
      <c r="C27" s="15" t="s">
        <v>81</v>
      </c>
      <c r="D27" s="15" t="s">
        <v>21</v>
      </c>
      <c r="E27" s="15" t="s">
        <v>82</v>
      </c>
      <c r="F27" s="16">
        <v>2.8</v>
      </c>
      <c r="G27" s="16"/>
      <c r="H27" s="16"/>
      <c r="I27" s="17">
        <f t="shared" si="0"/>
        <v>0</v>
      </c>
    </row>
    <row r="28" spans="1:9" ht="15.6" customHeight="1" x14ac:dyDescent="0.25">
      <c r="A28" s="13">
        <v>24</v>
      </c>
      <c r="B28" s="14" t="s">
        <v>83</v>
      </c>
      <c r="C28" s="15" t="s">
        <v>84</v>
      </c>
      <c r="D28" s="15" t="s">
        <v>21</v>
      </c>
      <c r="E28" s="15" t="s">
        <v>85</v>
      </c>
      <c r="F28" s="18">
        <v>0.3</v>
      </c>
      <c r="G28" s="16"/>
      <c r="H28" s="16"/>
      <c r="I28" s="17">
        <f t="shared" si="0"/>
        <v>0</v>
      </c>
    </row>
    <row r="29" spans="1:9" ht="15.6" customHeight="1" x14ac:dyDescent="0.25">
      <c r="A29" s="13">
        <v>25</v>
      </c>
      <c r="B29" s="14" t="s">
        <v>86</v>
      </c>
      <c r="C29" s="15" t="s">
        <v>87</v>
      </c>
      <c r="D29" s="15" t="s">
        <v>21</v>
      </c>
      <c r="E29" s="15" t="s">
        <v>88</v>
      </c>
      <c r="F29" s="16">
        <v>1.8</v>
      </c>
      <c r="G29" s="16"/>
      <c r="H29" s="16"/>
      <c r="I29" s="17">
        <f t="shared" si="0"/>
        <v>0</v>
      </c>
    </row>
    <row r="30" spans="1:9" ht="15.6" customHeight="1" x14ac:dyDescent="0.25">
      <c r="A30" s="13">
        <v>26</v>
      </c>
      <c r="B30" s="14" t="s">
        <v>89</v>
      </c>
      <c r="C30" s="15" t="s">
        <v>90</v>
      </c>
      <c r="D30" s="15" t="s">
        <v>21</v>
      </c>
      <c r="E30" s="15" t="s">
        <v>91</v>
      </c>
      <c r="F30" s="18">
        <v>4.2</v>
      </c>
      <c r="G30" s="16"/>
      <c r="H30" s="16"/>
      <c r="I30" s="17">
        <f t="shared" si="0"/>
        <v>0</v>
      </c>
    </row>
    <row r="31" spans="1:9" ht="15.6" customHeight="1" x14ac:dyDescent="0.25">
      <c r="A31" s="13">
        <v>27</v>
      </c>
      <c r="B31" s="14" t="s">
        <v>92</v>
      </c>
      <c r="C31" s="15" t="s">
        <v>93</v>
      </c>
      <c r="D31" s="15" t="s">
        <v>21</v>
      </c>
      <c r="E31" s="15" t="s">
        <v>94</v>
      </c>
      <c r="F31" s="16">
        <v>1.2</v>
      </c>
      <c r="G31" s="16"/>
      <c r="H31" s="16"/>
      <c r="I31" s="17">
        <f t="shared" si="0"/>
        <v>0</v>
      </c>
    </row>
    <row r="32" spans="1:9" ht="16.8" customHeight="1" x14ac:dyDescent="0.25">
      <c r="A32" s="5" t="s">
        <v>95</v>
      </c>
      <c r="B32" s="5"/>
      <c r="C32" s="5"/>
      <c r="D32" s="5" t="s">
        <v>96</v>
      </c>
      <c r="E32" s="5"/>
      <c r="F32" s="20">
        <f>SUM(F5:F31)</f>
        <v>163.53000000000003</v>
      </c>
      <c r="G32" s="21"/>
      <c r="H32" s="20">
        <f t="shared" ref="H32" si="1">SUM(H5:H31)</f>
        <v>0</v>
      </c>
      <c r="I32" s="22">
        <f t="shared" si="0"/>
        <v>0</v>
      </c>
    </row>
  </sheetData>
  <mergeCells count="8">
    <mergeCell ref="A32:C32"/>
    <mergeCell ref="D32:E32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812F-2739-4C43-8D1C-950DCA2AFDBE}">
  <dimension ref="A1:I10"/>
  <sheetViews>
    <sheetView zoomScaleNormal="100" workbookViewId="0">
      <selection activeCell="D11" sqref="D1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5" t="s">
        <v>12</v>
      </c>
      <c r="D5" s="15" t="s">
        <v>13</v>
      </c>
      <c r="E5" s="15" t="s">
        <v>14</v>
      </c>
      <c r="F5" s="16">
        <v>46.33</v>
      </c>
      <c r="G5" s="16"/>
      <c r="H5" s="16"/>
      <c r="I5" s="17">
        <f>H5/F5</f>
        <v>0</v>
      </c>
    </row>
    <row r="6" spans="1:9" ht="15.6" customHeight="1" x14ac:dyDescent="0.25">
      <c r="A6" s="13">
        <v>2</v>
      </c>
      <c r="B6" s="14" t="s">
        <v>23</v>
      </c>
      <c r="C6" s="15" t="s">
        <v>24</v>
      </c>
      <c r="D6" s="15" t="s">
        <v>13</v>
      </c>
      <c r="E6" s="15" t="s">
        <v>25</v>
      </c>
      <c r="F6" s="16">
        <v>2.7</v>
      </c>
      <c r="G6" s="16"/>
      <c r="H6" s="16"/>
      <c r="I6" s="17">
        <f t="shared" ref="I6:I10" si="0">H6/F6</f>
        <v>0</v>
      </c>
    </row>
    <row r="7" spans="1:9" ht="15.6" customHeight="1" x14ac:dyDescent="0.25">
      <c r="A7" s="13">
        <v>3</v>
      </c>
      <c r="B7" s="14" t="s">
        <v>26</v>
      </c>
      <c r="C7" s="15" t="s">
        <v>27</v>
      </c>
      <c r="D7" s="15" t="s">
        <v>13</v>
      </c>
      <c r="E7" s="15" t="s">
        <v>28</v>
      </c>
      <c r="F7" s="18">
        <v>2.5</v>
      </c>
      <c r="G7" s="16"/>
      <c r="H7" s="16"/>
      <c r="I7" s="17">
        <f t="shared" si="0"/>
        <v>0</v>
      </c>
    </row>
    <row r="8" spans="1:9" ht="15.6" customHeight="1" x14ac:dyDescent="0.25">
      <c r="A8" s="13">
        <v>4</v>
      </c>
      <c r="B8" s="14" t="s">
        <v>34</v>
      </c>
      <c r="C8" s="15" t="s">
        <v>35</v>
      </c>
      <c r="D8" s="15" t="s">
        <v>13</v>
      </c>
      <c r="E8" s="15" t="s">
        <v>36</v>
      </c>
      <c r="F8" s="18">
        <v>6.7</v>
      </c>
      <c r="G8" s="16"/>
      <c r="H8" s="16"/>
      <c r="I8" s="17">
        <f t="shared" si="0"/>
        <v>0</v>
      </c>
    </row>
    <row r="9" spans="1:9" ht="15.6" customHeight="1" x14ac:dyDescent="0.25">
      <c r="A9" s="13">
        <v>5</v>
      </c>
      <c r="B9" s="14" t="s">
        <v>77</v>
      </c>
      <c r="C9" s="15" t="s">
        <v>78</v>
      </c>
      <c r="D9" s="15" t="s">
        <v>13</v>
      </c>
      <c r="E9" s="15" t="s">
        <v>79</v>
      </c>
      <c r="F9" s="16">
        <v>1.5</v>
      </c>
      <c r="G9" s="16"/>
      <c r="H9" s="16"/>
      <c r="I9" s="17">
        <f t="shared" si="0"/>
        <v>0</v>
      </c>
    </row>
    <row r="10" spans="1:9" ht="16.8" customHeight="1" x14ac:dyDescent="0.25">
      <c r="A10" s="5" t="s">
        <v>95</v>
      </c>
      <c r="B10" s="5"/>
      <c r="C10" s="5"/>
      <c r="D10" s="5" t="s">
        <v>98</v>
      </c>
      <c r="E10" s="5"/>
      <c r="F10" s="20">
        <f>SUM(F5:F9)</f>
        <v>59.730000000000004</v>
      </c>
      <c r="G10" s="21"/>
      <c r="H10" s="20">
        <f>SUM(H5:H9)</f>
        <v>0</v>
      </c>
      <c r="I10" s="22">
        <f t="shared" si="0"/>
        <v>0</v>
      </c>
    </row>
  </sheetData>
  <mergeCells count="8">
    <mergeCell ref="A10:C10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7672-F4D4-4297-8FAD-34919E6026E4}">
  <dimension ref="A1:I11"/>
  <sheetViews>
    <sheetView zoomScaleNormal="100" workbookViewId="0">
      <selection activeCell="D12" sqref="D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65</v>
      </c>
      <c r="C5" s="15" t="s">
        <v>66</v>
      </c>
      <c r="D5" s="15" t="s">
        <v>21</v>
      </c>
      <c r="E5" s="15" t="s">
        <v>67</v>
      </c>
      <c r="F5" s="18">
        <v>3.2</v>
      </c>
      <c r="G5" s="18"/>
      <c r="H5" s="18"/>
      <c r="I5" s="17">
        <f t="shared" ref="I5:I11" si="0">H5/F5</f>
        <v>0</v>
      </c>
    </row>
    <row r="6" spans="1:9" ht="15.6" customHeight="1" x14ac:dyDescent="0.25">
      <c r="A6" s="13">
        <v>2</v>
      </c>
      <c r="B6" s="14" t="s">
        <v>80</v>
      </c>
      <c r="C6" s="15" t="s">
        <v>81</v>
      </c>
      <c r="D6" s="15" t="s">
        <v>21</v>
      </c>
      <c r="E6" s="15" t="s">
        <v>82</v>
      </c>
      <c r="F6" s="16">
        <v>2.8</v>
      </c>
      <c r="G6" s="16"/>
      <c r="H6" s="16"/>
      <c r="I6" s="17">
        <f t="shared" si="0"/>
        <v>0</v>
      </c>
    </row>
    <row r="7" spans="1:9" ht="15.6" customHeight="1" x14ac:dyDescent="0.25">
      <c r="A7" s="13">
        <v>3</v>
      </c>
      <c r="B7" s="14" t="s">
        <v>83</v>
      </c>
      <c r="C7" s="15" t="s">
        <v>84</v>
      </c>
      <c r="D7" s="15" t="s">
        <v>21</v>
      </c>
      <c r="E7" s="15" t="s">
        <v>85</v>
      </c>
      <c r="F7" s="18">
        <v>0.3</v>
      </c>
      <c r="G7" s="16"/>
      <c r="H7" s="16"/>
      <c r="I7" s="17">
        <f t="shared" si="0"/>
        <v>0</v>
      </c>
    </row>
    <row r="8" spans="1:9" ht="15.6" customHeight="1" x14ac:dyDescent="0.25">
      <c r="A8" s="13">
        <v>4</v>
      </c>
      <c r="B8" s="14" t="s">
        <v>86</v>
      </c>
      <c r="C8" s="15" t="s">
        <v>87</v>
      </c>
      <c r="D8" s="15" t="s">
        <v>21</v>
      </c>
      <c r="E8" s="15" t="s">
        <v>88</v>
      </c>
      <c r="F8" s="16">
        <v>1.8</v>
      </c>
      <c r="G8" s="16"/>
      <c r="H8" s="16"/>
      <c r="I8" s="17">
        <f t="shared" si="0"/>
        <v>0</v>
      </c>
    </row>
    <row r="9" spans="1:9" ht="15.6" customHeight="1" x14ac:dyDescent="0.25">
      <c r="A9" s="13">
        <v>5</v>
      </c>
      <c r="B9" s="14" t="s">
        <v>89</v>
      </c>
      <c r="C9" s="15" t="s">
        <v>90</v>
      </c>
      <c r="D9" s="15" t="s">
        <v>21</v>
      </c>
      <c r="E9" s="15" t="s">
        <v>91</v>
      </c>
      <c r="F9" s="18">
        <v>4.2</v>
      </c>
      <c r="G9" s="16"/>
      <c r="H9" s="16"/>
      <c r="I9" s="17">
        <f t="shared" si="0"/>
        <v>0</v>
      </c>
    </row>
    <row r="10" spans="1:9" ht="15.6" customHeight="1" x14ac:dyDescent="0.25">
      <c r="A10" s="13">
        <v>6</v>
      </c>
      <c r="B10" s="14" t="s">
        <v>92</v>
      </c>
      <c r="C10" s="15" t="s">
        <v>93</v>
      </c>
      <c r="D10" s="15" t="s">
        <v>21</v>
      </c>
      <c r="E10" s="15" t="s">
        <v>94</v>
      </c>
      <c r="F10" s="16">
        <v>1.2</v>
      </c>
      <c r="G10" s="16"/>
      <c r="H10" s="16"/>
      <c r="I10" s="17">
        <f t="shared" si="0"/>
        <v>0</v>
      </c>
    </row>
    <row r="11" spans="1:9" ht="16.8" customHeight="1" x14ac:dyDescent="0.25">
      <c r="A11" s="5" t="s">
        <v>95</v>
      </c>
      <c r="B11" s="5"/>
      <c r="C11" s="5"/>
      <c r="D11" s="5" t="s">
        <v>97</v>
      </c>
      <c r="E11" s="5"/>
      <c r="F11" s="20">
        <f>SUM(F5:F10)</f>
        <v>13.5</v>
      </c>
      <c r="G11" s="21"/>
      <c r="H11" s="20">
        <f>SUM(H5:H10)</f>
        <v>0</v>
      </c>
      <c r="I11" s="22">
        <f t="shared" si="0"/>
        <v>0</v>
      </c>
    </row>
  </sheetData>
  <mergeCells count="8">
    <mergeCell ref="A11:C11"/>
    <mergeCell ref="D11:E11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14A8-EE75-4978-9BBE-A6BA6736BD69}">
  <dimension ref="A1:I21"/>
  <sheetViews>
    <sheetView tabSelected="1" zoomScaleNormal="100" workbookViewId="0">
      <selection activeCell="D28" sqref="D2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15</v>
      </c>
      <c r="C5" s="15" t="s">
        <v>16</v>
      </c>
      <c r="D5" s="15" t="s">
        <v>17</v>
      </c>
      <c r="E5" s="15" t="s">
        <v>18</v>
      </c>
      <c r="F5" s="18">
        <v>14</v>
      </c>
      <c r="G5" s="16"/>
      <c r="H5" s="16"/>
      <c r="I5" s="17">
        <f t="shared" ref="I5:I21" si="0">H5/F5</f>
        <v>0</v>
      </c>
    </row>
    <row r="6" spans="1:9" ht="15.6" customHeight="1" x14ac:dyDescent="0.25">
      <c r="A6" s="13">
        <v>2</v>
      </c>
      <c r="B6" s="14" t="s">
        <v>19</v>
      </c>
      <c r="C6" s="15" t="s">
        <v>20</v>
      </c>
      <c r="D6" s="15" t="s">
        <v>21</v>
      </c>
      <c r="E6" s="15" t="s">
        <v>22</v>
      </c>
      <c r="F6" s="16">
        <v>53</v>
      </c>
      <c r="G6" s="18"/>
      <c r="H6" s="18"/>
      <c r="I6" s="17">
        <f t="shared" si="0"/>
        <v>0</v>
      </c>
    </row>
    <row r="7" spans="1:9" ht="15.6" customHeight="1" x14ac:dyDescent="0.25">
      <c r="A7" s="13">
        <v>3</v>
      </c>
      <c r="B7" s="14" t="s">
        <v>29</v>
      </c>
      <c r="C7" s="15" t="s">
        <v>30</v>
      </c>
      <c r="D7" s="15" t="s">
        <v>17</v>
      </c>
      <c r="E7" s="15" t="s">
        <v>18</v>
      </c>
      <c r="F7" s="16">
        <v>1.4</v>
      </c>
      <c r="G7" s="18"/>
      <c r="H7" s="18"/>
      <c r="I7" s="17">
        <f t="shared" si="0"/>
        <v>0</v>
      </c>
    </row>
    <row r="8" spans="1:9" ht="15.6" customHeight="1" x14ac:dyDescent="0.25">
      <c r="A8" s="13">
        <v>4</v>
      </c>
      <c r="B8" s="14" t="s">
        <v>31</v>
      </c>
      <c r="C8" s="15" t="s">
        <v>32</v>
      </c>
      <c r="D8" s="15" t="s">
        <v>17</v>
      </c>
      <c r="E8" s="15" t="s">
        <v>33</v>
      </c>
      <c r="F8" s="16">
        <v>1</v>
      </c>
      <c r="G8" s="16"/>
      <c r="H8" s="16"/>
      <c r="I8" s="17">
        <f t="shared" si="0"/>
        <v>0</v>
      </c>
    </row>
    <row r="9" spans="1:9" ht="15.6" customHeight="1" x14ac:dyDescent="0.25">
      <c r="A9" s="13">
        <v>5</v>
      </c>
      <c r="B9" s="14" t="s">
        <v>37</v>
      </c>
      <c r="C9" s="15" t="s">
        <v>38</v>
      </c>
      <c r="D9" s="15" t="s">
        <v>17</v>
      </c>
      <c r="E9" s="15" t="s">
        <v>39</v>
      </c>
      <c r="F9" s="16">
        <v>3.2</v>
      </c>
      <c r="G9" s="18"/>
      <c r="H9" s="18"/>
      <c r="I9" s="17">
        <f t="shared" si="0"/>
        <v>0</v>
      </c>
    </row>
    <row r="10" spans="1:9" ht="15.6" customHeight="1" x14ac:dyDescent="0.25">
      <c r="A10" s="13">
        <v>6</v>
      </c>
      <c r="B10" s="14" t="s">
        <v>40</v>
      </c>
      <c r="C10" s="15" t="s">
        <v>41</v>
      </c>
      <c r="D10" s="15" t="s">
        <v>42</v>
      </c>
      <c r="E10" s="15" t="s">
        <v>43</v>
      </c>
      <c r="F10" s="18">
        <v>0.4</v>
      </c>
      <c r="G10" s="16"/>
      <c r="H10" s="16"/>
      <c r="I10" s="17">
        <f t="shared" si="0"/>
        <v>0</v>
      </c>
    </row>
    <row r="11" spans="1:9" ht="15.6" customHeight="1" x14ac:dyDescent="0.25">
      <c r="A11" s="13">
        <v>7</v>
      </c>
      <c r="B11" s="14" t="s">
        <v>44</v>
      </c>
      <c r="C11" s="15" t="s">
        <v>45</v>
      </c>
      <c r="D11" s="15" t="s">
        <v>42</v>
      </c>
      <c r="E11" s="15" t="s">
        <v>46</v>
      </c>
      <c r="F11" s="16">
        <v>0.5</v>
      </c>
      <c r="G11" s="16"/>
      <c r="H11" s="16"/>
      <c r="I11" s="17">
        <f t="shared" si="0"/>
        <v>0</v>
      </c>
    </row>
    <row r="12" spans="1:9" ht="15.6" customHeight="1" x14ac:dyDescent="0.25">
      <c r="A12" s="13">
        <v>8</v>
      </c>
      <c r="B12" s="14" t="s">
        <v>47</v>
      </c>
      <c r="C12" s="15" t="s">
        <v>48</v>
      </c>
      <c r="D12" s="15" t="s">
        <v>42</v>
      </c>
      <c r="E12" s="15" t="s">
        <v>49</v>
      </c>
      <c r="F12" s="16">
        <v>0.4</v>
      </c>
      <c r="G12" s="18"/>
      <c r="H12" s="18"/>
      <c r="I12" s="17">
        <f t="shared" si="0"/>
        <v>0</v>
      </c>
    </row>
    <row r="13" spans="1:9" ht="15.6" customHeight="1" x14ac:dyDescent="0.25">
      <c r="A13" s="13">
        <v>9</v>
      </c>
      <c r="B13" s="14" t="s">
        <v>50</v>
      </c>
      <c r="C13" s="15" t="s">
        <v>51</v>
      </c>
      <c r="D13" s="15" t="s">
        <v>42</v>
      </c>
      <c r="E13" s="15" t="s">
        <v>52</v>
      </c>
      <c r="F13" s="18">
        <v>0.4</v>
      </c>
      <c r="G13" s="16"/>
      <c r="H13" s="16"/>
      <c r="I13" s="17">
        <f t="shared" si="0"/>
        <v>0</v>
      </c>
    </row>
    <row r="14" spans="1:9" ht="15.6" customHeight="1" x14ac:dyDescent="0.25">
      <c r="A14" s="13">
        <v>10</v>
      </c>
      <c r="B14" s="14" t="s">
        <v>53</v>
      </c>
      <c r="C14" s="15" t="s">
        <v>54</v>
      </c>
      <c r="D14" s="15" t="s">
        <v>42</v>
      </c>
      <c r="E14" s="15" t="s">
        <v>55</v>
      </c>
      <c r="F14" s="16">
        <v>0.7</v>
      </c>
      <c r="G14" s="16"/>
      <c r="H14" s="16"/>
      <c r="I14" s="17">
        <f t="shared" si="0"/>
        <v>0</v>
      </c>
    </row>
    <row r="15" spans="1:9" ht="15.6" customHeight="1" x14ac:dyDescent="0.25">
      <c r="A15" s="13">
        <v>11</v>
      </c>
      <c r="B15" s="14" t="s">
        <v>56</v>
      </c>
      <c r="C15" s="15" t="s">
        <v>57</v>
      </c>
      <c r="D15" s="15" t="s">
        <v>42</v>
      </c>
      <c r="E15" s="15" t="s">
        <v>58</v>
      </c>
      <c r="F15" s="16">
        <v>0.6</v>
      </c>
      <c r="G15" s="18"/>
      <c r="H15" s="18"/>
      <c r="I15" s="17">
        <f t="shared" si="0"/>
        <v>0</v>
      </c>
    </row>
    <row r="16" spans="1:9" ht="15.6" customHeight="1" x14ac:dyDescent="0.25">
      <c r="A16" s="13">
        <v>12</v>
      </c>
      <c r="B16" s="14" t="s">
        <v>59</v>
      </c>
      <c r="C16" s="19" t="s">
        <v>60</v>
      </c>
      <c r="D16" s="15" t="s">
        <v>42</v>
      </c>
      <c r="E16" s="19" t="s">
        <v>61</v>
      </c>
      <c r="F16" s="18">
        <v>0.6</v>
      </c>
      <c r="G16" s="16"/>
      <c r="H16" s="16"/>
      <c r="I16" s="17">
        <f t="shared" si="0"/>
        <v>0</v>
      </c>
    </row>
    <row r="17" spans="1:9" ht="15.6" customHeight="1" x14ac:dyDescent="0.25">
      <c r="A17" s="13">
        <v>13</v>
      </c>
      <c r="B17" s="14" t="s">
        <v>62</v>
      </c>
      <c r="C17" s="15" t="s">
        <v>63</v>
      </c>
      <c r="D17" s="15" t="s">
        <v>42</v>
      </c>
      <c r="E17" s="15" t="s">
        <v>64</v>
      </c>
      <c r="F17" s="16">
        <v>0.4</v>
      </c>
      <c r="G17" s="16"/>
      <c r="H17" s="16"/>
      <c r="I17" s="17">
        <f t="shared" si="0"/>
        <v>0</v>
      </c>
    </row>
    <row r="18" spans="1:9" ht="15.6" customHeight="1" x14ac:dyDescent="0.25">
      <c r="A18" s="13">
        <v>14</v>
      </c>
      <c r="B18" s="14" t="s">
        <v>68</v>
      </c>
      <c r="C18" s="15" t="s">
        <v>69</v>
      </c>
      <c r="D18" s="15" t="s">
        <v>42</v>
      </c>
      <c r="E18" s="15" t="s">
        <v>70</v>
      </c>
      <c r="F18" s="16">
        <v>0.4</v>
      </c>
      <c r="G18" s="16"/>
      <c r="H18" s="16"/>
      <c r="I18" s="17">
        <f t="shared" si="0"/>
        <v>0</v>
      </c>
    </row>
    <row r="19" spans="1:9" ht="15.6" customHeight="1" x14ac:dyDescent="0.25">
      <c r="A19" s="13">
        <v>15</v>
      </c>
      <c r="B19" s="14" t="s">
        <v>71</v>
      </c>
      <c r="C19" s="15" t="s">
        <v>72</v>
      </c>
      <c r="D19" s="15" t="s">
        <v>21</v>
      </c>
      <c r="E19" s="15" t="s">
        <v>73</v>
      </c>
      <c r="F19" s="16">
        <v>9.4</v>
      </c>
      <c r="G19" s="16"/>
      <c r="H19" s="16"/>
      <c r="I19" s="17">
        <f t="shared" si="0"/>
        <v>0</v>
      </c>
    </row>
    <row r="20" spans="1:9" ht="15.6" customHeight="1" x14ac:dyDescent="0.25">
      <c r="A20" s="13">
        <v>16</v>
      </c>
      <c r="B20" s="14" t="s">
        <v>74</v>
      </c>
      <c r="C20" s="15" t="s">
        <v>75</v>
      </c>
      <c r="D20" s="15" t="s">
        <v>21</v>
      </c>
      <c r="E20" s="15" t="s">
        <v>76</v>
      </c>
      <c r="F20" s="18">
        <v>3.9</v>
      </c>
      <c r="G20" s="18"/>
      <c r="H20" s="18"/>
      <c r="I20" s="17">
        <f t="shared" si="0"/>
        <v>0</v>
      </c>
    </row>
    <row r="21" spans="1:9" ht="16.8" customHeight="1" x14ac:dyDescent="0.25">
      <c r="A21" s="5" t="s">
        <v>95</v>
      </c>
      <c r="B21" s="5"/>
      <c r="C21" s="5"/>
      <c r="D21" s="5" t="s">
        <v>99</v>
      </c>
      <c r="E21" s="5"/>
      <c r="F21" s="20">
        <f>SUM(F5:F20)</f>
        <v>90.30000000000004</v>
      </c>
      <c r="G21" s="21"/>
      <c r="H21" s="20">
        <f>SUM(H5:H20)</f>
        <v>0</v>
      </c>
      <c r="I21" s="22">
        <f t="shared" si="0"/>
        <v>0</v>
      </c>
    </row>
  </sheetData>
  <mergeCells count="8">
    <mergeCell ref="A21:C21"/>
    <mergeCell ref="D21:E21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Inv__Ujitjes_Cerrik</vt:lpstr>
      <vt:lpstr>Rezervuar</vt:lpstr>
      <vt:lpstr>Stacion pompimi</vt:lpstr>
      <vt:lpstr>Lume Liqen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2026-10-05T13:49:37Z</dcterms:created>
  <dcterms:modified xsi:type="dcterms:W3CDTF">2026-10-05T13:54:04Z</dcterms:modified>
</cp:coreProperties>
</file>