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6E666A58-A018-4C4D-8030-C2CB6B870FB1}" xr6:coauthVersionLast="47" xr6:coauthVersionMax="47" xr10:uidLastSave="{00000000-0000-0000-0000-000000000000}"/>
  <bookViews>
    <workbookView xWindow="-28920" yWindow="-1470" windowWidth="29040" windowHeight="15720" activeTab="3" xr2:uid="{436CCF36-1B70-4817-B5B7-A3847BB098E5}"/>
  </bookViews>
  <sheets>
    <sheet name="Inv__Ujitjes_Fier" sheetId="1" r:id="rId1"/>
    <sheet name="Rezervuar" sheetId="2" r:id="rId2"/>
    <sheet name="Stacion Pompimi" sheetId="3" r:id="rId3"/>
    <sheet name="Lume &amp; Kanale" sheetId="4" r:id="rId4"/>
    <sheet name="Skema Pjeserisht te transferuar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5" l="1"/>
  <c r="F7" i="5"/>
  <c r="I6" i="5"/>
  <c r="H6" i="4"/>
  <c r="F6" i="4"/>
  <c r="I5" i="4"/>
  <c r="H26" i="3"/>
  <c r="F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H20" i="2"/>
  <c r="F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50" i="1"/>
  <c r="I50" i="1" s="1"/>
  <c r="F50" i="1"/>
  <c r="I49" i="1"/>
  <c r="H43" i="1"/>
  <c r="F43" i="1"/>
  <c r="I43" i="1" s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7" i="5" l="1"/>
  <c r="I6" i="4"/>
  <c r="I26" i="3"/>
  <c r="I20" i="2"/>
</calcChain>
</file>

<file path=xl/sharedStrings.xml><?xml version="1.0" encoding="utf-8"?>
<sst xmlns="http://schemas.openxmlformats.org/spreadsheetml/2006/main" count="384" uniqueCount="106">
  <si>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</si>
  <si>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</si>
  <si>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</si>
  <si>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</si>
  <si>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</si>
  <si>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</si>
  <si>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</si>
  <si>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</si>
  <si>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</si>
  <si>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</si>
  <si>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</si>
  <si>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FRU - 1-2</t>
  </si>
  <si>
    <t xml:space="preserve">St.Selishte </t>
  </si>
  <si>
    <t>Kan.V-L-F</t>
  </si>
  <si>
    <t>FRU - 1-3</t>
  </si>
  <si>
    <t xml:space="preserve">St.Varibob </t>
  </si>
  <si>
    <t>FRU - 1-4</t>
  </si>
  <si>
    <t xml:space="preserve">St.Hambar 1 </t>
  </si>
  <si>
    <t>FRU - 1-5</t>
  </si>
  <si>
    <t>St.Hambar 2</t>
  </si>
  <si>
    <t>FRU - 1-6</t>
  </si>
  <si>
    <t xml:space="preserve">St.Vjose </t>
  </si>
  <si>
    <t>FRU - 1-7</t>
  </si>
  <si>
    <t xml:space="preserve">St.Gjonc </t>
  </si>
  <si>
    <t>FRU - 1-8</t>
  </si>
  <si>
    <t xml:space="preserve">St.Kafaraj </t>
  </si>
  <si>
    <t>FRU - 1-9</t>
  </si>
  <si>
    <t xml:space="preserve">St.Agrume </t>
  </si>
  <si>
    <t>FRU - 1-10</t>
  </si>
  <si>
    <t xml:space="preserve">St.Vadhize </t>
  </si>
  <si>
    <t>FRU - 1-11</t>
  </si>
  <si>
    <t xml:space="preserve">St.Havaleas </t>
  </si>
  <si>
    <t>FRU - 4-1</t>
  </si>
  <si>
    <t>Myzeqe</t>
  </si>
  <si>
    <t>Rez. Thane</t>
  </si>
  <si>
    <t>FRU - 32</t>
  </si>
  <si>
    <t>Kallm stacion pompimi 1</t>
  </si>
  <si>
    <t>Lume ( Seman )</t>
  </si>
  <si>
    <t>FRU - 33</t>
  </si>
  <si>
    <t xml:space="preserve">Kallm stacion pompimi 2 </t>
  </si>
  <si>
    <t>FRU - 12</t>
  </si>
  <si>
    <t>Turbull Reservoir</t>
  </si>
  <si>
    <t>Rezervuar</t>
  </si>
  <si>
    <t>FRU - 26</t>
  </si>
  <si>
    <t>Frakull Vogel Reservoir</t>
  </si>
  <si>
    <t>FRU - 10</t>
  </si>
  <si>
    <t>Visoke Reservoir</t>
  </si>
  <si>
    <t>FRU - 9</t>
  </si>
  <si>
    <t>Libofshe Reservoir</t>
  </si>
  <si>
    <t>FRU - 11</t>
  </si>
  <si>
    <t>Lalar Reservoir</t>
  </si>
  <si>
    <t>FRU - 21</t>
  </si>
  <si>
    <t>Petove Reservoir</t>
  </si>
  <si>
    <t>FRU - 2-1</t>
  </si>
  <si>
    <t>Stp. Mujalli</t>
  </si>
  <si>
    <t>Kanali V.-L.-F.</t>
  </si>
  <si>
    <t>FRU - 2-2</t>
  </si>
  <si>
    <t>Stp. Bitaj</t>
  </si>
  <si>
    <t xml:space="preserve">Kolektori I Bitaj </t>
  </si>
  <si>
    <t>FRU - 2-3</t>
  </si>
  <si>
    <t xml:space="preserve">UFSh Metaj </t>
  </si>
  <si>
    <t xml:space="preserve">Kanali kull.Kufizuesi I Majte </t>
  </si>
  <si>
    <t>FRU - 6</t>
  </si>
  <si>
    <t>Afrim Reservoir</t>
  </si>
  <si>
    <t>FRU - 7</t>
  </si>
  <si>
    <t>Qenas Reservoir</t>
  </si>
  <si>
    <t>FRU - 8</t>
  </si>
  <si>
    <t>Drize Reservoir</t>
  </si>
  <si>
    <t>FRU - 20</t>
  </si>
  <si>
    <t>Zhupan Reservoir</t>
  </si>
  <si>
    <t>FRU - 22</t>
  </si>
  <si>
    <t>FRU - 23</t>
  </si>
  <si>
    <t>Plyk Reservoir</t>
  </si>
  <si>
    <t>FRU - 25</t>
  </si>
  <si>
    <t>Kraps Reservoir</t>
  </si>
  <si>
    <t>FRU - 27</t>
  </si>
  <si>
    <t>Frakull Madhe Reservoir</t>
  </si>
  <si>
    <t>FRU - 28</t>
  </si>
  <si>
    <t>Kraps elec. pomp 1</t>
  </si>
  <si>
    <t>Lume ( Gjanice )</t>
  </si>
  <si>
    <t>FRU - 29</t>
  </si>
  <si>
    <t>Kraps elec. pomp 2</t>
  </si>
  <si>
    <t>FRU - 30</t>
  </si>
  <si>
    <t>Belin elec. pomp</t>
  </si>
  <si>
    <t>FRU - 31</t>
  </si>
  <si>
    <t>Mbrostar stacion pompimi</t>
  </si>
  <si>
    <t>FRU - 34</t>
  </si>
  <si>
    <t xml:space="preserve">Koshovice stacion pompimi </t>
  </si>
  <si>
    <t>Lume ( Levan )</t>
  </si>
  <si>
    <t>FRU - 35</t>
  </si>
  <si>
    <t>Daullas stacion pompimi</t>
  </si>
  <si>
    <t>K - R - H</t>
  </si>
  <si>
    <t>FRU - 15</t>
  </si>
  <si>
    <t>Lalar stacion pompimi</t>
  </si>
  <si>
    <t>FRU - 19</t>
  </si>
  <si>
    <t>Koshovice Reservoir</t>
  </si>
  <si>
    <t>Total</t>
  </si>
  <si>
    <t>38 Skema</t>
  </si>
  <si>
    <t>Skema të pjesërisht të transferuara</t>
  </si>
  <si>
    <t>Vetëm Kanale të Dyta në Km</t>
  </si>
  <si>
    <t>FRU - 1-1</t>
  </si>
  <si>
    <t>Fusha Hoxhares</t>
  </si>
  <si>
    <t>Lumi Vjose</t>
  </si>
  <si>
    <t>1 Skeme</t>
  </si>
  <si>
    <t>15 Skema</t>
  </si>
  <si>
    <t>21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</si>
</sst>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0" xfId="0" applyFont="1"/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3FF9400C-46A7-4344-8058-D7376944F55B}"/>
    <cellStyle name="Percent 2" xfId="2" xr:uid="{F8941CC4-C9D9-47FA-AE20-F28DF95378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F28F-419C-4CDB-BC41-DC1652CB29C7}">
  <dimension ref="A1:I50"/>
  <sheetViews>
    <sheetView topLeftCell="A16" zoomScaleNormal="100" workbookViewId="0">
      <selection activeCell="B57" sqref="B5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4">
        <v>25</v>
      </c>
      <c r="G5" s="17"/>
      <c r="H5" s="17"/>
      <c r="I5" s="18">
        <f t="shared" ref="I5:I41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4">
        <v>1.8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13</v>
      </c>
      <c r="E7" s="16" t="s">
        <v>13</v>
      </c>
      <c r="F7" s="14">
        <v>2.4</v>
      </c>
      <c r="G7" s="14"/>
      <c r="H7" s="14"/>
      <c r="I7" s="18">
        <f t="shared" si="0"/>
        <v>0</v>
      </c>
    </row>
    <row r="8" spans="1:9" ht="15.6" customHeight="1" x14ac:dyDescent="0.25">
      <c r="A8" s="13">
        <v>4</v>
      </c>
      <c r="B8" s="14" t="s">
        <v>18</v>
      </c>
      <c r="C8" s="14" t="s">
        <v>19</v>
      </c>
      <c r="D8" s="15" t="s">
        <v>13</v>
      </c>
      <c r="E8" s="16" t="s">
        <v>13</v>
      </c>
      <c r="F8" s="14">
        <v>1.7999999999999998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20</v>
      </c>
      <c r="C9" s="14" t="s">
        <v>21</v>
      </c>
      <c r="D9" s="15" t="s">
        <v>13</v>
      </c>
      <c r="E9" s="16" t="s">
        <v>13</v>
      </c>
      <c r="F9" s="14">
        <v>3.35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22</v>
      </c>
      <c r="C10" s="14" t="s">
        <v>23</v>
      </c>
      <c r="D10" s="15" t="s">
        <v>13</v>
      </c>
      <c r="E10" s="16" t="s">
        <v>13</v>
      </c>
      <c r="F10" s="14">
        <v>0.8</v>
      </c>
      <c r="G10" s="14"/>
      <c r="H10" s="14"/>
      <c r="I10" s="18">
        <f t="shared" si="0"/>
        <v>0</v>
      </c>
    </row>
    <row r="11" spans="1:9" ht="15.6" customHeight="1" x14ac:dyDescent="0.25">
      <c r="A11" s="13">
        <v>7</v>
      </c>
      <c r="B11" s="14" t="s">
        <v>24</v>
      </c>
      <c r="C11" s="14" t="s">
        <v>25</v>
      </c>
      <c r="D11" s="15" t="s">
        <v>13</v>
      </c>
      <c r="E11" s="16" t="s">
        <v>13</v>
      </c>
      <c r="F11" s="14">
        <v>8.1999999999999993</v>
      </c>
      <c r="G11" s="17"/>
      <c r="H11" s="17"/>
      <c r="I11" s="18">
        <f t="shared" si="0"/>
        <v>0</v>
      </c>
    </row>
    <row r="12" spans="1:9" ht="15.6" customHeight="1" x14ac:dyDescent="0.25">
      <c r="A12" s="13">
        <v>8</v>
      </c>
      <c r="B12" s="14" t="s">
        <v>26</v>
      </c>
      <c r="C12" s="14" t="s">
        <v>27</v>
      </c>
      <c r="D12" s="15" t="s">
        <v>13</v>
      </c>
      <c r="E12" s="16" t="s">
        <v>13</v>
      </c>
      <c r="F12" s="14">
        <v>12.5</v>
      </c>
      <c r="G12" s="17"/>
      <c r="H12" s="17"/>
      <c r="I12" s="18">
        <f t="shared" si="0"/>
        <v>0</v>
      </c>
    </row>
    <row r="13" spans="1:9" ht="15.6" customHeight="1" x14ac:dyDescent="0.25">
      <c r="A13" s="13">
        <v>9</v>
      </c>
      <c r="B13" s="14" t="s">
        <v>28</v>
      </c>
      <c r="C13" s="14" t="s">
        <v>29</v>
      </c>
      <c r="D13" s="15" t="s">
        <v>13</v>
      </c>
      <c r="E13" s="16" t="s">
        <v>13</v>
      </c>
      <c r="F13" s="14">
        <v>5</v>
      </c>
      <c r="G13" s="14"/>
      <c r="H13" s="14"/>
      <c r="I13" s="18">
        <f t="shared" si="0"/>
        <v>0</v>
      </c>
    </row>
    <row r="14" spans="1:9" ht="15.6" customHeight="1" x14ac:dyDescent="0.25">
      <c r="A14" s="13">
        <v>10</v>
      </c>
      <c r="B14" s="14" t="s">
        <v>30</v>
      </c>
      <c r="C14" s="14" t="s">
        <v>31</v>
      </c>
      <c r="D14" s="15" t="s">
        <v>13</v>
      </c>
      <c r="E14" s="16" t="s">
        <v>13</v>
      </c>
      <c r="F14" s="14">
        <v>36.6</v>
      </c>
      <c r="G14" s="17"/>
      <c r="H14" s="17"/>
      <c r="I14" s="18">
        <f t="shared" si="0"/>
        <v>0</v>
      </c>
    </row>
    <row r="15" spans="1:9" ht="15.6" customHeight="1" x14ac:dyDescent="0.25">
      <c r="A15" s="13">
        <v>11</v>
      </c>
      <c r="B15" s="14" t="s">
        <v>32</v>
      </c>
      <c r="C15" s="14" t="s">
        <v>33</v>
      </c>
      <c r="D15" s="15" t="s">
        <v>34</v>
      </c>
      <c r="E15" s="16" t="s">
        <v>34</v>
      </c>
      <c r="F15" s="14">
        <v>46</v>
      </c>
      <c r="G15" s="17"/>
      <c r="H15" s="17"/>
      <c r="I15" s="18">
        <f t="shared" si="0"/>
        <v>0</v>
      </c>
    </row>
    <row r="16" spans="1:9" ht="15.6" customHeight="1" x14ac:dyDescent="0.25">
      <c r="A16" s="13">
        <v>12</v>
      </c>
      <c r="B16" s="14" t="s">
        <v>35</v>
      </c>
      <c r="C16" s="14" t="s">
        <v>36</v>
      </c>
      <c r="D16" s="15" t="s">
        <v>37</v>
      </c>
      <c r="E16" s="16" t="s">
        <v>37</v>
      </c>
      <c r="F16" s="14">
        <v>0</v>
      </c>
      <c r="G16" s="14"/>
      <c r="H16" s="14"/>
      <c r="I16" s="18" t="e">
        <f t="shared" si="0"/>
        <v>#DIV/0!</v>
      </c>
    </row>
    <row r="17" spans="1:9" ht="15.6" customHeight="1" x14ac:dyDescent="0.25">
      <c r="A17" s="13">
        <v>13</v>
      </c>
      <c r="B17" s="14" t="s">
        <v>38</v>
      </c>
      <c r="C17" s="14" t="s">
        <v>39</v>
      </c>
      <c r="D17" s="15" t="s">
        <v>37</v>
      </c>
      <c r="E17" s="16" t="s">
        <v>37</v>
      </c>
      <c r="F17" s="14">
        <v>7</v>
      </c>
      <c r="G17" s="17"/>
      <c r="H17" s="17"/>
      <c r="I17" s="18">
        <f t="shared" si="0"/>
        <v>0</v>
      </c>
    </row>
    <row r="18" spans="1:9" ht="15.6" customHeight="1" x14ac:dyDescent="0.25">
      <c r="A18" s="13">
        <v>14</v>
      </c>
      <c r="B18" s="14" t="s">
        <v>40</v>
      </c>
      <c r="C18" s="14" t="s">
        <v>41</v>
      </c>
      <c r="D18" s="15" t="s">
        <v>42</v>
      </c>
      <c r="E18" s="16" t="s">
        <v>42</v>
      </c>
      <c r="F18" s="14">
        <v>6</v>
      </c>
      <c r="G18" s="17"/>
      <c r="H18" s="17"/>
      <c r="I18" s="18">
        <f t="shared" si="0"/>
        <v>0</v>
      </c>
    </row>
    <row r="19" spans="1:9" ht="15.6" customHeight="1" x14ac:dyDescent="0.25">
      <c r="A19" s="13">
        <v>15</v>
      </c>
      <c r="B19" s="14" t="s">
        <v>43</v>
      </c>
      <c r="C19" s="14" t="s">
        <v>44</v>
      </c>
      <c r="D19" s="15" t="s">
        <v>42</v>
      </c>
      <c r="E19" s="16" t="s">
        <v>42</v>
      </c>
      <c r="F19" s="14">
        <v>1.5</v>
      </c>
      <c r="G19" s="14"/>
      <c r="H19" s="14"/>
      <c r="I19" s="18">
        <f t="shared" si="0"/>
        <v>0</v>
      </c>
    </row>
    <row r="20" spans="1:9" ht="15.6" customHeight="1" x14ac:dyDescent="0.25">
      <c r="A20" s="13">
        <v>16</v>
      </c>
      <c r="B20" s="14" t="s">
        <v>45</v>
      </c>
      <c r="C20" s="14" t="s">
        <v>46</v>
      </c>
      <c r="D20" s="15" t="s">
        <v>42</v>
      </c>
      <c r="E20" s="16" t="s">
        <v>42</v>
      </c>
      <c r="F20" s="14">
        <v>6.9</v>
      </c>
      <c r="G20" s="17"/>
      <c r="H20" s="17"/>
      <c r="I20" s="18">
        <f t="shared" si="0"/>
        <v>0</v>
      </c>
    </row>
    <row r="21" spans="1:9" ht="15.6" customHeight="1" x14ac:dyDescent="0.25">
      <c r="A21" s="13">
        <v>17</v>
      </c>
      <c r="B21" s="14" t="s">
        <v>47</v>
      </c>
      <c r="C21" s="14" t="s">
        <v>48</v>
      </c>
      <c r="D21" s="15" t="s">
        <v>42</v>
      </c>
      <c r="E21" s="16" t="s">
        <v>42</v>
      </c>
      <c r="F21" s="14">
        <v>1.2</v>
      </c>
      <c r="G21" s="17"/>
      <c r="H21" s="17"/>
      <c r="I21" s="18">
        <f t="shared" si="0"/>
        <v>0</v>
      </c>
    </row>
    <row r="22" spans="1:9" ht="15.6" customHeight="1" x14ac:dyDescent="0.25">
      <c r="A22" s="13">
        <v>18</v>
      </c>
      <c r="B22" s="14" t="s">
        <v>49</v>
      </c>
      <c r="C22" s="14" t="s">
        <v>50</v>
      </c>
      <c r="D22" s="15" t="s">
        <v>42</v>
      </c>
      <c r="E22" s="16" t="s">
        <v>42</v>
      </c>
      <c r="F22" s="14">
        <v>1.5</v>
      </c>
      <c r="G22" s="14"/>
      <c r="H22" s="14"/>
      <c r="I22" s="18">
        <f t="shared" si="0"/>
        <v>0</v>
      </c>
    </row>
    <row r="23" spans="1:9" ht="15.6" customHeight="1" x14ac:dyDescent="0.25">
      <c r="A23" s="13">
        <v>19</v>
      </c>
      <c r="B23" s="14" t="s">
        <v>51</v>
      </c>
      <c r="C23" s="14" t="s">
        <v>52</v>
      </c>
      <c r="D23" s="15" t="s">
        <v>42</v>
      </c>
      <c r="E23" s="16" t="s">
        <v>42</v>
      </c>
      <c r="F23" s="14">
        <v>6.8</v>
      </c>
      <c r="G23" s="17"/>
      <c r="H23" s="17"/>
      <c r="I23" s="18">
        <f t="shared" si="0"/>
        <v>0</v>
      </c>
    </row>
    <row r="24" spans="1:9" ht="15.6" customHeight="1" x14ac:dyDescent="0.25">
      <c r="A24" s="13">
        <v>20</v>
      </c>
      <c r="B24" s="14" t="s">
        <v>53</v>
      </c>
      <c r="C24" s="14" t="s">
        <v>54</v>
      </c>
      <c r="D24" s="15" t="s">
        <v>55</v>
      </c>
      <c r="E24" s="16" t="s">
        <v>55</v>
      </c>
      <c r="F24" s="14">
        <v>81</v>
      </c>
      <c r="G24" s="17"/>
      <c r="H24" s="17"/>
      <c r="I24" s="18">
        <f t="shared" si="0"/>
        <v>0</v>
      </c>
    </row>
    <row r="25" spans="1:9" ht="15.6" customHeight="1" x14ac:dyDescent="0.25">
      <c r="A25" s="13">
        <v>21</v>
      </c>
      <c r="B25" s="14" t="s">
        <v>56</v>
      </c>
      <c r="C25" s="14" t="s">
        <v>57</v>
      </c>
      <c r="D25" s="15" t="s">
        <v>58</v>
      </c>
      <c r="E25" s="16" t="s">
        <v>58</v>
      </c>
      <c r="F25" s="14">
        <v>29</v>
      </c>
      <c r="G25" s="14"/>
      <c r="H25" s="14"/>
      <c r="I25" s="18">
        <f t="shared" si="0"/>
        <v>0</v>
      </c>
    </row>
    <row r="26" spans="1:9" ht="15.6" customHeight="1" x14ac:dyDescent="0.25">
      <c r="A26" s="13">
        <v>22</v>
      </c>
      <c r="B26" s="14" t="s">
        <v>59</v>
      </c>
      <c r="C26" s="14" t="s">
        <v>60</v>
      </c>
      <c r="D26" s="15" t="s">
        <v>61</v>
      </c>
      <c r="E26" s="16" t="s">
        <v>61</v>
      </c>
      <c r="F26" s="14">
        <v>19</v>
      </c>
      <c r="G26" s="17"/>
      <c r="H26" s="17"/>
      <c r="I26" s="18">
        <f t="shared" si="0"/>
        <v>0</v>
      </c>
    </row>
    <row r="27" spans="1:9" ht="15.6" customHeight="1" x14ac:dyDescent="0.25">
      <c r="A27" s="13">
        <v>23</v>
      </c>
      <c r="B27" s="14" t="s">
        <v>62</v>
      </c>
      <c r="C27" s="14" t="s">
        <v>63</v>
      </c>
      <c r="D27" s="15" t="s">
        <v>42</v>
      </c>
      <c r="E27" s="16" t="s">
        <v>42</v>
      </c>
      <c r="F27" s="14">
        <v>0</v>
      </c>
      <c r="G27" s="17"/>
      <c r="H27" s="17"/>
      <c r="I27" s="18" t="e">
        <f t="shared" si="0"/>
        <v>#DIV/0!</v>
      </c>
    </row>
    <row r="28" spans="1:9" ht="15.6" customHeight="1" x14ac:dyDescent="0.25">
      <c r="A28" s="13">
        <v>24</v>
      </c>
      <c r="B28" s="14" t="s">
        <v>64</v>
      </c>
      <c r="C28" s="14" t="s">
        <v>65</v>
      </c>
      <c r="D28" s="15" t="s">
        <v>42</v>
      </c>
      <c r="E28" s="16" t="s">
        <v>42</v>
      </c>
      <c r="F28" s="14">
        <v>0</v>
      </c>
      <c r="G28" s="17"/>
      <c r="H28" s="17"/>
      <c r="I28" s="18" t="e">
        <f t="shared" si="0"/>
        <v>#DIV/0!</v>
      </c>
    </row>
    <row r="29" spans="1:9" ht="15.6" customHeight="1" x14ac:dyDescent="0.25">
      <c r="A29" s="13">
        <v>25</v>
      </c>
      <c r="B29" s="14" t="s">
        <v>66</v>
      </c>
      <c r="C29" s="14" t="s">
        <v>67</v>
      </c>
      <c r="D29" s="15" t="s">
        <v>42</v>
      </c>
      <c r="E29" s="16" t="s">
        <v>42</v>
      </c>
      <c r="F29" s="14">
        <v>0</v>
      </c>
      <c r="G29" s="17"/>
      <c r="H29" s="17"/>
      <c r="I29" s="18" t="e">
        <f t="shared" si="0"/>
        <v>#DIV/0!</v>
      </c>
    </row>
    <row r="30" spans="1:9" ht="15.6" customHeight="1" x14ac:dyDescent="0.25">
      <c r="A30" s="13">
        <v>26</v>
      </c>
      <c r="B30" s="14" t="s">
        <v>68</v>
      </c>
      <c r="C30" s="14" t="s">
        <v>69</v>
      </c>
      <c r="D30" s="15" t="s">
        <v>42</v>
      </c>
      <c r="E30" s="16" t="s">
        <v>42</v>
      </c>
      <c r="F30" s="14">
        <v>0</v>
      </c>
      <c r="G30" s="17"/>
      <c r="H30" s="17"/>
      <c r="I30" s="18" t="e">
        <f t="shared" si="0"/>
        <v>#DIV/0!</v>
      </c>
    </row>
    <row r="31" spans="1:9" ht="15.6" customHeight="1" x14ac:dyDescent="0.25">
      <c r="A31" s="13">
        <v>27</v>
      </c>
      <c r="B31" s="14" t="s">
        <v>70</v>
      </c>
      <c r="C31" s="14" t="s">
        <v>48</v>
      </c>
      <c r="D31" s="15" t="s">
        <v>42</v>
      </c>
      <c r="E31" s="16" t="s">
        <v>42</v>
      </c>
      <c r="F31" s="14">
        <v>0</v>
      </c>
      <c r="G31" s="17"/>
      <c r="H31" s="17"/>
      <c r="I31" s="18" t="e">
        <f t="shared" si="0"/>
        <v>#DIV/0!</v>
      </c>
    </row>
    <row r="32" spans="1:9" ht="15.6" customHeight="1" x14ac:dyDescent="0.25">
      <c r="A32" s="13">
        <v>28</v>
      </c>
      <c r="B32" s="14" t="s">
        <v>71</v>
      </c>
      <c r="C32" s="14" t="s">
        <v>72</v>
      </c>
      <c r="D32" s="15" t="s">
        <v>42</v>
      </c>
      <c r="E32" s="16" t="s">
        <v>42</v>
      </c>
      <c r="F32" s="14">
        <v>0</v>
      </c>
      <c r="G32" s="17"/>
      <c r="H32" s="17"/>
      <c r="I32" s="18" t="e">
        <f t="shared" si="0"/>
        <v>#DIV/0!</v>
      </c>
    </row>
    <row r="33" spans="1:9" ht="15.6" customHeight="1" x14ac:dyDescent="0.25">
      <c r="A33" s="13">
        <v>29</v>
      </c>
      <c r="B33" s="14" t="s">
        <v>73</v>
      </c>
      <c r="C33" s="14" t="s">
        <v>74</v>
      </c>
      <c r="D33" s="15" t="s">
        <v>42</v>
      </c>
      <c r="E33" s="16" t="s">
        <v>42</v>
      </c>
      <c r="F33" s="14">
        <v>0</v>
      </c>
      <c r="G33" s="17"/>
      <c r="H33" s="17"/>
      <c r="I33" s="18" t="e">
        <f t="shared" si="0"/>
        <v>#DIV/0!</v>
      </c>
    </row>
    <row r="34" spans="1:9" ht="15.6" customHeight="1" x14ac:dyDescent="0.25">
      <c r="A34" s="13">
        <v>30</v>
      </c>
      <c r="B34" s="14" t="s">
        <v>75</v>
      </c>
      <c r="C34" s="14" t="s">
        <v>76</v>
      </c>
      <c r="D34" s="15" t="s">
        <v>42</v>
      </c>
      <c r="E34" s="16" t="s">
        <v>42</v>
      </c>
      <c r="F34" s="14">
        <v>0</v>
      </c>
      <c r="G34" s="17"/>
      <c r="H34" s="17"/>
      <c r="I34" s="18" t="e">
        <f t="shared" si="0"/>
        <v>#DIV/0!</v>
      </c>
    </row>
    <row r="35" spans="1:9" ht="15.6" customHeight="1" x14ac:dyDescent="0.25">
      <c r="A35" s="13">
        <v>31</v>
      </c>
      <c r="B35" s="14" t="s">
        <v>77</v>
      </c>
      <c r="C35" s="14" t="s">
        <v>78</v>
      </c>
      <c r="D35" s="15" t="s">
        <v>79</v>
      </c>
      <c r="E35" s="16" t="s">
        <v>79</v>
      </c>
      <c r="F35" s="14">
        <v>0</v>
      </c>
      <c r="G35" s="17"/>
      <c r="H35" s="17"/>
      <c r="I35" s="18" t="e">
        <f t="shared" si="0"/>
        <v>#DIV/0!</v>
      </c>
    </row>
    <row r="36" spans="1:9" ht="15.6" customHeight="1" x14ac:dyDescent="0.25">
      <c r="A36" s="13">
        <v>32</v>
      </c>
      <c r="B36" s="14" t="s">
        <v>80</v>
      </c>
      <c r="C36" s="14" t="s">
        <v>81</v>
      </c>
      <c r="D36" s="15" t="s">
        <v>79</v>
      </c>
      <c r="E36" s="16" t="s">
        <v>79</v>
      </c>
      <c r="F36" s="14">
        <v>0</v>
      </c>
      <c r="G36" s="17"/>
      <c r="H36" s="17"/>
      <c r="I36" s="18" t="e">
        <f t="shared" si="0"/>
        <v>#DIV/0!</v>
      </c>
    </row>
    <row r="37" spans="1:9" ht="15.6" customHeight="1" x14ac:dyDescent="0.25">
      <c r="A37" s="13">
        <v>33</v>
      </c>
      <c r="B37" s="14" t="s">
        <v>82</v>
      </c>
      <c r="C37" s="14" t="s">
        <v>83</v>
      </c>
      <c r="D37" s="15" t="s">
        <v>37</v>
      </c>
      <c r="E37" s="16" t="s">
        <v>37</v>
      </c>
      <c r="F37" s="14">
        <v>0</v>
      </c>
      <c r="G37" s="17"/>
      <c r="H37" s="17"/>
      <c r="I37" s="18" t="e">
        <f t="shared" si="0"/>
        <v>#DIV/0!</v>
      </c>
    </row>
    <row r="38" spans="1:9" ht="15.6" customHeight="1" x14ac:dyDescent="0.25">
      <c r="A38" s="13">
        <v>34</v>
      </c>
      <c r="B38" s="14" t="s">
        <v>84</v>
      </c>
      <c r="C38" s="14" t="s">
        <v>85</v>
      </c>
      <c r="D38" s="15" t="s">
        <v>37</v>
      </c>
      <c r="E38" s="16" t="s">
        <v>37</v>
      </c>
      <c r="F38" s="14">
        <v>0</v>
      </c>
      <c r="G38" s="17"/>
      <c r="H38" s="17"/>
      <c r="I38" s="18" t="e">
        <f t="shared" si="0"/>
        <v>#DIV/0!</v>
      </c>
    </row>
    <row r="39" spans="1:9" ht="15.6" customHeight="1" x14ac:dyDescent="0.25">
      <c r="A39" s="13">
        <v>35</v>
      </c>
      <c r="B39" s="14" t="s">
        <v>86</v>
      </c>
      <c r="C39" s="14" t="s">
        <v>87</v>
      </c>
      <c r="D39" s="15" t="s">
        <v>88</v>
      </c>
      <c r="E39" s="16" t="s">
        <v>88</v>
      </c>
      <c r="F39" s="14">
        <v>0</v>
      </c>
      <c r="G39" s="17"/>
      <c r="H39" s="17"/>
      <c r="I39" s="18" t="e">
        <f t="shared" si="0"/>
        <v>#DIV/0!</v>
      </c>
    </row>
    <row r="40" spans="1:9" ht="15.6" customHeight="1" x14ac:dyDescent="0.25">
      <c r="A40" s="13">
        <v>36</v>
      </c>
      <c r="B40" s="14" t="s">
        <v>89</v>
      </c>
      <c r="C40" s="14" t="s">
        <v>90</v>
      </c>
      <c r="D40" s="15" t="s">
        <v>91</v>
      </c>
      <c r="E40" s="16" t="s">
        <v>91</v>
      </c>
      <c r="F40" s="14">
        <v>0</v>
      </c>
      <c r="G40" s="17"/>
      <c r="H40" s="17"/>
      <c r="I40" s="18" t="e">
        <f t="shared" si="0"/>
        <v>#DIV/0!</v>
      </c>
    </row>
    <row r="41" spans="1:9" ht="15.6" customHeight="1" x14ac:dyDescent="0.25">
      <c r="A41" s="13">
        <v>37</v>
      </c>
      <c r="B41" s="14" t="s">
        <v>92</v>
      </c>
      <c r="C41" s="14" t="s">
        <v>93</v>
      </c>
      <c r="D41" s="15" t="s">
        <v>42</v>
      </c>
      <c r="E41" s="16" t="s">
        <v>42</v>
      </c>
      <c r="F41" s="14">
        <v>0</v>
      </c>
      <c r="G41" s="17"/>
      <c r="H41" s="17"/>
      <c r="I41" s="18" t="e">
        <f t="shared" si="0"/>
        <v>#DIV/0!</v>
      </c>
    </row>
    <row r="42" spans="1:9" ht="15.6" customHeight="1" x14ac:dyDescent="0.25">
      <c r="A42" s="13">
        <v>38</v>
      </c>
      <c r="B42" s="14" t="s">
        <v>94</v>
      </c>
      <c r="C42" s="14" t="s">
        <v>95</v>
      </c>
      <c r="D42" s="15" t="s">
        <v>42</v>
      </c>
      <c r="E42" s="16" t="s">
        <v>42</v>
      </c>
      <c r="F42" s="14">
        <v>0</v>
      </c>
      <c r="G42" s="17"/>
      <c r="H42" s="17"/>
      <c r="I42" s="18" t="e">
        <f>H42/F42</f>
        <v>#DIV/0!</v>
      </c>
    </row>
    <row r="43" spans="1:9" ht="16.8" customHeight="1" x14ac:dyDescent="0.25">
      <c r="A43" s="5" t="s">
        <v>96</v>
      </c>
      <c r="B43" s="5"/>
      <c r="C43" s="5"/>
      <c r="D43" s="5" t="s">
        <v>97</v>
      </c>
      <c r="E43" s="5"/>
      <c r="F43" s="19">
        <f>SUM(F5:F42)</f>
        <v>303.35000000000002</v>
      </c>
      <c r="G43" s="20"/>
      <c r="H43" s="19">
        <f>SUM(H5:H42)</f>
        <v>0</v>
      </c>
      <c r="I43" s="21">
        <f>H43/F43</f>
        <v>0</v>
      </c>
    </row>
    <row r="45" spans="1:9" ht="15" x14ac:dyDescent="0.25">
      <c r="A45" s="1" t="s">
        <v>98</v>
      </c>
    </row>
    <row r="47" spans="1:9" s="29" customFormat="1" ht="17.399999999999999" customHeight="1" x14ac:dyDescent="0.25">
      <c r="A47" s="22" t="s">
        <v>1</v>
      </c>
      <c r="B47" s="23" t="s">
        <v>2</v>
      </c>
      <c r="C47" s="24"/>
      <c r="D47" s="7" t="s">
        <v>3</v>
      </c>
      <c r="E47" s="8"/>
      <c r="F47" s="25" t="s">
        <v>99</v>
      </c>
      <c r="G47" s="26" t="s">
        <v>5</v>
      </c>
      <c r="H47" s="27" t="s">
        <v>6</v>
      </c>
      <c r="I47" s="28"/>
    </row>
    <row r="48" spans="1:9" s="29" customFormat="1" ht="17.399999999999999" customHeight="1" x14ac:dyDescent="0.25">
      <c r="A48" s="30"/>
      <c r="B48" s="10" t="s">
        <v>7</v>
      </c>
      <c r="C48" s="10" t="s">
        <v>8</v>
      </c>
      <c r="D48" s="11"/>
      <c r="E48" s="12"/>
      <c r="F48" s="31"/>
      <c r="G48" s="32"/>
      <c r="H48" s="10" t="s">
        <v>9</v>
      </c>
      <c r="I48" s="10" t="s">
        <v>10</v>
      </c>
    </row>
    <row r="49" spans="1:9" ht="16.2" customHeight="1" x14ac:dyDescent="0.25">
      <c r="A49" s="33">
        <v>1</v>
      </c>
      <c r="B49" s="34" t="s">
        <v>100</v>
      </c>
      <c r="C49" s="34" t="s">
        <v>101</v>
      </c>
      <c r="D49" s="35" t="s">
        <v>102</v>
      </c>
      <c r="E49" s="36"/>
      <c r="F49" s="34">
        <v>278</v>
      </c>
      <c r="G49" s="17"/>
      <c r="H49" s="17"/>
      <c r="I49" s="18">
        <f>H49/F49</f>
        <v>0</v>
      </c>
    </row>
    <row r="50" spans="1:9" ht="16.8" customHeight="1" x14ac:dyDescent="0.25">
      <c r="A50" s="27" t="s">
        <v>96</v>
      </c>
      <c r="B50" s="37"/>
      <c r="C50" s="28"/>
      <c r="D50" s="27" t="s">
        <v>103</v>
      </c>
      <c r="E50" s="28"/>
      <c r="F50" s="19">
        <f>SUM(F49:F49)</f>
        <v>278</v>
      </c>
      <c r="G50" s="20"/>
      <c r="H50" s="19">
        <f>SUM(H49:H49)</f>
        <v>0</v>
      </c>
      <c r="I50" s="21">
        <f>H50/F50</f>
        <v>0</v>
      </c>
    </row>
  </sheetData>
  <mergeCells count="55">
    <mergeCell ref="F47:F48"/>
    <mergeCell ref="G47:G48"/>
    <mergeCell ref="H47:I47"/>
    <mergeCell ref="D49:E49"/>
    <mergeCell ref="A50:C50"/>
    <mergeCell ref="D50:E50"/>
    <mergeCell ref="D41:E41"/>
    <mergeCell ref="D42:E42"/>
    <mergeCell ref="A43:C43"/>
    <mergeCell ref="D43:E43"/>
    <mergeCell ref="A47:A48"/>
    <mergeCell ref="B47:C47"/>
    <mergeCell ref="D47:E48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4A63-EDDB-4735-BA1F-5663480E8E4A}">
  <dimension ref="A1:I20"/>
  <sheetViews>
    <sheetView zoomScaleNormal="100" workbookViewId="0">
      <selection activeCell="D21" sqref="D2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40</v>
      </c>
      <c r="C5" s="14" t="s">
        <v>41</v>
      </c>
      <c r="D5" s="15" t="s">
        <v>42</v>
      </c>
      <c r="E5" s="16" t="s">
        <v>42</v>
      </c>
      <c r="F5" s="14">
        <v>6</v>
      </c>
      <c r="G5" s="17"/>
      <c r="H5" s="17"/>
      <c r="I5" s="18">
        <f t="shared" ref="I5:I18" si="0">H5/F5</f>
        <v>0</v>
      </c>
    </row>
    <row r="6" spans="1:9" ht="15.6" customHeight="1" x14ac:dyDescent="0.25">
      <c r="A6" s="13">
        <v>2</v>
      </c>
      <c r="B6" s="14" t="s">
        <v>43</v>
      </c>
      <c r="C6" s="14" t="s">
        <v>44</v>
      </c>
      <c r="D6" s="15" t="s">
        <v>42</v>
      </c>
      <c r="E6" s="16" t="s">
        <v>42</v>
      </c>
      <c r="F6" s="14">
        <v>1.5</v>
      </c>
      <c r="G6" s="14"/>
      <c r="H6" s="14"/>
      <c r="I6" s="18">
        <f t="shared" si="0"/>
        <v>0</v>
      </c>
    </row>
    <row r="7" spans="1:9" ht="15.6" customHeight="1" x14ac:dyDescent="0.25">
      <c r="A7" s="13">
        <v>3</v>
      </c>
      <c r="B7" s="14" t="s">
        <v>45</v>
      </c>
      <c r="C7" s="14" t="s">
        <v>46</v>
      </c>
      <c r="D7" s="15" t="s">
        <v>42</v>
      </c>
      <c r="E7" s="16" t="s">
        <v>42</v>
      </c>
      <c r="F7" s="14">
        <v>6.9</v>
      </c>
      <c r="G7" s="17"/>
      <c r="H7" s="17"/>
      <c r="I7" s="18">
        <f t="shared" si="0"/>
        <v>0</v>
      </c>
    </row>
    <row r="8" spans="1:9" ht="15.6" customHeight="1" x14ac:dyDescent="0.25">
      <c r="A8" s="13">
        <v>4</v>
      </c>
      <c r="B8" s="14" t="s">
        <v>47</v>
      </c>
      <c r="C8" s="14" t="s">
        <v>48</v>
      </c>
      <c r="D8" s="15" t="s">
        <v>42</v>
      </c>
      <c r="E8" s="16" t="s">
        <v>42</v>
      </c>
      <c r="F8" s="14">
        <v>1.2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49</v>
      </c>
      <c r="C9" s="14" t="s">
        <v>50</v>
      </c>
      <c r="D9" s="15" t="s">
        <v>42</v>
      </c>
      <c r="E9" s="16" t="s">
        <v>42</v>
      </c>
      <c r="F9" s="14">
        <v>1.5</v>
      </c>
      <c r="G9" s="14"/>
      <c r="H9" s="14"/>
      <c r="I9" s="18">
        <f t="shared" si="0"/>
        <v>0</v>
      </c>
    </row>
    <row r="10" spans="1:9" ht="15.6" customHeight="1" x14ac:dyDescent="0.25">
      <c r="A10" s="13">
        <v>6</v>
      </c>
      <c r="B10" s="14" t="s">
        <v>51</v>
      </c>
      <c r="C10" s="14" t="s">
        <v>52</v>
      </c>
      <c r="D10" s="15" t="s">
        <v>42</v>
      </c>
      <c r="E10" s="16" t="s">
        <v>42</v>
      </c>
      <c r="F10" s="14">
        <v>6.8</v>
      </c>
      <c r="G10" s="17"/>
      <c r="H10" s="17"/>
      <c r="I10" s="18">
        <f t="shared" si="0"/>
        <v>0</v>
      </c>
    </row>
    <row r="11" spans="1:9" ht="15.6" customHeight="1" x14ac:dyDescent="0.25">
      <c r="A11" s="13">
        <v>7</v>
      </c>
      <c r="B11" s="14" t="s">
        <v>62</v>
      </c>
      <c r="C11" s="14" t="s">
        <v>63</v>
      </c>
      <c r="D11" s="15" t="s">
        <v>42</v>
      </c>
      <c r="E11" s="16" t="s">
        <v>42</v>
      </c>
      <c r="F11" s="14">
        <v>0</v>
      </c>
      <c r="G11" s="17"/>
      <c r="H11" s="17"/>
      <c r="I11" s="18" t="e">
        <f t="shared" si="0"/>
        <v>#DIV/0!</v>
      </c>
    </row>
    <row r="12" spans="1:9" ht="15.6" customHeight="1" x14ac:dyDescent="0.25">
      <c r="A12" s="13">
        <v>8</v>
      </c>
      <c r="B12" s="14" t="s">
        <v>64</v>
      </c>
      <c r="C12" s="14" t="s">
        <v>65</v>
      </c>
      <c r="D12" s="15" t="s">
        <v>42</v>
      </c>
      <c r="E12" s="16" t="s">
        <v>42</v>
      </c>
      <c r="F12" s="14">
        <v>0</v>
      </c>
      <c r="G12" s="17"/>
      <c r="H12" s="17"/>
      <c r="I12" s="18" t="e">
        <f t="shared" si="0"/>
        <v>#DIV/0!</v>
      </c>
    </row>
    <row r="13" spans="1:9" ht="15.6" customHeight="1" x14ac:dyDescent="0.25">
      <c r="A13" s="13">
        <v>9</v>
      </c>
      <c r="B13" s="14" t="s">
        <v>66</v>
      </c>
      <c r="C13" s="14" t="s">
        <v>67</v>
      </c>
      <c r="D13" s="15" t="s">
        <v>42</v>
      </c>
      <c r="E13" s="16" t="s">
        <v>42</v>
      </c>
      <c r="F13" s="14">
        <v>0</v>
      </c>
      <c r="G13" s="17"/>
      <c r="H13" s="17"/>
      <c r="I13" s="18" t="e">
        <f t="shared" si="0"/>
        <v>#DIV/0!</v>
      </c>
    </row>
    <row r="14" spans="1:9" ht="15.6" customHeight="1" x14ac:dyDescent="0.25">
      <c r="A14" s="13">
        <v>10</v>
      </c>
      <c r="B14" s="14" t="s">
        <v>68</v>
      </c>
      <c r="C14" s="14" t="s">
        <v>69</v>
      </c>
      <c r="D14" s="15" t="s">
        <v>42</v>
      </c>
      <c r="E14" s="16" t="s">
        <v>42</v>
      </c>
      <c r="F14" s="14">
        <v>0</v>
      </c>
      <c r="G14" s="17"/>
      <c r="H14" s="17"/>
      <c r="I14" s="18" t="e">
        <f t="shared" si="0"/>
        <v>#DIV/0!</v>
      </c>
    </row>
    <row r="15" spans="1:9" ht="15.6" customHeight="1" x14ac:dyDescent="0.25">
      <c r="A15" s="13">
        <v>11</v>
      </c>
      <c r="B15" s="14" t="s">
        <v>70</v>
      </c>
      <c r="C15" s="14" t="s">
        <v>48</v>
      </c>
      <c r="D15" s="15" t="s">
        <v>42</v>
      </c>
      <c r="E15" s="16" t="s">
        <v>42</v>
      </c>
      <c r="F15" s="14">
        <v>0</v>
      </c>
      <c r="G15" s="17"/>
      <c r="H15" s="17"/>
      <c r="I15" s="18" t="e">
        <f t="shared" si="0"/>
        <v>#DIV/0!</v>
      </c>
    </row>
    <row r="16" spans="1:9" ht="15.6" customHeight="1" x14ac:dyDescent="0.25">
      <c r="A16" s="13">
        <v>12</v>
      </c>
      <c r="B16" s="14" t="s">
        <v>71</v>
      </c>
      <c r="C16" s="14" t="s">
        <v>72</v>
      </c>
      <c r="D16" s="15" t="s">
        <v>42</v>
      </c>
      <c r="E16" s="16" t="s">
        <v>42</v>
      </c>
      <c r="F16" s="14">
        <v>0</v>
      </c>
      <c r="G16" s="17"/>
      <c r="H16" s="17"/>
      <c r="I16" s="18" t="e">
        <f t="shared" si="0"/>
        <v>#DIV/0!</v>
      </c>
    </row>
    <row r="17" spans="1:9" ht="15.6" customHeight="1" x14ac:dyDescent="0.25">
      <c r="A17" s="13">
        <v>13</v>
      </c>
      <c r="B17" s="14" t="s">
        <v>73</v>
      </c>
      <c r="C17" s="14" t="s">
        <v>74</v>
      </c>
      <c r="D17" s="15" t="s">
        <v>42</v>
      </c>
      <c r="E17" s="16" t="s">
        <v>42</v>
      </c>
      <c r="F17" s="14">
        <v>0</v>
      </c>
      <c r="G17" s="17"/>
      <c r="H17" s="17"/>
      <c r="I17" s="18" t="e">
        <f t="shared" si="0"/>
        <v>#DIV/0!</v>
      </c>
    </row>
    <row r="18" spans="1:9" ht="15.6" customHeight="1" x14ac:dyDescent="0.25">
      <c r="A18" s="13">
        <v>14</v>
      </c>
      <c r="B18" s="14" t="s">
        <v>75</v>
      </c>
      <c r="C18" s="14" t="s">
        <v>76</v>
      </c>
      <c r="D18" s="15" t="s">
        <v>42</v>
      </c>
      <c r="E18" s="16" t="s">
        <v>42</v>
      </c>
      <c r="F18" s="14">
        <v>0</v>
      </c>
      <c r="G18" s="17"/>
      <c r="H18" s="17"/>
      <c r="I18" s="18" t="e">
        <f t="shared" si="0"/>
        <v>#DIV/0!</v>
      </c>
    </row>
    <row r="19" spans="1:9" ht="15.6" customHeight="1" x14ac:dyDescent="0.25">
      <c r="A19" s="13">
        <v>15</v>
      </c>
      <c r="B19" s="14" t="s">
        <v>94</v>
      </c>
      <c r="C19" s="14" t="s">
        <v>95</v>
      </c>
      <c r="D19" s="15" t="s">
        <v>42</v>
      </c>
      <c r="E19" s="16" t="s">
        <v>42</v>
      </c>
      <c r="F19" s="14">
        <v>0</v>
      </c>
      <c r="G19" s="17"/>
      <c r="H19" s="17"/>
      <c r="I19" s="18" t="e">
        <f>H19/F19</f>
        <v>#DIV/0!</v>
      </c>
    </row>
    <row r="20" spans="1:9" ht="16.8" customHeight="1" x14ac:dyDescent="0.25">
      <c r="A20" s="5" t="s">
        <v>96</v>
      </c>
      <c r="B20" s="5"/>
      <c r="C20" s="5"/>
      <c r="D20" s="5" t="s">
        <v>104</v>
      </c>
      <c r="E20" s="5"/>
      <c r="F20" s="19">
        <f>SUM(F5:F19)</f>
        <v>23.900000000000002</v>
      </c>
      <c r="G20" s="20"/>
      <c r="H20" s="19">
        <f>SUM(H5:H19)</f>
        <v>0</v>
      </c>
      <c r="I20" s="21">
        <f>H20/F20</f>
        <v>0</v>
      </c>
    </row>
  </sheetData>
  <mergeCells count="23">
    <mergeCell ref="D19:E19"/>
    <mergeCell ref="A20:C20"/>
    <mergeCell ref="D20:E20"/>
    <mergeCell ref="D13:E13"/>
    <mergeCell ref="D14:E14"/>
    <mergeCell ref="D15:E15"/>
    <mergeCell ref="D16:E16"/>
    <mergeCell ref="D17:E17"/>
    <mergeCell ref="D18:E18"/>
    <mergeCell ref="D10:E10"/>
    <mergeCell ref="D11:E11"/>
    <mergeCell ref="D12:E12"/>
    <mergeCell ref="D5:E5"/>
    <mergeCell ref="D6:E6"/>
    <mergeCell ref="D7:E7"/>
    <mergeCell ref="D8:E8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13EB-F5E5-4C68-BC47-F72CF7EC23D2}">
  <dimension ref="A1:I26"/>
  <sheetViews>
    <sheetView zoomScaleNormal="100" workbookViewId="0">
      <selection activeCell="C31" sqref="C3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4">
        <v>25</v>
      </c>
      <c r="G5" s="17"/>
      <c r="H5" s="17"/>
      <c r="I5" s="18">
        <f t="shared" ref="I5:I25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4">
        <v>1.8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13</v>
      </c>
      <c r="E7" s="16" t="s">
        <v>13</v>
      </c>
      <c r="F7" s="14">
        <v>2.4</v>
      </c>
      <c r="G7" s="14"/>
      <c r="H7" s="14"/>
      <c r="I7" s="18">
        <f t="shared" si="0"/>
        <v>0</v>
      </c>
    </row>
    <row r="8" spans="1:9" ht="15.6" customHeight="1" x14ac:dyDescent="0.25">
      <c r="A8" s="13">
        <v>4</v>
      </c>
      <c r="B8" s="14" t="s">
        <v>18</v>
      </c>
      <c r="C8" s="14" t="s">
        <v>19</v>
      </c>
      <c r="D8" s="15" t="s">
        <v>13</v>
      </c>
      <c r="E8" s="16" t="s">
        <v>13</v>
      </c>
      <c r="F8" s="14">
        <v>1.7999999999999998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20</v>
      </c>
      <c r="C9" s="14" t="s">
        <v>21</v>
      </c>
      <c r="D9" s="15" t="s">
        <v>13</v>
      </c>
      <c r="E9" s="16" t="s">
        <v>13</v>
      </c>
      <c r="F9" s="14">
        <v>3.35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22</v>
      </c>
      <c r="C10" s="14" t="s">
        <v>23</v>
      </c>
      <c r="D10" s="15" t="s">
        <v>13</v>
      </c>
      <c r="E10" s="16" t="s">
        <v>13</v>
      </c>
      <c r="F10" s="14">
        <v>0.8</v>
      </c>
      <c r="G10" s="14"/>
      <c r="H10" s="14"/>
      <c r="I10" s="18">
        <f t="shared" si="0"/>
        <v>0</v>
      </c>
    </row>
    <row r="11" spans="1:9" ht="15.6" customHeight="1" x14ac:dyDescent="0.25">
      <c r="A11" s="13">
        <v>7</v>
      </c>
      <c r="B11" s="14" t="s">
        <v>24</v>
      </c>
      <c r="C11" s="14" t="s">
        <v>25</v>
      </c>
      <c r="D11" s="15" t="s">
        <v>13</v>
      </c>
      <c r="E11" s="16" t="s">
        <v>13</v>
      </c>
      <c r="F11" s="14">
        <v>8.1999999999999993</v>
      </c>
      <c r="G11" s="17"/>
      <c r="H11" s="17"/>
      <c r="I11" s="18">
        <f t="shared" si="0"/>
        <v>0</v>
      </c>
    </row>
    <row r="12" spans="1:9" ht="15.6" customHeight="1" x14ac:dyDescent="0.25">
      <c r="A12" s="13">
        <v>8</v>
      </c>
      <c r="B12" s="14" t="s">
        <v>26</v>
      </c>
      <c r="C12" s="14" t="s">
        <v>27</v>
      </c>
      <c r="D12" s="15" t="s">
        <v>13</v>
      </c>
      <c r="E12" s="16" t="s">
        <v>13</v>
      </c>
      <c r="F12" s="14">
        <v>12.5</v>
      </c>
      <c r="G12" s="17"/>
      <c r="H12" s="17"/>
      <c r="I12" s="18">
        <f t="shared" si="0"/>
        <v>0</v>
      </c>
    </row>
    <row r="13" spans="1:9" ht="15.6" customHeight="1" x14ac:dyDescent="0.25">
      <c r="A13" s="13">
        <v>9</v>
      </c>
      <c r="B13" s="14" t="s">
        <v>28</v>
      </c>
      <c r="C13" s="14" t="s">
        <v>29</v>
      </c>
      <c r="D13" s="15" t="s">
        <v>13</v>
      </c>
      <c r="E13" s="16" t="s">
        <v>13</v>
      </c>
      <c r="F13" s="14">
        <v>5</v>
      </c>
      <c r="G13" s="14"/>
      <c r="H13" s="14"/>
      <c r="I13" s="18">
        <f t="shared" si="0"/>
        <v>0</v>
      </c>
    </row>
    <row r="14" spans="1:9" ht="15.6" customHeight="1" x14ac:dyDescent="0.25">
      <c r="A14" s="13">
        <v>10</v>
      </c>
      <c r="B14" s="14" t="s">
        <v>30</v>
      </c>
      <c r="C14" s="14" t="s">
        <v>31</v>
      </c>
      <c r="D14" s="15" t="s">
        <v>13</v>
      </c>
      <c r="E14" s="16" t="s">
        <v>13</v>
      </c>
      <c r="F14" s="14">
        <v>36.6</v>
      </c>
      <c r="G14" s="17"/>
      <c r="H14" s="17"/>
      <c r="I14" s="18">
        <f t="shared" si="0"/>
        <v>0</v>
      </c>
    </row>
    <row r="15" spans="1:9" ht="15.6" customHeight="1" x14ac:dyDescent="0.25">
      <c r="A15" s="13">
        <v>11</v>
      </c>
      <c r="B15" s="14" t="s">
        <v>35</v>
      </c>
      <c r="C15" s="14" t="s">
        <v>36</v>
      </c>
      <c r="D15" s="15" t="s">
        <v>37</v>
      </c>
      <c r="E15" s="16" t="s">
        <v>37</v>
      </c>
      <c r="F15" s="14">
        <v>0</v>
      </c>
      <c r="G15" s="14"/>
      <c r="H15" s="14"/>
      <c r="I15" s="18" t="e">
        <f t="shared" si="0"/>
        <v>#DIV/0!</v>
      </c>
    </row>
    <row r="16" spans="1:9" ht="15.6" customHeight="1" x14ac:dyDescent="0.25">
      <c r="A16" s="13">
        <v>12</v>
      </c>
      <c r="B16" s="14" t="s">
        <v>38</v>
      </c>
      <c r="C16" s="14" t="s">
        <v>39</v>
      </c>
      <c r="D16" s="15" t="s">
        <v>37</v>
      </c>
      <c r="E16" s="16" t="s">
        <v>37</v>
      </c>
      <c r="F16" s="14">
        <v>7</v>
      </c>
      <c r="G16" s="17"/>
      <c r="H16" s="17"/>
      <c r="I16" s="18">
        <f t="shared" si="0"/>
        <v>0</v>
      </c>
    </row>
    <row r="17" spans="1:9" ht="15.6" customHeight="1" x14ac:dyDescent="0.25">
      <c r="A17" s="13">
        <v>13</v>
      </c>
      <c r="B17" s="14" t="s">
        <v>53</v>
      </c>
      <c r="C17" s="14" t="s">
        <v>54</v>
      </c>
      <c r="D17" s="15" t="s">
        <v>55</v>
      </c>
      <c r="E17" s="16" t="s">
        <v>55</v>
      </c>
      <c r="F17" s="14">
        <v>81</v>
      </c>
      <c r="G17" s="17"/>
      <c r="H17" s="17"/>
      <c r="I17" s="18">
        <f t="shared" si="0"/>
        <v>0</v>
      </c>
    </row>
    <row r="18" spans="1:9" ht="15.6" customHeight="1" x14ac:dyDescent="0.25">
      <c r="A18" s="13">
        <v>14</v>
      </c>
      <c r="B18" s="14" t="s">
        <v>56</v>
      </c>
      <c r="C18" s="14" t="s">
        <v>57</v>
      </c>
      <c r="D18" s="15" t="s">
        <v>58</v>
      </c>
      <c r="E18" s="16" t="s">
        <v>58</v>
      </c>
      <c r="F18" s="14">
        <v>29</v>
      </c>
      <c r="G18" s="14"/>
      <c r="H18" s="14"/>
      <c r="I18" s="18">
        <f t="shared" si="0"/>
        <v>0</v>
      </c>
    </row>
    <row r="19" spans="1:9" ht="15.6" customHeight="1" x14ac:dyDescent="0.25">
      <c r="A19" s="13">
        <v>15</v>
      </c>
      <c r="B19" s="14" t="s">
        <v>77</v>
      </c>
      <c r="C19" s="14" t="s">
        <v>78</v>
      </c>
      <c r="D19" s="15" t="s">
        <v>79</v>
      </c>
      <c r="E19" s="16" t="s">
        <v>79</v>
      </c>
      <c r="F19" s="14">
        <v>0</v>
      </c>
      <c r="G19" s="17"/>
      <c r="H19" s="17"/>
      <c r="I19" s="18" t="e">
        <f t="shared" si="0"/>
        <v>#DIV/0!</v>
      </c>
    </row>
    <row r="20" spans="1:9" ht="15.6" customHeight="1" x14ac:dyDescent="0.25">
      <c r="A20" s="13">
        <v>16</v>
      </c>
      <c r="B20" s="14" t="s">
        <v>80</v>
      </c>
      <c r="C20" s="14" t="s">
        <v>81</v>
      </c>
      <c r="D20" s="15" t="s">
        <v>79</v>
      </c>
      <c r="E20" s="16" t="s">
        <v>79</v>
      </c>
      <c r="F20" s="14">
        <v>0</v>
      </c>
      <c r="G20" s="17"/>
      <c r="H20" s="17"/>
      <c r="I20" s="18" t="e">
        <f t="shared" si="0"/>
        <v>#DIV/0!</v>
      </c>
    </row>
    <row r="21" spans="1:9" ht="15.6" customHeight="1" x14ac:dyDescent="0.25">
      <c r="A21" s="13">
        <v>17</v>
      </c>
      <c r="B21" s="14" t="s">
        <v>82</v>
      </c>
      <c r="C21" s="14" t="s">
        <v>83</v>
      </c>
      <c r="D21" s="15" t="s">
        <v>37</v>
      </c>
      <c r="E21" s="16" t="s">
        <v>37</v>
      </c>
      <c r="F21" s="14">
        <v>0</v>
      </c>
      <c r="G21" s="17"/>
      <c r="H21" s="17"/>
      <c r="I21" s="18" t="e">
        <f t="shared" si="0"/>
        <v>#DIV/0!</v>
      </c>
    </row>
    <row r="22" spans="1:9" ht="15.6" customHeight="1" x14ac:dyDescent="0.25">
      <c r="A22" s="13">
        <v>18</v>
      </c>
      <c r="B22" s="14" t="s">
        <v>84</v>
      </c>
      <c r="C22" s="14" t="s">
        <v>85</v>
      </c>
      <c r="D22" s="15" t="s">
        <v>37</v>
      </c>
      <c r="E22" s="16" t="s">
        <v>37</v>
      </c>
      <c r="F22" s="14">
        <v>0</v>
      </c>
      <c r="G22" s="17"/>
      <c r="H22" s="17"/>
      <c r="I22" s="18" t="e">
        <f t="shared" si="0"/>
        <v>#DIV/0!</v>
      </c>
    </row>
    <row r="23" spans="1:9" ht="15.6" customHeight="1" x14ac:dyDescent="0.25">
      <c r="A23" s="13">
        <v>19</v>
      </c>
      <c r="B23" s="14" t="s">
        <v>86</v>
      </c>
      <c r="C23" s="14" t="s">
        <v>87</v>
      </c>
      <c r="D23" s="15" t="s">
        <v>88</v>
      </c>
      <c r="E23" s="16" t="s">
        <v>88</v>
      </c>
      <c r="F23" s="14">
        <v>0</v>
      </c>
      <c r="G23" s="17"/>
      <c r="H23" s="17"/>
      <c r="I23" s="18" t="e">
        <f t="shared" si="0"/>
        <v>#DIV/0!</v>
      </c>
    </row>
    <row r="24" spans="1:9" ht="15.6" customHeight="1" x14ac:dyDescent="0.25">
      <c r="A24" s="13">
        <v>20</v>
      </c>
      <c r="B24" s="14" t="s">
        <v>89</v>
      </c>
      <c r="C24" s="14" t="s">
        <v>90</v>
      </c>
      <c r="D24" s="15" t="s">
        <v>91</v>
      </c>
      <c r="E24" s="16" t="s">
        <v>91</v>
      </c>
      <c r="F24" s="14">
        <v>0</v>
      </c>
      <c r="G24" s="17"/>
      <c r="H24" s="17"/>
      <c r="I24" s="18" t="e">
        <f t="shared" si="0"/>
        <v>#DIV/0!</v>
      </c>
    </row>
    <row r="25" spans="1:9" ht="15.6" customHeight="1" x14ac:dyDescent="0.25">
      <c r="A25" s="13">
        <v>21</v>
      </c>
      <c r="B25" s="14" t="s">
        <v>92</v>
      </c>
      <c r="C25" s="14" t="s">
        <v>93</v>
      </c>
      <c r="D25" s="15" t="s">
        <v>42</v>
      </c>
      <c r="E25" s="16" t="s">
        <v>42</v>
      </c>
      <c r="F25" s="14">
        <v>0</v>
      </c>
      <c r="G25" s="17"/>
      <c r="H25" s="17"/>
      <c r="I25" s="18" t="e">
        <f t="shared" si="0"/>
        <v>#DIV/0!</v>
      </c>
    </row>
    <row r="26" spans="1:9" ht="16.8" customHeight="1" x14ac:dyDescent="0.25">
      <c r="A26" s="5" t="s">
        <v>96</v>
      </c>
      <c r="B26" s="5"/>
      <c r="C26" s="5"/>
      <c r="D26" s="5" t="s">
        <v>105</v>
      </c>
      <c r="E26" s="5"/>
      <c r="F26" s="19">
        <f>SUM(F5:F25)</f>
        <v>214.45</v>
      </c>
      <c r="G26" s="20"/>
      <c r="H26" s="19">
        <f>SUM(H5:H25)</f>
        <v>0</v>
      </c>
      <c r="I26" s="21">
        <f>H26/F26</f>
        <v>0</v>
      </c>
    </row>
  </sheetData>
  <mergeCells count="29">
    <mergeCell ref="D25:E25"/>
    <mergeCell ref="A26:C26"/>
    <mergeCell ref="D26:E26"/>
    <mergeCell ref="D19:E19"/>
    <mergeCell ref="D20:E20"/>
    <mergeCell ref="D21:E21"/>
    <mergeCell ref="D22:E22"/>
    <mergeCell ref="D23:E23"/>
    <mergeCell ref="D24:E24"/>
    <mergeCell ref="D17:E17"/>
    <mergeCell ref="D18:E18"/>
    <mergeCell ref="D16:E16"/>
    <mergeCell ref="D11:E11"/>
    <mergeCell ref="D12:E12"/>
    <mergeCell ref="D13:E13"/>
    <mergeCell ref="D14:E14"/>
    <mergeCell ref="D15:E15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91CF-CF0D-47FB-B00E-781159204587}">
  <dimension ref="A1:I7"/>
  <sheetViews>
    <sheetView tabSelected="1"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59</v>
      </c>
      <c r="C5" s="14" t="s">
        <v>60</v>
      </c>
      <c r="D5" s="15" t="s">
        <v>61</v>
      </c>
      <c r="E5" s="16" t="s">
        <v>61</v>
      </c>
      <c r="F5" s="14">
        <v>19</v>
      </c>
      <c r="G5" s="17"/>
      <c r="H5" s="17"/>
      <c r="I5" s="18">
        <f t="shared" ref="I5" si="0">H5/F5</f>
        <v>0</v>
      </c>
    </row>
    <row r="6" spans="1:9" ht="16.8" customHeight="1" x14ac:dyDescent="0.25">
      <c r="A6" s="5" t="s">
        <v>96</v>
      </c>
      <c r="B6" s="5"/>
      <c r="C6" s="5"/>
      <c r="D6" s="5" t="s">
        <v>103</v>
      </c>
      <c r="E6" s="5"/>
      <c r="F6" s="19">
        <f>SUM(F5:F5)</f>
        <v>19</v>
      </c>
      <c r="G6" s="20"/>
      <c r="H6" s="19">
        <f>SUM(H5:H5)</f>
        <v>0</v>
      </c>
      <c r="I6" s="21">
        <f>H6/F6</f>
        <v>0</v>
      </c>
    </row>
    <row r="7" spans="1:9" ht="14.4" customHeight="1" x14ac:dyDescent="0.25"/>
  </sheetData>
  <mergeCells count="9">
    <mergeCell ref="A6:C6"/>
    <mergeCell ref="D6:E6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2EFA-DE1E-4084-89EB-DE10EEE35981}">
  <dimension ref="A2:I7"/>
  <sheetViews>
    <sheetView zoomScaleNormal="100" workbookViewId="0">
      <selection activeCell="C19" sqref="C1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98</v>
      </c>
    </row>
    <row r="4" spans="1:9" s="29" customFormat="1" ht="17.399999999999999" customHeight="1" x14ac:dyDescent="0.25">
      <c r="A4" s="22" t="s">
        <v>1</v>
      </c>
      <c r="B4" s="23" t="s">
        <v>2</v>
      </c>
      <c r="C4" s="24"/>
      <c r="D4" s="7" t="s">
        <v>3</v>
      </c>
      <c r="E4" s="8"/>
      <c r="F4" s="25" t="s">
        <v>99</v>
      </c>
      <c r="G4" s="26" t="s">
        <v>5</v>
      </c>
      <c r="H4" s="27" t="s">
        <v>6</v>
      </c>
      <c r="I4" s="28"/>
    </row>
    <row r="5" spans="1:9" s="29" customFormat="1" ht="17.399999999999999" customHeight="1" x14ac:dyDescent="0.25">
      <c r="A5" s="30"/>
      <c r="B5" s="10" t="s">
        <v>7</v>
      </c>
      <c r="C5" s="10" t="s">
        <v>8</v>
      </c>
      <c r="D5" s="11"/>
      <c r="E5" s="12"/>
      <c r="F5" s="31"/>
      <c r="G5" s="32"/>
      <c r="H5" s="10" t="s">
        <v>9</v>
      </c>
      <c r="I5" s="10" t="s">
        <v>10</v>
      </c>
    </row>
    <row r="6" spans="1:9" ht="16.2" customHeight="1" x14ac:dyDescent="0.25">
      <c r="A6" s="33">
        <v>1</v>
      </c>
      <c r="B6" s="34" t="s">
        <v>100</v>
      </c>
      <c r="C6" s="34" t="s">
        <v>101</v>
      </c>
      <c r="D6" s="35" t="s">
        <v>102</v>
      </c>
      <c r="E6" s="36"/>
      <c r="F6" s="34">
        <v>278</v>
      </c>
      <c r="G6" s="17"/>
      <c r="H6" s="17"/>
      <c r="I6" s="18">
        <f>H6/F6</f>
        <v>0</v>
      </c>
    </row>
    <row r="7" spans="1:9" ht="16.8" customHeight="1" x14ac:dyDescent="0.25">
      <c r="A7" s="27" t="s">
        <v>96</v>
      </c>
      <c r="B7" s="37"/>
      <c r="C7" s="28"/>
      <c r="D7" s="27" t="s">
        <v>103</v>
      </c>
      <c r="E7" s="28"/>
      <c r="F7" s="19">
        <f>SUM(F6:F6)</f>
        <v>278</v>
      </c>
      <c r="G7" s="20"/>
      <c r="H7" s="19">
        <f>SUM(H6:H6)</f>
        <v>0</v>
      </c>
      <c r="I7" s="21">
        <f>H7/F7</f>
        <v>0</v>
      </c>
    </row>
  </sheetData>
  <mergeCells count="9">
    <mergeCell ref="F4:F5"/>
    <mergeCell ref="G4:G5"/>
    <mergeCell ref="H4:I4"/>
    <mergeCell ref="D6:E6"/>
    <mergeCell ref="A7:C7"/>
    <mergeCell ref="D7:E7"/>
    <mergeCell ref="A4:A5"/>
    <mergeCell ref="B4:C4"/>
    <mergeCell ref="D4:E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Inv__Ujitjes_Fier</vt:lpstr>
      <vt:lpstr>Rezervuar</vt:lpstr>
      <vt:lpstr>Stacion Pompimi</vt:lpstr>
      <vt:lpstr>Lume &amp; Kanale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2026-10-06T10:33:26Z</dcterms:created>
  <dcterms:modified xsi:type="dcterms:W3CDTF">2026-10-06T10:39:30Z</dcterms:modified>
</cp:coreProperties>
</file>