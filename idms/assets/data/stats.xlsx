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IDMIS\"/>
    </mc:Choice>
  </mc:AlternateContent>
  <xr:revisionPtr revIDLastSave="0" documentId="13_ncr:1_{199ADEE9-85CF-42CB-8EC8-99A90CE7B9CD}" xr6:coauthVersionLast="47" xr6:coauthVersionMax="47" xr10:uidLastSave="{00000000-0000-0000-0000-000000000000}"/>
  <bookViews>
    <workbookView xWindow="-93" yWindow="-93" windowWidth="25786" windowHeight="15466" xr2:uid="{29482DFD-D9EB-444B-93D1-E64E11C89573}"/>
  </bookViews>
  <sheets>
    <sheet name="Total sipas bashkive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4" i="1" l="1"/>
  <c r="G64" i="1"/>
  <c r="H64" i="1"/>
  <c r="F4" i="1"/>
  <c r="G4" i="1"/>
  <c r="H4" i="1"/>
  <c r="I4" i="1"/>
  <c r="F5" i="1"/>
  <c r="G5" i="1"/>
  <c r="H5" i="1"/>
  <c r="I5" i="1"/>
  <c r="I64" i="1" s="1"/>
  <c r="F6" i="1"/>
  <c r="G6" i="1"/>
  <c r="H6" i="1"/>
  <c r="I6" i="1"/>
  <c r="F7" i="1"/>
  <c r="G7" i="1"/>
  <c r="H7" i="1"/>
  <c r="I7" i="1"/>
  <c r="F8" i="1"/>
  <c r="G8" i="1"/>
  <c r="H8" i="1"/>
  <c r="I8" i="1"/>
  <c r="F9" i="1"/>
  <c r="G9" i="1"/>
  <c r="H9" i="1"/>
  <c r="I9" i="1"/>
  <c r="F10" i="1"/>
  <c r="G10" i="1"/>
  <c r="H10" i="1"/>
  <c r="I10" i="1"/>
  <c r="F11" i="1"/>
  <c r="G11" i="1"/>
  <c r="H11" i="1"/>
  <c r="I11" i="1"/>
  <c r="F12" i="1"/>
  <c r="G12" i="1"/>
  <c r="H12" i="1"/>
  <c r="I12" i="1"/>
  <c r="F13" i="1"/>
  <c r="G13" i="1"/>
  <c r="H13" i="1"/>
  <c r="I13" i="1"/>
  <c r="F14" i="1"/>
  <c r="G14" i="1"/>
  <c r="H14" i="1"/>
  <c r="I14" i="1"/>
  <c r="F15" i="1"/>
  <c r="G15" i="1"/>
  <c r="H15" i="1"/>
  <c r="I15" i="1"/>
  <c r="F16" i="1"/>
  <c r="G16" i="1"/>
  <c r="H16" i="1"/>
  <c r="I16" i="1"/>
  <c r="F17" i="1"/>
  <c r="G17" i="1"/>
  <c r="H17" i="1"/>
  <c r="I17" i="1"/>
  <c r="F18" i="1"/>
  <c r="G18" i="1"/>
  <c r="H18" i="1"/>
  <c r="I18" i="1"/>
  <c r="F19" i="1"/>
  <c r="G19" i="1"/>
  <c r="H19" i="1"/>
  <c r="I19" i="1"/>
  <c r="F20" i="1"/>
  <c r="G20" i="1"/>
  <c r="H20" i="1"/>
  <c r="I20" i="1"/>
  <c r="F21" i="1"/>
  <c r="G21" i="1"/>
  <c r="H21" i="1"/>
  <c r="I21" i="1"/>
  <c r="F22" i="1"/>
  <c r="G22" i="1"/>
  <c r="H22" i="1"/>
  <c r="I22" i="1"/>
  <c r="F23" i="1"/>
  <c r="G23" i="1"/>
  <c r="H23" i="1"/>
  <c r="I23" i="1"/>
  <c r="F24" i="1"/>
  <c r="G24" i="1"/>
  <c r="H24" i="1"/>
  <c r="I24" i="1"/>
  <c r="F25" i="1"/>
  <c r="G25" i="1"/>
  <c r="H25" i="1"/>
  <c r="I25" i="1"/>
  <c r="F26" i="1"/>
  <c r="G26" i="1"/>
  <c r="H26" i="1"/>
  <c r="I26" i="1"/>
  <c r="F27" i="1"/>
  <c r="G27" i="1"/>
  <c r="H27" i="1"/>
  <c r="I27" i="1"/>
  <c r="F28" i="1"/>
  <c r="G28" i="1"/>
  <c r="H28" i="1"/>
  <c r="I28" i="1"/>
  <c r="F29" i="1"/>
  <c r="G29" i="1"/>
  <c r="H29" i="1"/>
  <c r="I29" i="1"/>
  <c r="F30" i="1"/>
  <c r="G30" i="1"/>
  <c r="H30" i="1"/>
  <c r="I30" i="1"/>
  <c r="F31" i="1"/>
  <c r="G31" i="1"/>
  <c r="H31" i="1"/>
  <c r="I31" i="1"/>
  <c r="F32" i="1"/>
  <c r="G32" i="1"/>
  <c r="H32" i="1"/>
  <c r="I32" i="1"/>
  <c r="F33" i="1"/>
  <c r="G33" i="1"/>
  <c r="H33" i="1"/>
  <c r="I33" i="1"/>
  <c r="F34" i="1"/>
  <c r="G34" i="1"/>
  <c r="H34" i="1"/>
  <c r="I34" i="1"/>
  <c r="F35" i="1"/>
  <c r="G35" i="1"/>
  <c r="H35" i="1"/>
  <c r="I35" i="1"/>
  <c r="F36" i="1"/>
  <c r="G36" i="1"/>
  <c r="H36" i="1"/>
  <c r="I36" i="1"/>
  <c r="F37" i="1"/>
  <c r="G37" i="1"/>
  <c r="H37" i="1"/>
  <c r="I37" i="1"/>
  <c r="F38" i="1"/>
  <c r="G38" i="1"/>
  <c r="H38" i="1"/>
  <c r="I38" i="1"/>
  <c r="F39" i="1"/>
  <c r="G39" i="1"/>
  <c r="H39" i="1"/>
  <c r="I39" i="1"/>
  <c r="F40" i="1"/>
  <c r="G40" i="1"/>
  <c r="H40" i="1"/>
  <c r="I40" i="1"/>
  <c r="F41" i="1"/>
  <c r="G41" i="1"/>
  <c r="H41" i="1"/>
  <c r="I41" i="1"/>
  <c r="F42" i="1"/>
  <c r="G42" i="1"/>
  <c r="H42" i="1"/>
  <c r="I42" i="1"/>
  <c r="F43" i="1"/>
  <c r="G43" i="1"/>
  <c r="H43" i="1"/>
  <c r="I43" i="1"/>
  <c r="F44" i="1"/>
  <c r="G44" i="1"/>
  <c r="H44" i="1"/>
  <c r="I44" i="1"/>
  <c r="F45" i="1"/>
  <c r="G45" i="1"/>
  <c r="H45" i="1"/>
  <c r="I45" i="1"/>
  <c r="F46" i="1"/>
  <c r="G46" i="1"/>
  <c r="H46" i="1"/>
  <c r="I46" i="1"/>
  <c r="F47" i="1"/>
  <c r="G47" i="1"/>
  <c r="H47" i="1"/>
  <c r="I47" i="1"/>
  <c r="F48" i="1"/>
  <c r="G48" i="1"/>
  <c r="H48" i="1"/>
  <c r="I48" i="1"/>
  <c r="F49" i="1"/>
  <c r="G49" i="1"/>
  <c r="H49" i="1"/>
  <c r="I49" i="1"/>
  <c r="F50" i="1"/>
  <c r="G50" i="1"/>
  <c r="H50" i="1"/>
  <c r="I50" i="1"/>
  <c r="F51" i="1"/>
  <c r="G51" i="1"/>
  <c r="H51" i="1"/>
  <c r="I51" i="1"/>
  <c r="F52" i="1"/>
  <c r="G52" i="1"/>
  <c r="H52" i="1"/>
  <c r="I52" i="1"/>
  <c r="F53" i="1"/>
  <c r="G53" i="1"/>
  <c r="H53" i="1"/>
  <c r="I53" i="1"/>
  <c r="F54" i="1"/>
  <c r="G54" i="1"/>
  <c r="H54" i="1"/>
  <c r="I54" i="1"/>
  <c r="F55" i="1"/>
  <c r="G55" i="1"/>
  <c r="H55" i="1"/>
  <c r="I55" i="1"/>
  <c r="F56" i="1"/>
  <c r="G56" i="1"/>
  <c r="H56" i="1"/>
  <c r="I56" i="1"/>
  <c r="F57" i="1"/>
  <c r="G57" i="1"/>
  <c r="H57" i="1"/>
  <c r="I57" i="1"/>
  <c r="F58" i="1"/>
  <c r="G58" i="1"/>
  <c r="H58" i="1"/>
  <c r="I58" i="1"/>
  <c r="F59" i="1"/>
  <c r="G59" i="1"/>
  <c r="H59" i="1"/>
  <c r="I59" i="1"/>
  <c r="F60" i="1"/>
  <c r="G60" i="1"/>
  <c r="H60" i="1"/>
  <c r="I60" i="1"/>
  <c r="F61" i="1"/>
  <c r="G61" i="1"/>
  <c r="H61" i="1"/>
  <c r="I61" i="1"/>
  <c r="F62" i="1"/>
  <c r="G62" i="1"/>
  <c r="H62" i="1"/>
  <c r="I62" i="1"/>
  <c r="F63" i="1"/>
  <c r="G63" i="1"/>
  <c r="H63" i="1"/>
  <c r="I63" i="1"/>
  <c r="G3" i="1"/>
  <c r="H3" i="1"/>
  <c r="I3" i="1"/>
  <c r="F3" i="1"/>
  <c r="E64" i="1"/>
  <c r="D64" i="1"/>
  <c r="C64" i="1"/>
</calcChain>
</file>

<file path=xl/sharedStrings.xml><?xml version="1.0" encoding="utf-8"?>
<sst xmlns="http://schemas.openxmlformats.org/spreadsheetml/2006/main" count="207" uniqueCount="121">
  <si>
    <t>Skemat Ujitëse në Pronësi të Bashkive sipas Qarqeve</t>
  </si>
  <si>
    <t>Qarku</t>
  </si>
  <si>
    <t>Bashkia</t>
  </si>
  <si>
    <t>Numri i Skemave Ujitëse</t>
  </si>
  <si>
    <t>Burime Ujore</t>
  </si>
  <si>
    <t>Kanale të Para dhe të Dyta në Km</t>
  </si>
  <si>
    <t>Funksional</t>
  </si>
  <si>
    <t>Pjesërisht Funksional</t>
  </si>
  <si>
    <t>Jo Funksional</t>
  </si>
  <si>
    <t>Pa info</t>
  </si>
  <si>
    <t>Berat</t>
  </si>
  <si>
    <t>Bashkia Berat</t>
  </si>
  <si>
    <t>Bashkia Kuçovë</t>
  </si>
  <si>
    <t>Bashkia Poliçan</t>
  </si>
  <si>
    <t>Bashkia Skrapar</t>
  </si>
  <si>
    <t>Bashkia Dimal</t>
  </si>
  <si>
    <t>Dibër</t>
  </si>
  <si>
    <t>Bashkia Bulqizë</t>
  </si>
  <si>
    <t>Bashkia Dibër</t>
  </si>
  <si>
    <t>Bashkia Klos</t>
  </si>
  <si>
    <t>Bashkia Mat</t>
  </si>
  <si>
    <t>Durrës</t>
  </si>
  <si>
    <t>Bashkia Durrës</t>
  </si>
  <si>
    <t>Bashkia Krujë</t>
  </si>
  <si>
    <t xml:space="preserve">Bashkia Shijak </t>
  </si>
  <si>
    <t>Elbasan</t>
  </si>
  <si>
    <t>Bashkia Belsh</t>
  </si>
  <si>
    <t>Bashkia Cërrik</t>
  </si>
  <si>
    <t>Bashkia Elbasan</t>
  </si>
  <si>
    <t>Bashkia Gramsh</t>
  </si>
  <si>
    <t>Bashkia Librazhd</t>
  </si>
  <si>
    <t>Bashkia Peqin</t>
  </si>
  <si>
    <t>Bashkia Prrenjas</t>
  </si>
  <si>
    <t xml:space="preserve"> Fier</t>
  </si>
  <si>
    <t>Bashkia Divjakë</t>
  </si>
  <si>
    <t>Bashkia Fier</t>
  </si>
  <si>
    <t>Bashkia Lushnjë</t>
  </si>
  <si>
    <t>Bashkia Mallakastër</t>
  </si>
  <si>
    <t>Bashkia Patos</t>
  </si>
  <si>
    <t>Bashkia Roskovec</t>
  </si>
  <si>
    <t>Gjirokastër</t>
  </si>
  <si>
    <t>Bashkia Dropull</t>
  </si>
  <si>
    <t>Bashkia Gjirokastër</t>
  </si>
  <si>
    <t>Bashkia Këlcyrë</t>
  </si>
  <si>
    <t>Bashkia Libohovë</t>
  </si>
  <si>
    <t>Bashkia Memaliaj</t>
  </si>
  <si>
    <t>Bashkia Përmet</t>
  </si>
  <si>
    <t>Bashkia Tepelenë</t>
  </si>
  <si>
    <t>Korçë</t>
  </si>
  <si>
    <t>Bashkia Devoll</t>
  </si>
  <si>
    <t>Bashkia Kolonjë</t>
  </si>
  <si>
    <t>Bashkia Korçë</t>
  </si>
  <si>
    <t>Bashkia Maliq</t>
  </si>
  <si>
    <t>Bashkia Pogradec</t>
  </si>
  <si>
    <t>Bashkia Pustec</t>
  </si>
  <si>
    <t>Kukës</t>
  </si>
  <si>
    <t>Bashkia Has</t>
  </si>
  <si>
    <t>Bashkia Kukës</t>
  </si>
  <si>
    <t>Bashkia Tropojë</t>
  </si>
  <si>
    <t>Lezhë</t>
  </si>
  <si>
    <t>Bashkia Kurbin</t>
  </si>
  <si>
    <t>Bashkia Lezhë</t>
  </si>
  <si>
    <t>Bashkia Mirditë</t>
  </si>
  <si>
    <t>Shkodër</t>
  </si>
  <si>
    <t>Bashkia Fushë Arrës</t>
  </si>
  <si>
    <t>Bashkia Malsi e Madhe</t>
  </si>
  <si>
    <t>Bashkia Pukë</t>
  </si>
  <si>
    <t>Bashkia Shkodër</t>
  </si>
  <si>
    <t>Bashkia Vau i Dejës</t>
  </si>
  <si>
    <t>Tiranë</t>
  </si>
  <si>
    <t>Bashkia Kamëz</t>
  </si>
  <si>
    <t>Bashkia Kavajë</t>
  </si>
  <si>
    <t>Bashkia Rrogozhinë</t>
  </si>
  <si>
    <t>Bashkia Tiranë</t>
  </si>
  <si>
    <t>Bashkia Vorë</t>
  </si>
  <si>
    <t>Vlorë</t>
  </si>
  <si>
    <t>Bashkia Delvin</t>
  </si>
  <si>
    <t>Bashkia Finiq</t>
  </si>
  <si>
    <t>Bashkia Himarë</t>
  </si>
  <si>
    <t>Bashkia Konispol</t>
  </si>
  <si>
    <t>Bashkia Sarandë</t>
  </si>
  <si>
    <t>Bashkia Selenicë</t>
  </si>
  <si>
    <t>Bashkia Vlorë</t>
  </si>
  <si>
    <t>Total</t>
  </si>
  <si>
    <t>Municipality</t>
  </si>
  <si>
    <t>Pjeserisht Funksional</t>
  </si>
  <si>
    <t>Jo funksional</t>
  </si>
  <si>
    <t>Delvine</t>
  </si>
  <si>
    <t>Devoll</t>
  </si>
  <si>
    <t>Divjake</t>
  </si>
  <si>
    <t>Dropull</t>
  </si>
  <si>
    <t>Durres</t>
  </si>
  <si>
    <t>Fier</t>
  </si>
  <si>
    <t>Gjirokaster</t>
  </si>
  <si>
    <t>Has</t>
  </si>
  <si>
    <t>Kavaje</t>
  </si>
  <si>
    <t>Konispol</t>
  </si>
  <si>
    <t>Korce</t>
  </si>
  <si>
    <t>Kruje</t>
  </si>
  <si>
    <t>Kucove</t>
  </si>
  <si>
    <t>Kukes</t>
  </si>
  <si>
    <t>Lezhe</t>
  </si>
  <si>
    <t>Librazhd</t>
  </si>
  <si>
    <t>Lushnje</t>
  </si>
  <si>
    <t>Malesi e Madhe</t>
  </si>
  <si>
    <t>Maliq</t>
  </si>
  <si>
    <t>Mallakaster</t>
  </si>
  <si>
    <t>Mat</t>
  </si>
  <si>
    <t>Peqin</t>
  </si>
  <si>
    <t>Permet</t>
  </si>
  <si>
    <t>Roskovec</t>
  </si>
  <si>
    <t>Rrogozhine</t>
  </si>
  <si>
    <t>Sarande</t>
  </si>
  <si>
    <t>Shijak</t>
  </si>
  <si>
    <t>Shkoder</t>
  </si>
  <si>
    <t>Tirane</t>
  </si>
  <si>
    <t>Tropoje</t>
  </si>
  <si>
    <t>Vlore</t>
  </si>
  <si>
    <t>Vore</t>
  </si>
  <si>
    <t>Bashkia (link key)</t>
  </si>
  <si>
    <t>Bashkia Shijak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</si>
</sst>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</font>
    <font>
      <b/>
      <sz val="14"/>
      <color theme="0"/>
      <name val="Century Gothic"/>
      <family val="2"/>
    </font>
    <font>
      <sz val="11"/>
      <color rgb="FF000000"/>
      <name val="Century Gothic"/>
      <family val="2"/>
    </font>
    <font>
      <sz val="12"/>
      <color rgb="FF000000"/>
      <name val="Century Gothic"/>
      <family val="2"/>
    </font>
    <font>
      <sz val="10"/>
      <color rgb="FF000000"/>
      <name val="Arial"/>
      <family val="2"/>
    </font>
    <font>
      <b/>
      <sz val="12"/>
      <color rgb="FF000000"/>
      <name val="Century Gothic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Border="0" applyProtection="0"/>
  </cellStyleXfs>
  <cellXfs count="42">
    <xf numFmtId="0" fontId="0" fillId="0" borderId="0" xfId="0"/>
    <xf numFmtId="2" fontId="2" fillId="0" borderId="0" xfId="0" applyNumberFormat="1" applyFont="1" applyAlignment="1">
      <alignment horizontal="right"/>
    </xf>
    <xf numFmtId="2" fontId="3" fillId="0" borderId="4" xfId="0" applyNumberFormat="1" applyFont="1" applyBorder="1" applyAlignment="1">
      <alignment horizontal="center" vertical="center" wrapText="1"/>
    </xf>
    <xf numFmtId="2" fontId="3" fillId="0" borderId="5" xfId="0" applyNumberFormat="1" applyFont="1" applyBorder="1" applyAlignment="1">
      <alignment horizontal="center" vertical="center" wrapText="1"/>
    </xf>
    <xf numFmtId="2" fontId="3" fillId="0" borderId="5" xfId="1" applyNumberFormat="1" applyFont="1" applyBorder="1" applyAlignment="1">
      <alignment horizontal="center" vertical="center" wrapText="1"/>
    </xf>
    <xf numFmtId="2" fontId="3" fillId="0" borderId="6" xfId="1" applyNumberFormat="1" applyFont="1" applyBorder="1" applyAlignment="1">
      <alignment horizontal="center" vertical="center" wrapText="1"/>
    </xf>
    <xf numFmtId="2" fontId="3" fillId="0" borderId="7" xfId="1" applyNumberFormat="1" applyFont="1" applyBorder="1" applyAlignment="1">
      <alignment horizontal="center" vertical="center" wrapText="1"/>
    </xf>
    <xf numFmtId="2" fontId="2" fillId="3" borderId="8" xfId="0" applyNumberFormat="1" applyFont="1" applyFill="1" applyBorder="1" applyAlignment="1">
      <alignment horizontal="left" indent="1"/>
    </xf>
    <xf numFmtId="2" fontId="2" fillId="3" borderId="9" xfId="0" applyNumberFormat="1" applyFont="1" applyFill="1" applyBorder="1" applyAlignment="1">
      <alignment horizontal="left" vertical="center"/>
    </xf>
    <xf numFmtId="4" fontId="2" fillId="3" borderId="10" xfId="0" applyNumberFormat="1" applyFont="1" applyFill="1" applyBorder="1" applyAlignment="1">
      <alignment horizontal="right" vertical="center"/>
    </xf>
    <xf numFmtId="4" fontId="2" fillId="3" borderId="11" xfId="0" applyNumberFormat="1" applyFont="1" applyFill="1" applyBorder="1" applyAlignment="1">
      <alignment horizontal="right" vertical="center"/>
    </xf>
    <xf numFmtId="2" fontId="2" fillId="3" borderId="12" xfId="0" applyNumberFormat="1" applyFont="1" applyFill="1" applyBorder="1" applyAlignment="1">
      <alignment horizontal="left" vertical="center"/>
    </xf>
    <xf numFmtId="4" fontId="2" fillId="3" borderId="13" xfId="0" applyNumberFormat="1" applyFont="1" applyFill="1" applyBorder="1" applyAlignment="1">
      <alignment horizontal="right" vertical="center"/>
    </xf>
    <xf numFmtId="2" fontId="2" fillId="3" borderId="14" xfId="0" applyNumberFormat="1" applyFont="1" applyFill="1" applyBorder="1" applyAlignment="1">
      <alignment horizontal="left" vertical="center"/>
    </xf>
    <xf numFmtId="4" fontId="2" fillId="3" borderId="15" xfId="0" applyNumberFormat="1" applyFont="1" applyFill="1" applyBorder="1" applyAlignment="1">
      <alignment horizontal="right" vertical="center"/>
    </xf>
    <xf numFmtId="2" fontId="2" fillId="0" borderId="8" xfId="0" applyNumberFormat="1" applyFont="1" applyBorder="1" applyAlignment="1">
      <alignment horizontal="left" indent="1"/>
    </xf>
    <xf numFmtId="2" fontId="2" fillId="0" borderId="16" xfId="0" applyNumberFormat="1" applyFont="1" applyBorder="1" applyAlignment="1">
      <alignment horizontal="left" vertical="center"/>
    </xf>
    <xf numFmtId="4" fontId="2" fillId="0" borderId="17" xfId="0" applyNumberFormat="1" applyFont="1" applyBorder="1" applyAlignment="1">
      <alignment horizontal="right" vertical="center"/>
    </xf>
    <xf numFmtId="2" fontId="2" fillId="0" borderId="12" xfId="0" applyNumberFormat="1" applyFont="1" applyBorder="1" applyAlignment="1">
      <alignment horizontal="left" vertical="center"/>
    </xf>
    <xf numFmtId="4" fontId="2" fillId="0" borderId="13" xfId="0" applyNumberFormat="1" applyFont="1" applyBorder="1" applyAlignment="1">
      <alignment horizontal="right" vertical="center"/>
    </xf>
    <xf numFmtId="2" fontId="2" fillId="0" borderId="18" xfId="0" applyNumberFormat="1" applyFont="1" applyBorder="1" applyAlignment="1">
      <alignment horizontal="left" indent="1"/>
    </xf>
    <xf numFmtId="2" fontId="2" fillId="0" borderId="14" xfId="0" applyNumberFormat="1" applyFont="1" applyBorder="1" applyAlignment="1">
      <alignment horizontal="left" vertical="center"/>
    </xf>
    <xf numFmtId="4" fontId="2" fillId="0" borderId="15" xfId="0" applyNumberFormat="1" applyFont="1" applyBorder="1" applyAlignment="1">
      <alignment horizontal="right" vertical="center"/>
    </xf>
    <xf numFmtId="2" fontId="2" fillId="3" borderId="19" xfId="0" applyNumberFormat="1" applyFont="1" applyFill="1" applyBorder="1" applyAlignment="1">
      <alignment horizontal="left" indent="1"/>
    </xf>
    <xf numFmtId="2" fontId="2" fillId="3" borderId="16" xfId="0" applyNumberFormat="1" applyFont="1" applyFill="1" applyBorder="1" applyAlignment="1">
      <alignment horizontal="left" vertical="center"/>
    </xf>
    <xf numFmtId="4" fontId="2" fillId="3" borderId="17" xfId="0" applyNumberFormat="1" applyFont="1" applyFill="1" applyBorder="1" applyAlignment="1">
      <alignment horizontal="right" vertical="center"/>
    </xf>
    <xf numFmtId="2" fontId="2" fillId="3" borderId="18" xfId="0" applyNumberFormat="1" applyFont="1" applyFill="1" applyBorder="1" applyAlignment="1">
      <alignment horizontal="left" indent="1"/>
    </xf>
    <xf numFmtId="2" fontId="2" fillId="0" borderId="19" xfId="0" applyNumberFormat="1" applyFont="1" applyBorder="1" applyAlignment="1">
      <alignment horizontal="left" indent="1"/>
    </xf>
    <xf numFmtId="2" fontId="2" fillId="0" borderId="18" xfId="0" applyNumberFormat="1" applyFont="1" applyBorder="1" applyAlignment="1">
      <alignment horizontal="left" vertical="center" indent="1"/>
    </xf>
    <xf numFmtId="2" fontId="2" fillId="0" borderId="18" xfId="0" applyNumberFormat="1" applyFont="1" applyBorder="1" applyAlignment="1">
      <alignment horizontal="left" vertical="center"/>
    </xf>
    <xf numFmtId="2" fontId="5" fillId="4" borderId="20" xfId="0" applyNumberFormat="1" applyFont="1" applyFill="1" applyBorder="1" applyAlignment="1">
      <alignment horizontal="center" vertical="center"/>
    </xf>
    <xf numFmtId="4" fontId="5" fillId="4" borderId="21" xfId="0" applyNumberFormat="1" applyFont="1" applyFill="1" applyBorder="1" applyAlignment="1">
      <alignment horizontal="right" vertical="center"/>
    </xf>
    <xf numFmtId="4" fontId="5" fillId="4" borderId="22" xfId="0" applyNumberFormat="1" applyFont="1" applyFill="1" applyBorder="1" applyAlignment="1">
      <alignment horizontal="right" vertical="center"/>
    </xf>
    <xf numFmtId="4" fontId="5" fillId="4" borderId="23" xfId="0" applyNumberFormat="1" applyFont="1" applyFill="1" applyBorder="1" applyAlignment="1">
      <alignment horizontal="right" vertical="center"/>
    </xf>
    <xf numFmtId="0" fontId="4" fillId="0" borderId="0" xfId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2" fontId="1" fillId="2" borderId="2" xfId="0" applyNumberFormat="1" applyFont="1" applyFill="1" applyBorder="1" applyAlignment="1">
      <alignment horizontal="center" vertical="center" wrapText="1"/>
    </xf>
    <xf numFmtId="2" fontId="1" fillId="2" borderId="3" xfId="0" applyNumberFormat="1" applyFont="1" applyFill="1" applyBorder="1" applyAlignment="1">
      <alignment horizontal="center" vertical="center" wrapText="1"/>
    </xf>
    <xf numFmtId="0" fontId="6" fillId="0" borderId="0" xfId="0" applyFont="1"/>
  </cellXfs>
  <cellStyles count="2">
    <cellStyle name="Normal" xfId="0" builtinId="0"/>
    <cellStyle name="Normal 2" xfId="1" xr:uid="{7D0B79CF-B2D3-4048-B49A-371B9F9FAC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8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88DDA44-2FC8-4C47-863F-09E7EE88AA20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821b3de-46a1-48a5-a95a-49d2e7a2646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51D00-E413-496C-B073-54518C8DAC99}">
  <dimension ref="A1:I65"/>
  <sheetViews>
    <sheetView tabSelected="1" workbookViewId="0">
      <selection activeCell="D9" sqref="D9"/>
    </sheetView>
  </sheetViews>
  <sheetFormatPr defaultRowHeight="14.35" x14ac:dyDescent="0.5"/>
  <cols>
    <col min="1" max="1" width="15.76171875" customWidth="1"/>
    <col min="2" max="2" width="24.41015625" customWidth="1"/>
    <col min="3" max="3" width="12.1171875" style="35" customWidth="1"/>
    <col min="4" max="4" width="17.3515625" style="36" customWidth="1"/>
    <col min="5" max="8" width="17" style="37" customWidth="1"/>
    <col min="9" max="9" width="21" style="37" customWidth="1"/>
    <col min="10" max="10" width="22.87890625" customWidth="1"/>
    <col min="11" max="11" width="29.64453125" customWidth="1"/>
    <col min="12" max="12" width="29.3515625" customWidth="1"/>
    <col min="257" max="257" width="15.76171875" customWidth="1"/>
    <col min="258" max="258" width="24.41015625" customWidth="1"/>
    <col min="259" max="259" width="12.1171875" customWidth="1"/>
    <col min="260" max="260" width="17.3515625" customWidth="1"/>
    <col min="261" max="264" width="17" customWidth="1"/>
    <col min="265" max="265" width="21" customWidth="1"/>
    <col min="266" max="266" width="22.87890625" customWidth="1"/>
    <col min="267" max="267" width="29.64453125" customWidth="1"/>
    <col min="268" max="268" width="29.3515625" customWidth="1"/>
    <col min="513" max="513" width="15.76171875" customWidth="1"/>
    <col min="514" max="514" width="24.41015625" customWidth="1"/>
    <col min="515" max="515" width="12.1171875" customWidth="1"/>
    <col min="516" max="516" width="17.3515625" customWidth="1"/>
    <col min="517" max="520" width="17" customWidth="1"/>
    <col min="521" max="521" width="21" customWidth="1"/>
    <col min="522" max="522" width="22.87890625" customWidth="1"/>
    <col min="523" max="523" width="29.64453125" customWidth="1"/>
    <col min="524" max="524" width="29.3515625" customWidth="1"/>
    <col min="769" max="769" width="15.76171875" customWidth="1"/>
    <col min="770" max="770" width="24.41015625" customWidth="1"/>
    <col min="771" max="771" width="12.1171875" customWidth="1"/>
    <col min="772" max="772" width="17.3515625" customWidth="1"/>
    <col min="773" max="776" width="17" customWidth="1"/>
    <col min="777" max="777" width="21" customWidth="1"/>
    <col min="778" max="778" width="22.87890625" customWidth="1"/>
    <col min="779" max="779" width="29.64453125" customWidth="1"/>
    <col min="780" max="780" width="29.3515625" customWidth="1"/>
    <col min="1025" max="1025" width="15.76171875" customWidth="1"/>
    <col min="1026" max="1026" width="24.41015625" customWidth="1"/>
    <col min="1027" max="1027" width="12.1171875" customWidth="1"/>
    <col min="1028" max="1028" width="17.3515625" customWidth="1"/>
    <col min="1029" max="1032" width="17" customWidth="1"/>
    <col min="1033" max="1033" width="21" customWidth="1"/>
    <col min="1034" max="1034" width="22.87890625" customWidth="1"/>
    <col min="1035" max="1035" width="29.64453125" customWidth="1"/>
    <col min="1036" max="1036" width="29.3515625" customWidth="1"/>
    <col min="1281" max="1281" width="15.76171875" customWidth="1"/>
    <col min="1282" max="1282" width="24.41015625" customWidth="1"/>
    <col min="1283" max="1283" width="12.1171875" customWidth="1"/>
    <col min="1284" max="1284" width="17.3515625" customWidth="1"/>
    <col min="1285" max="1288" width="17" customWidth="1"/>
    <col min="1289" max="1289" width="21" customWidth="1"/>
    <col min="1290" max="1290" width="22.87890625" customWidth="1"/>
    <col min="1291" max="1291" width="29.64453125" customWidth="1"/>
    <col min="1292" max="1292" width="29.3515625" customWidth="1"/>
    <col min="1537" max="1537" width="15.76171875" customWidth="1"/>
    <col min="1538" max="1538" width="24.41015625" customWidth="1"/>
    <col min="1539" max="1539" width="12.1171875" customWidth="1"/>
    <col min="1540" max="1540" width="17.3515625" customWidth="1"/>
    <col min="1541" max="1544" width="17" customWidth="1"/>
    <col min="1545" max="1545" width="21" customWidth="1"/>
    <col min="1546" max="1546" width="22.87890625" customWidth="1"/>
    <col min="1547" max="1547" width="29.64453125" customWidth="1"/>
    <col min="1548" max="1548" width="29.3515625" customWidth="1"/>
    <col min="1793" max="1793" width="15.76171875" customWidth="1"/>
    <col min="1794" max="1794" width="24.41015625" customWidth="1"/>
    <col min="1795" max="1795" width="12.1171875" customWidth="1"/>
    <col min="1796" max="1796" width="17.3515625" customWidth="1"/>
    <col min="1797" max="1800" width="17" customWidth="1"/>
    <col min="1801" max="1801" width="21" customWidth="1"/>
    <col min="1802" max="1802" width="22.87890625" customWidth="1"/>
    <col min="1803" max="1803" width="29.64453125" customWidth="1"/>
    <col min="1804" max="1804" width="29.3515625" customWidth="1"/>
    <col min="2049" max="2049" width="15.76171875" customWidth="1"/>
    <col min="2050" max="2050" width="24.41015625" customWidth="1"/>
    <col min="2051" max="2051" width="12.1171875" customWidth="1"/>
    <col min="2052" max="2052" width="17.3515625" customWidth="1"/>
    <col min="2053" max="2056" width="17" customWidth="1"/>
    <col min="2057" max="2057" width="21" customWidth="1"/>
    <col min="2058" max="2058" width="22.87890625" customWidth="1"/>
    <col min="2059" max="2059" width="29.64453125" customWidth="1"/>
    <col min="2060" max="2060" width="29.3515625" customWidth="1"/>
    <col min="2305" max="2305" width="15.76171875" customWidth="1"/>
    <col min="2306" max="2306" width="24.41015625" customWidth="1"/>
    <col min="2307" max="2307" width="12.1171875" customWidth="1"/>
    <col min="2308" max="2308" width="17.3515625" customWidth="1"/>
    <col min="2309" max="2312" width="17" customWidth="1"/>
    <col min="2313" max="2313" width="21" customWidth="1"/>
    <col min="2314" max="2314" width="22.87890625" customWidth="1"/>
    <col min="2315" max="2315" width="29.64453125" customWidth="1"/>
    <col min="2316" max="2316" width="29.3515625" customWidth="1"/>
    <col min="2561" max="2561" width="15.76171875" customWidth="1"/>
    <col min="2562" max="2562" width="24.41015625" customWidth="1"/>
    <col min="2563" max="2563" width="12.1171875" customWidth="1"/>
    <col min="2564" max="2564" width="17.3515625" customWidth="1"/>
    <col min="2565" max="2568" width="17" customWidth="1"/>
    <col min="2569" max="2569" width="21" customWidth="1"/>
    <col min="2570" max="2570" width="22.87890625" customWidth="1"/>
    <col min="2571" max="2571" width="29.64453125" customWidth="1"/>
    <col min="2572" max="2572" width="29.3515625" customWidth="1"/>
    <col min="2817" max="2817" width="15.76171875" customWidth="1"/>
    <col min="2818" max="2818" width="24.41015625" customWidth="1"/>
    <col min="2819" max="2819" width="12.1171875" customWidth="1"/>
    <col min="2820" max="2820" width="17.3515625" customWidth="1"/>
    <col min="2821" max="2824" width="17" customWidth="1"/>
    <col min="2825" max="2825" width="21" customWidth="1"/>
    <col min="2826" max="2826" width="22.87890625" customWidth="1"/>
    <col min="2827" max="2827" width="29.64453125" customWidth="1"/>
    <col min="2828" max="2828" width="29.3515625" customWidth="1"/>
    <col min="3073" max="3073" width="15.76171875" customWidth="1"/>
    <col min="3074" max="3074" width="24.41015625" customWidth="1"/>
    <col min="3075" max="3075" width="12.1171875" customWidth="1"/>
    <col min="3076" max="3076" width="17.3515625" customWidth="1"/>
    <col min="3077" max="3080" width="17" customWidth="1"/>
    <col min="3081" max="3081" width="21" customWidth="1"/>
    <col min="3082" max="3082" width="22.87890625" customWidth="1"/>
    <col min="3083" max="3083" width="29.64453125" customWidth="1"/>
    <col min="3084" max="3084" width="29.3515625" customWidth="1"/>
    <col min="3329" max="3329" width="15.76171875" customWidth="1"/>
    <col min="3330" max="3330" width="24.41015625" customWidth="1"/>
    <col min="3331" max="3331" width="12.1171875" customWidth="1"/>
    <col min="3332" max="3332" width="17.3515625" customWidth="1"/>
    <col min="3333" max="3336" width="17" customWidth="1"/>
    <col min="3337" max="3337" width="21" customWidth="1"/>
    <col min="3338" max="3338" width="22.87890625" customWidth="1"/>
    <col min="3339" max="3339" width="29.64453125" customWidth="1"/>
    <col min="3340" max="3340" width="29.3515625" customWidth="1"/>
    <col min="3585" max="3585" width="15.76171875" customWidth="1"/>
    <col min="3586" max="3586" width="24.41015625" customWidth="1"/>
    <col min="3587" max="3587" width="12.1171875" customWidth="1"/>
    <col min="3588" max="3588" width="17.3515625" customWidth="1"/>
    <col min="3589" max="3592" width="17" customWidth="1"/>
    <col min="3593" max="3593" width="21" customWidth="1"/>
    <col min="3594" max="3594" width="22.87890625" customWidth="1"/>
    <col min="3595" max="3595" width="29.64453125" customWidth="1"/>
    <col min="3596" max="3596" width="29.3515625" customWidth="1"/>
    <col min="3841" max="3841" width="15.76171875" customWidth="1"/>
    <col min="3842" max="3842" width="24.41015625" customWidth="1"/>
    <col min="3843" max="3843" width="12.1171875" customWidth="1"/>
    <col min="3844" max="3844" width="17.3515625" customWidth="1"/>
    <col min="3845" max="3848" width="17" customWidth="1"/>
    <col min="3849" max="3849" width="21" customWidth="1"/>
    <col min="3850" max="3850" width="22.87890625" customWidth="1"/>
    <col min="3851" max="3851" width="29.64453125" customWidth="1"/>
    <col min="3852" max="3852" width="29.3515625" customWidth="1"/>
    <col min="4097" max="4097" width="15.76171875" customWidth="1"/>
    <col min="4098" max="4098" width="24.41015625" customWidth="1"/>
    <col min="4099" max="4099" width="12.1171875" customWidth="1"/>
    <col min="4100" max="4100" width="17.3515625" customWidth="1"/>
    <col min="4101" max="4104" width="17" customWidth="1"/>
    <col min="4105" max="4105" width="21" customWidth="1"/>
    <col min="4106" max="4106" width="22.87890625" customWidth="1"/>
    <col min="4107" max="4107" width="29.64453125" customWidth="1"/>
    <col min="4108" max="4108" width="29.3515625" customWidth="1"/>
    <col min="4353" max="4353" width="15.76171875" customWidth="1"/>
    <col min="4354" max="4354" width="24.41015625" customWidth="1"/>
    <col min="4355" max="4355" width="12.1171875" customWidth="1"/>
    <col min="4356" max="4356" width="17.3515625" customWidth="1"/>
    <col min="4357" max="4360" width="17" customWidth="1"/>
    <col min="4361" max="4361" width="21" customWidth="1"/>
    <col min="4362" max="4362" width="22.87890625" customWidth="1"/>
    <col min="4363" max="4363" width="29.64453125" customWidth="1"/>
    <col min="4364" max="4364" width="29.3515625" customWidth="1"/>
    <col min="4609" max="4609" width="15.76171875" customWidth="1"/>
    <col min="4610" max="4610" width="24.41015625" customWidth="1"/>
    <col min="4611" max="4611" width="12.1171875" customWidth="1"/>
    <col min="4612" max="4612" width="17.3515625" customWidth="1"/>
    <col min="4613" max="4616" width="17" customWidth="1"/>
    <col min="4617" max="4617" width="21" customWidth="1"/>
    <col min="4618" max="4618" width="22.87890625" customWidth="1"/>
    <col min="4619" max="4619" width="29.64453125" customWidth="1"/>
    <col min="4620" max="4620" width="29.3515625" customWidth="1"/>
    <col min="4865" max="4865" width="15.76171875" customWidth="1"/>
    <col min="4866" max="4866" width="24.41015625" customWidth="1"/>
    <col min="4867" max="4867" width="12.1171875" customWidth="1"/>
    <col min="4868" max="4868" width="17.3515625" customWidth="1"/>
    <col min="4869" max="4872" width="17" customWidth="1"/>
    <col min="4873" max="4873" width="21" customWidth="1"/>
    <col min="4874" max="4874" width="22.87890625" customWidth="1"/>
    <col min="4875" max="4875" width="29.64453125" customWidth="1"/>
    <col min="4876" max="4876" width="29.3515625" customWidth="1"/>
    <col min="5121" max="5121" width="15.76171875" customWidth="1"/>
    <col min="5122" max="5122" width="24.41015625" customWidth="1"/>
    <col min="5123" max="5123" width="12.1171875" customWidth="1"/>
    <col min="5124" max="5124" width="17.3515625" customWidth="1"/>
    <col min="5125" max="5128" width="17" customWidth="1"/>
    <col min="5129" max="5129" width="21" customWidth="1"/>
    <col min="5130" max="5130" width="22.87890625" customWidth="1"/>
    <col min="5131" max="5131" width="29.64453125" customWidth="1"/>
    <col min="5132" max="5132" width="29.3515625" customWidth="1"/>
    <col min="5377" max="5377" width="15.76171875" customWidth="1"/>
    <col min="5378" max="5378" width="24.41015625" customWidth="1"/>
    <col min="5379" max="5379" width="12.1171875" customWidth="1"/>
    <col min="5380" max="5380" width="17.3515625" customWidth="1"/>
    <col min="5381" max="5384" width="17" customWidth="1"/>
    <col min="5385" max="5385" width="21" customWidth="1"/>
    <col min="5386" max="5386" width="22.87890625" customWidth="1"/>
    <col min="5387" max="5387" width="29.64453125" customWidth="1"/>
    <col min="5388" max="5388" width="29.3515625" customWidth="1"/>
    <col min="5633" max="5633" width="15.76171875" customWidth="1"/>
    <col min="5634" max="5634" width="24.41015625" customWidth="1"/>
    <col min="5635" max="5635" width="12.1171875" customWidth="1"/>
    <col min="5636" max="5636" width="17.3515625" customWidth="1"/>
    <col min="5637" max="5640" width="17" customWidth="1"/>
    <col min="5641" max="5641" width="21" customWidth="1"/>
    <col min="5642" max="5642" width="22.87890625" customWidth="1"/>
    <col min="5643" max="5643" width="29.64453125" customWidth="1"/>
    <col min="5644" max="5644" width="29.3515625" customWidth="1"/>
    <col min="5889" max="5889" width="15.76171875" customWidth="1"/>
    <col min="5890" max="5890" width="24.41015625" customWidth="1"/>
    <col min="5891" max="5891" width="12.1171875" customWidth="1"/>
    <col min="5892" max="5892" width="17.3515625" customWidth="1"/>
    <col min="5893" max="5896" width="17" customWidth="1"/>
    <col min="5897" max="5897" width="21" customWidth="1"/>
    <col min="5898" max="5898" width="22.87890625" customWidth="1"/>
    <col min="5899" max="5899" width="29.64453125" customWidth="1"/>
    <col min="5900" max="5900" width="29.3515625" customWidth="1"/>
    <col min="6145" max="6145" width="15.76171875" customWidth="1"/>
    <col min="6146" max="6146" width="24.41015625" customWidth="1"/>
    <col min="6147" max="6147" width="12.1171875" customWidth="1"/>
    <col min="6148" max="6148" width="17.3515625" customWidth="1"/>
    <col min="6149" max="6152" width="17" customWidth="1"/>
    <col min="6153" max="6153" width="21" customWidth="1"/>
    <col min="6154" max="6154" width="22.87890625" customWidth="1"/>
    <col min="6155" max="6155" width="29.64453125" customWidth="1"/>
    <col min="6156" max="6156" width="29.3515625" customWidth="1"/>
    <col min="6401" max="6401" width="15.76171875" customWidth="1"/>
    <col min="6402" max="6402" width="24.41015625" customWidth="1"/>
    <col min="6403" max="6403" width="12.1171875" customWidth="1"/>
    <col min="6404" max="6404" width="17.3515625" customWidth="1"/>
    <col min="6405" max="6408" width="17" customWidth="1"/>
    <col min="6409" max="6409" width="21" customWidth="1"/>
    <col min="6410" max="6410" width="22.87890625" customWidth="1"/>
    <col min="6411" max="6411" width="29.64453125" customWidth="1"/>
    <col min="6412" max="6412" width="29.3515625" customWidth="1"/>
    <col min="6657" max="6657" width="15.76171875" customWidth="1"/>
    <col min="6658" max="6658" width="24.41015625" customWidth="1"/>
    <col min="6659" max="6659" width="12.1171875" customWidth="1"/>
    <col min="6660" max="6660" width="17.3515625" customWidth="1"/>
    <col min="6661" max="6664" width="17" customWidth="1"/>
    <col min="6665" max="6665" width="21" customWidth="1"/>
    <col min="6666" max="6666" width="22.87890625" customWidth="1"/>
    <col min="6667" max="6667" width="29.64453125" customWidth="1"/>
    <col min="6668" max="6668" width="29.3515625" customWidth="1"/>
    <col min="6913" max="6913" width="15.76171875" customWidth="1"/>
    <col min="6914" max="6914" width="24.41015625" customWidth="1"/>
    <col min="6915" max="6915" width="12.1171875" customWidth="1"/>
    <col min="6916" max="6916" width="17.3515625" customWidth="1"/>
    <col min="6917" max="6920" width="17" customWidth="1"/>
    <col min="6921" max="6921" width="21" customWidth="1"/>
    <col min="6922" max="6922" width="22.87890625" customWidth="1"/>
    <col min="6923" max="6923" width="29.64453125" customWidth="1"/>
    <col min="6924" max="6924" width="29.3515625" customWidth="1"/>
    <col min="7169" max="7169" width="15.76171875" customWidth="1"/>
    <col min="7170" max="7170" width="24.41015625" customWidth="1"/>
    <col min="7171" max="7171" width="12.1171875" customWidth="1"/>
    <col min="7172" max="7172" width="17.3515625" customWidth="1"/>
    <col min="7173" max="7176" width="17" customWidth="1"/>
    <col min="7177" max="7177" width="21" customWidth="1"/>
    <col min="7178" max="7178" width="22.87890625" customWidth="1"/>
    <col min="7179" max="7179" width="29.64453125" customWidth="1"/>
    <col min="7180" max="7180" width="29.3515625" customWidth="1"/>
    <col min="7425" max="7425" width="15.76171875" customWidth="1"/>
    <col min="7426" max="7426" width="24.41015625" customWidth="1"/>
    <col min="7427" max="7427" width="12.1171875" customWidth="1"/>
    <col min="7428" max="7428" width="17.3515625" customWidth="1"/>
    <col min="7429" max="7432" width="17" customWidth="1"/>
    <col min="7433" max="7433" width="21" customWidth="1"/>
    <col min="7434" max="7434" width="22.87890625" customWidth="1"/>
    <col min="7435" max="7435" width="29.64453125" customWidth="1"/>
    <col min="7436" max="7436" width="29.3515625" customWidth="1"/>
    <col min="7681" max="7681" width="15.76171875" customWidth="1"/>
    <col min="7682" max="7682" width="24.41015625" customWidth="1"/>
    <col min="7683" max="7683" width="12.1171875" customWidth="1"/>
    <col min="7684" max="7684" width="17.3515625" customWidth="1"/>
    <col min="7685" max="7688" width="17" customWidth="1"/>
    <col min="7689" max="7689" width="21" customWidth="1"/>
    <col min="7690" max="7690" width="22.87890625" customWidth="1"/>
    <col min="7691" max="7691" width="29.64453125" customWidth="1"/>
    <col min="7692" max="7692" width="29.3515625" customWidth="1"/>
    <col min="7937" max="7937" width="15.76171875" customWidth="1"/>
    <col min="7938" max="7938" width="24.41015625" customWidth="1"/>
    <col min="7939" max="7939" width="12.1171875" customWidth="1"/>
    <col min="7940" max="7940" width="17.3515625" customWidth="1"/>
    <col min="7941" max="7944" width="17" customWidth="1"/>
    <col min="7945" max="7945" width="21" customWidth="1"/>
    <col min="7946" max="7946" width="22.87890625" customWidth="1"/>
    <col min="7947" max="7947" width="29.64453125" customWidth="1"/>
    <col min="7948" max="7948" width="29.3515625" customWidth="1"/>
    <col min="8193" max="8193" width="15.76171875" customWidth="1"/>
    <col min="8194" max="8194" width="24.41015625" customWidth="1"/>
    <col min="8195" max="8195" width="12.1171875" customWidth="1"/>
    <col min="8196" max="8196" width="17.3515625" customWidth="1"/>
    <col min="8197" max="8200" width="17" customWidth="1"/>
    <col min="8201" max="8201" width="21" customWidth="1"/>
    <col min="8202" max="8202" width="22.87890625" customWidth="1"/>
    <col min="8203" max="8203" width="29.64453125" customWidth="1"/>
    <col min="8204" max="8204" width="29.3515625" customWidth="1"/>
    <col min="8449" max="8449" width="15.76171875" customWidth="1"/>
    <col min="8450" max="8450" width="24.41015625" customWidth="1"/>
    <col min="8451" max="8451" width="12.1171875" customWidth="1"/>
    <col min="8452" max="8452" width="17.3515625" customWidth="1"/>
    <col min="8453" max="8456" width="17" customWidth="1"/>
    <col min="8457" max="8457" width="21" customWidth="1"/>
    <col min="8458" max="8458" width="22.87890625" customWidth="1"/>
    <col min="8459" max="8459" width="29.64453125" customWidth="1"/>
    <col min="8460" max="8460" width="29.3515625" customWidth="1"/>
    <col min="8705" max="8705" width="15.76171875" customWidth="1"/>
    <col min="8706" max="8706" width="24.41015625" customWidth="1"/>
    <col min="8707" max="8707" width="12.1171875" customWidth="1"/>
    <col min="8708" max="8708" width="17.3515625" customWidth="1"/>
    <col min="8709" max="8712" width="17" customWidth="1"/>
    <col min="8713" max="8713" width="21" customWidth="1"/>
    <col min="8714" max="8714" width="22.87890625" customWidth="1"/>
    <col min="8715" max="8715" width="29.64453125" customWidth="1"/>
    <col min="8716" max="8716" width="29.3515625" customWidth="1"/>
    <col min="8961" max="8961" width="15.76171875" customWidth="1"/>
    <col min="8962" max="8962" width="24.41015625" customWidth="1"/>
    <col min="8963" max="8963" width="12.1171875" customWidth="1"/>
    <col min="8964" max="8964" width="17.3515625" customWidth="1"/>
    <col min="8965" max="8968" width="17" customWidth="1"/>
    <col min="8969" max="8969" width="21" customWidth="1"/>
    <col min="8970" max="8970" width="22.87890625" customWidth="1"/>
    <col min="8971" max="8971" width="29.64453125" customWidth="1"/>
    <col min="8972" max="8972" width="29.3515625" customWidth="1"/>
    <col min="9217" max="9217" width="15.76171875" customWidth="1"/>
    <col min="9218" max="9218" width="24.41015625" customWidth="1"/>
    <col min="9219" max="9219" width="12.1171875" customWidth="1"/>
    <col min="9220" max="9220" width="17.3515625" customWidth="1"/>
    <col min="9221" max="9224" width="17" customWidth="1"/>
    <col min="9225" max="9225" width="21" customWidth="1"/>
    <col min="9226" max="9226" width="22.87890625" customWidth="1"/>
    <col min="9227" max="9227" width="29.64453125" customWidth="1"/>
    <col min="9228" max="9228" width="29.3515625" customWidth="1"/>
    <col min="9473" max="9473" width="15.76171875" customWidth="1"/>
    <col min="9474" max="9474" width="24.41015625" customWidth="1"/>
    <col min="9475" max="9475" width="12.1171875" customWidth="1"/>
    <col min="9476" max="9476" width="17.3515625" customWidth="1"/>
    <col min="9477" max="9480" width="17" customWidth="1"/>
    <col min="9481" max="9481" width="21" customWidth="1"/>
    <col min="9482" max="9482" width="22.87890625" customWidth="1"/>
    <col min="9483" max="9483" width="29.64453125" customWidth="1"/>
    <col min="9484" max="9484" width="29.3515625" customWidth="1"/>
    <col min="9729" max="9729" width="15.76171875" customWidth="1"/>
    <col min="9730" max="9730" width="24.41015625" customWidth="1"/>
    <col min="9731" max="9731" width="12.1171875" customWidth="1"/>
    <col min="9732" max="9732" width="17.3515625" customWidth="1"/>
    <col min="9733" max="9736" width="17" customWidth="1"/>
    <col min="9737" max="9737" width="21" customWidth="1"/>
    <col min="9738" max="9738" width="22.87890625" customWidth="1"/>
    <col min="9739" max="9739" width="29.64453125" customWidth="1"/>
    <col min="9740" max="9740" width="29.3515625" customWidth="1"/>
    <col min="9985" max="9985" width="15.76171875" customWidth="1"/>
    <col min="9986" max="9986" width="24.41015625" customWidth="1"/>
    <col min="9987" max="9987" width="12.1171875" customWidth="1"/>
    <col min="9988" max="9988" width="17.3515625" customWidth="1"/>
    <col min="9989" max="9992" width="17" customWidth="1"/>
    <col min="9993" max="9993" width="21" customWidth="1"/>
    <col min="9994" max="9994" width="22.87890625" customWidth="1"/>
    <col min="9995" max="9995" width="29.64453125" customWidth="1"/>
    <col min="9996" max="9996" width="29.3515625" customWidth="1"/>
    <col min="10241" max="10241" width="15.76171875" customWidth="1"/>
    <col min="10242" max="10242" width="24.41015625" customWidth="1"/>
    <col min="10243" max="10243" width="12.1171875" customWidth="1"/>
    <col min="10244" max="10244" width="17.3515625" customWidth="1"/>
    <col min="10245" max="10248" width="17" customWidth="1"/>
    <col min="10249" max="10249" width="21" customWidth="1"/>
    <col min="10250" max="10250" width="22.87890625" customWidth="1"/>
    <col min="10251" max="10251" width="29.64453125" customWidth="1"/>
    <col min="10252" max="10252" width="29.3515625" customWidth="1"/>
    <col min="10497" max="10497" width="15.76171875" customWidth="1"/>
    <col min="10498" max="10498" width="24.41015625" customWidth="1"/>
    <col min="10499" max="10499" width="12.1171875" customWidth="1"/>
    <col min="10500" max="10500" width="17.3515625" customWidth="1"/>
    <col min="10501" max="10504" width="17" customWidth="1"/>
    <col min="10505" max="10505" width="21" customWidth="1"/>
    <col min="10506" max="10506" width="22.87890625" customWidth="1"/>
    <col min="10507" max="10507" width="29.64453125" customWidth="1"/>
    <col min="10508" max="10508" width="29.3515625" customWidth="1"/>
    <col min="10753" max="10753" width="15.76171875" customWidth="1"/>
    <col min="10754" max="10754" width="24.41015625" customWidth="1"/>
    <col min="10755" max="10755" width="12.1171875" customWidth="1"/>
    <col min="10756" max="10756" width="17.3515625" customWidth="1"/>
    <col min="10757" max="10760" width="17" customWidth="1"/>
    <col min="10761" max="10761" width="21" customWidth="1"/>
    <col min="10762" max="10762" width="22.87890625" customWidth="1"/>
    <col min="10763" max="10763" width="29.64453125" customWidth="1"/>
    <col min="10764" max="10764" width="29.3515625" customWidth="1"/>
    <col min="11009" max="11009" width="15.76171875" customWidth="1"/>
    <col min="11010" max="11010" width="24.41015625" customWidth="1"/>
    <col min="11011" max="11011" width="12.1171875" customWidth="1"/>
    <col min="11012" max="11012" width="17.3515625" customWidth="1"/>
    <col min="11013" max="11016" width="17" customWidth="1"/>
    <col min="11017" max="11017" width="21" customWidth="1"/>
    <col min="11018" max="11018" width="22.87890625" customWidth="1"/>
    <col min="11019" max="11019" width="29.64453125" customWidth="1"/>
    <col min="11020" max="11020" width="29.3515625" customWidth="1"/>
    <col min="11265" max="11265" width="15.76171875" customWidth="1"/>
    <col min="11266" max="11266" width="24.41015625" customWidth="1"/>
    <col min="11267" max="11267" width="12.1171875" customWidth="1"/>
    <col min="11268" max="11268" width="17.3515625" customWidth="1"/>
    <col min="11269" max="11272" width="17" customWidth="1"/>
    <col min="11273" max="11273" width="21" customWidth="1"/>
    <col min="11274" max="11274" width="22.87890625" customWidth="1"/>
    <col min="11275" max="11275" width="29.64453125" customWidth="1"/>
    <col min="11276" max="11276" width="29.3515625" customWidth="1"/>
    <col min="11521" max="11521" width="15.76171875" customWidth="1"/>
    <col min="11522" max="11522" width="24.41015625" customWidth="1"/>
    <col min="11523" max="11523" width="12.1171875" customWidth="1"/>
    <col min="11524" max="11524" width="17.3515625" customWidth="1"/>
    <col min="11525" max="11528" width="17" customWidth="1"/>
    <col min="11529" max="11529" width="21" customWidth="1"/>
    <col min="11530" max="11530" width="22.87890625" customWidth="1"/>
    <col min="11531" max="11531" width="29.64453125" customWidth="1"/>
    <col min="11532" max="11532" width="29.3515625" customWidth="1"/>
    <col min="11777" max="11777" width="15.76171875" customWidth="1"/>
    <col min="11778" max="11778" width="24.41015625" customWidth="1"/>
    <col min="11779" max="11779" width="12.1171875" customWidth="1"/>
    <col min="11780" max="11780" width="17.3515625" customWidth="1"/>
    <col min="11781" max="11784" width="17" customWidth="1"/>
    <col min="11785" max="11785" width="21" customWidth="1"/>
    <col min="11786" max="11786" width="22.87890625" customWidth="1"/>
    <col min="11787" max="11787" width="29.64453125" customWidth="1"/>
    <col min="11788" max="11788" width="29.3515625" customWidth="1"/>
    <col min="12033" max="12033" width="15.76171875" customWidth="1"/>
    <col min="12034" max="12034" width="24.41015625" customWidth="1"/>
    <col min="12035" max="12035" width="12.1171875" customWidth="1"/>
    <col min="12036" max="12036" width="17.3515625" customWidth="1"/>
    <col min="12037" max="12040" width="17" customWidth="1"/>
    <col min="12041" max="12041" width="21" customWidth="1"/>
    <col min="12042" max="12042" width="22.87890625" customWidth="1"/>
    <col min="12043" max="12043" width="29.64453125" customWidth="1"/>
    <col min="12044" max="12044" width="29.3515625" customWidth="1"/>
    <col min="12289" max="12289" width="15.76171875" customWidth="1"/>
    <col min="12290" max="12290" width="24.41015625" customWidth="1"/>
    <col min="12291" max="12291" width="12.1171875" customWidth="1"/>
    <col min="12292" max="12292" width="17.3515625" customWidth="1"/>
    <col min="12293" max="12296" width="17" customWidth="1"/>
    <col min="12297" max="12297" width="21" customWidth="1"/>
    <col min="12298" max="12298" width="22.87890625" customWidth="1"/>
    <col min="12299" max="12299" width="29.64453125" customWidth="1"/>
    <col min="12300" max="12300" width="29.3515625" customWidth="1"/>
    <col min="12545" max="12545" width="15.76171875" customWidth="1"/>
    <col min="12546" max="12546" width="24.41015625" customWidth="1"/>
    <col min="12547" max="12547" width="12.1171875" customWidth="1"/>
    <col min="12548" max="12548" width="17.3515625" customWidth="1"/>
    <col min="12549" max="12552" width="17" customWidth="1"/>
    <col min="12553" max="12553" width="21" customWidth="1"/>
    <col min="12554" max="12554" width="22.87890625" customWidth="1"/>
    <col min="12555" max="12555" width="29.64453125" customWidth="1"/>
    <col min="12556" max="12556" width="29.3515625" customWidth="1"/>
    <col min="12801" max="12801" width="15.76171875" customWidth="1"/>
    <col min="12802" max="12802" width="24.41015625" customWidth="1"/>
    <col min="12803" max="12803" width="12.1171875" customWidth="1"/>
    <col min="12804" max="12804" width="17.3515625" customWidth="1"/>
    <col min="12805" max="12808" width="17" customWidth="1"/>
    <col min="12809" max="12809" width="21" customWidth="1"/>
    <col min="12810" max="12810" width="22.87890625" customWidth="1"/>
    <col min="12811" max="12811" width="29.64453125" customWidth="1"/>
    <col min="12812" max="12812" width="29.3515625" customWidth="1"/>
    <col min="13057" max="13057" width="15.76171875" customWidth="1"/>
    <col min="13058" max="13058" width="24.41015625" customWidth="1"/>
    <col min="13059" max="13059" width="12.1171875" customWidth="1"/>
    <col min="13060" max="13060" width="17.3515625" customWidth="1"/>
    <col min="13061" max="13064" width="17" customWidth="1"/>
    <col min="13065" max="13065" width="21" customWidth="1"/>
    <col min="13066" max="13066" width="22.87890625" customWidth="1"/>
    <col min="13067" max="13067" width="29.64453125" customWidth="1"/>
    <col min="13068" max="13068" width="29.3515625" customWidth="1"/>
    <col min="13313" max="13313" width="15.76171875" customWidth="1"/>
    <col min="13314" max="13314" width="24.41015625" customWidth="1"/>
    <col min="13315" max="13315" width="12.1171875" customWidth="1"/>
    <col min="13316" max="13316" width="17.3515625" customWidth="1"/>
    <col min="13317" max="13320" width="17" customWidth="1"/>
    <col min="13321" max="13321" width="21" customWidth="1"/>
    <col min="13322" max="13322" width="22.87890625" customWidth="1"/>
    <col min="13323" max="13323" width="29.64453125" customWidth="1"/>
    <col min="13324" max="13324" width="29.3515625" customWidth="1"/>
    <col min="13569" max="13569" width="15.76171875" customWidth="1"/>
    <col min="13570" max="13570" width="24.41015625" customWidth="1"/>
    <col min="13571" max="13571" width="12.1171875" customWidth="1"/>
    <col min="13572" max="13572" width="17.3515625" customWidth="1"/>
    <col min="13573" max="13576" width="17" customWidth="1"/>
    <col min="13577" max="13577" width="21" customWidth="1"/>
    <col min="13578" max="13578" width="22.87890625" customWidth="1"/>
    <col min="13579" max="13579" width="29.64453125" customWidth="1"/>
    <col min="13580" max="13580" width="29.3515625" customWidth="1"/>
    <col min="13825" max="13825" width="15.76171875" customWidth="1"/>
    <col min="13826" max="13826" width="24.41015625" customWidth="1"/>
    <col min="13827" max="13827" width="12.1171875" customWidth="1"/>
    <col min="13828" max="13828" width="17.3515625" customWidth="1"/>
    <col min="13829" max="13832" width="17" customWidth="1"/>
    <col min="13833" max="13833" width="21" customWidth="1"/>
    <col min="13834" max="13834" width="22.87890625" customWidth="1"/>
    <col min="13835" max="13835" width="29.64453125" customWidth="1"/>
    <col min="13836" max="13836" width="29.3515625" customWidth="1"/>
    <col min="14081" max="14081" width="15.76171875" customWidth="1"/>
    <col min="14082" max="14082" width="24.41015625" customWidth="1"/>
    <col min="14083" max="14083" width="12.1171875" customWidth="1"/>
    <col min="14084" max="14084" width="17.3515625" customWidth="1"/>
    <col min="14085" max="14088" width="17" customWidth="1"/>
    <col min="14089" max="14089" width="21" customWidth="1"/>
    <col min="14090" max="14090" width="22.87890625" customWidth="1"/>
    <col min="14091" max="14091" width="29.64453125" customWidth="1"/>
    <col min="14092" max="14092" width="29.3515625" customWidth="1"/>
    <col min="14337" max="14337" width="15.76171875" customWidth="1"/>
    <col min="14338" max="14338" width="24.41015625" customWidth="1"/>
    <col min="14339" max="14339" width="12.1171875" customWidth="1"/>
    <col min="14340" max="14340" width="17.3515625" customWidth="1"/>
    <col min="14341" max="14344" width="17" customWidth="1"/>
    <col min="14345" max="14345" width="21" customWidth="1"/>
    <col min="14346" max="14346" width="22.87890625" customWidth="1"/>
    <col min="14347" max="14347" width="29.64453125" customWidth="1"/>
    <col min="14348" max="14348" width="29.3515625" customWidth="1"/>
    <col min="14593" max="14593" width="15.76171875" customWidth="1"/>
    <col min="14594" max="14594" width="24.41015625" customWidth="1"/>
    <col min="14595" max="14595" width="12.1171875" customWidth="1"/>
    <col min="14596" max="14596" width="17.3515625" customWidth="1"/>
    <col min="14597" max="14600" width="17" customWidth="1"/>
    <col min="14601" max="14601" width="21" customWidth="1"/>
    <col min="14602" max="14602" width="22.87890625" customWidth="1"/>
    <col min="14603" max="14603" width="29.64453125" customWidth="1"/>
    <col min="14604" max="14604" width="29.3515625" customWidth="1"/>
    <col min="14849" max="14849" width="15.76171875" customWidth="1"/>
    <col min="14850" max="14850" width="24.41015625" customWidth="1"/>
    <col min="14851" max="14851" width="12.1171875" customWidth="1"/>
    <col min="14852" max="14852" width="17.3515625" customWidth="1"/>
    <col min="14853" max="14856" width="17" customWidth="1"/>
    <col min="14857" max="14857" width="21" customWidth="1"/>
    <col min="14858" max="14858" width="22.87890625" customWidth="1"/>
    <col min="14859" max="14859" width="29.64453125" customWidth="1"/>
    <col min="14860" max="14860" width="29.3515625" customWidth="1"/>
    <col min="15105" max="15105" width="15.76171875" customWidth="1"/>
    <col min="15106" max="15106" width="24.41015625" customWidth="1"/>
    <col min="15107" max="15107" width="12.1171875" customWidth="1"/>
    <col min="15108" max="15108" width="17.3515625" customWidth="1"/>
    <col min="15109" max="15112" width="17" customWidth="1"/>
    <col min="15113" max="15113" width="21" customWidth="1"/>
    <col min="15114" max="15114" width="22.87890625" customWidth="1"/>
    <col min="15115" max="15115" width="29.64453125" customWidth="1"/>
    <col min="15116" max="15116" width="29.3515625" customWidth="1"/>
    <col min="15361" max="15361" width="15.76171875" customWidth="1"/>
    <col min="15362" max="15362" width="24.41015625" customWidth="1"/>
    <col min="15363" max="15363" width="12.1171875" customWidth="1"/>
    <col min="15364" max="15364" width="17.3515625" customWidth="1"/>
    <col min="15365" max="15368" width="17" customWidth="1"/>
    <col min="15369" max="15369" width="21" customWidth="1"/>
    <col min="15370" max="15370" width="22.87890625" customWidth="1"/>
    <col min="15371" max="15371" width="29.64453125" customWidth="1"/>
    <col min="15372" max="15372" width="29.3515625" customWidth="1"/>
    <col min="15617" max="15617" width="15.76171875" customWidth="1"/>
    <col min="15618" max="15618" width="24.41015625" customWidth="1"/>
    <col min="15619" max="15619" width="12.1171875" customWidth="1"/>
    <col min="15620" max="15620" width="17.3515625" customWidth="1"/>
    <col min="15621" max="15624" width="17" customWidth="1"/>
    <col min="15625" max="15625" width="21" customWidth="1"/>
    <col min="15626" max="15626" width="22.87890625" customWidth="1"/>
    <col min="15627" max="15627" width="29.64453125" customWidth="1"/>
    <col min="15628" max="15628" width="29.3515625" customWidth="1"/>
    <col min="15873" max="15873" width="15.76171875" customWidth="1"/>
    <col min="15874" max="15874" width="24.41015625" customWidth="1"/>
    <col min="15875" max="15875" width="12.1171875" customWidth="1"/>
    <col min="15876" max="15876" width="17.3515625" customWidth="1"/>
    <col min="15877" max="15880" width="17" customWidth="1"/>
    <col min="15881" max="15881" width="21" customWidth="1"/>
    <col min="15882" max="15882" width="22.87890625" customWidth="1"/>
    <col min="15883" max="15883" width="29.64453125" customWidth="1"/>
    <col min="15884" max="15884" width="29.3515625" customWidth="1"/>
    <col min="16129" max="16129" width="15.76171875" customWidth="1"/>
    <col min="16130" max="16130" width="24.41015625" customWidth="1"/>
    <col min="16131" max="16131" width="12.1171875" customWidth="1"/>
    <col min="16132" max="16132" width="17.3515625" customWidth="1"/>
    <col min="16133" max="16136" width="17" customWidth="1"/>
    <col min="16137" max="16137" width="21" customWidth="1"/>
    <col min="16138" max="16138" width="22.87890625" customWidth="1"/>
    <col min="16139" max="16139" width="29.64453125" customWidth="1"/>
    <col min="16140" max="16140" width="29.3515625" customWidth="1"/>
  </cols>
  <sheetData>
    <row r="1" spans="1:9" s="1" customFormat="1" ht="18" customHeight="1" x14ac:dyDescent="0.4">
      <c r="A1" s="38" t="s">
        <v>0</v>
      </c>
      <c r="B1" s="39"/>
      <c r="C1" s="39"/>
      <c r="D1" s="39"/>
      <c r="E1" s="39"/>
      <c r="F1" s="39"/>
      <c r="G1" s="39"/>
      <c r="H1" s="39"/>
      <c r="I1" s="40"/>
    </row>
    <row r="2" spans="1:9" s="1" customFormat="1" ht="45.35" thickBot="1" x14ac:dyDescent="0.45">
      <c r="A2" s="2" t="s">
        <v>1</v>
      </c>
      <c r="B2" s="2" t="s">
        <v>2</v>
      </c>
      <c r="C2" s="3" t="s">
        <v>3</v>
      </c>
      <c r="D2" s="4" t="s">
        <v>4</v>
      </c>
      <c r="E2" s="4" t="s">
        <v>5</v>
      </c>
      <c r="F2" s="5" t="s">
        <v>6</v>
      </c>
      <c r="G2" s="5" t="s">
        <v>7</v>
      </c>
      <c r="H2" s="5" t="s">
        <v>8</v>
      </c>
      <c r="I2" s="6" t="s">
        <v>9</v>
      </c>
    </row>
    <row r="3" spans="1:9" s="1" customFormat="1" ht="16.2" customHeight="1" thickTop="1" thickBot="1" x14ac:dyDescent="0.45">
      <c r="A3" s="7" t="s">
        <v>10</v>
      </c>
      <c r="B3" s="8" t="s">
        <v>11</v>
      </c>
      <c r="C3" s="9">
        <v>25</v>
      </c>
      <c r="D3" s="9">
        <v>23</v>
      </c>
      <c r="E3" s="9">
        <v>319.40000000000003</v>
      </c>
      <c r="F3" s="10">
        <f>IFERROR(INDEX(Sheet1!B$2:B$35,MATCH(TRIM($B3),Sheet1!$F$2:$F$35,0)),"")</f>
        <v>33.83</v>
      </c>
      <c r="G3" s="10">
        <f>IFERROR(INDEX(Sheet1!C$2:C$35,MATCH(TRIM($B3),Sheet1!$F$2:$F$35,0)),"")</f>
        <v>29.82</v>
      </c>
      <c r="H3" s="10">
        <f>IFERROR(INDEX(Sheet1!D$2:D$35,MATCH(TRIM($B3),Sheet1!$F$2:$F$35,0)),"")</f>
        <v>13.22</v>
      </c>
      <c r="I3" s="10">
        <f>IFERROR(INDEX(Sheet1!E$2:E$35,MATCH(TRIM($B3),Sheet1!$F$2:$F$35,0)),"")</f>
        <v>6.74</v>
      </c>
    </row>
    <row r="4" spans="1:9" s="1" customFormat="1" ht="16.2" customHeight="1" thickTop="1" thickBot="1" x14ac:dyDescent="0.45">
      <c r="A4" s="7" t="s">
        <v>10</v>
      </c>
      <c r="B4" s="11" t="s">
        <v>12</v>
      </c>
      <c r="C4" s="12">
        <v>11</v>
      </c>
      <c r="D4" s="12">
        <v>11</v>
      </c>
      <c r="E4" s="12">
        <v>162.70000000000002</v>
      </c>
      <c r="F4" s="10">
        <f>IFERROR(INDEX(Sheet1!B$2:B$35,MATCH(TRIM($B4),Sheet1!$F$2:$F$35,0)),"")</f>
        <v>30.63</v>
      </c>
      <c r="G4" s="10">
        <f>IFERROR(INDEX(Sheet1!C$2:C$35,MATCH(TRIM($B4),Sheet1!$F$2:$F$35,0)),"")</f>
        <v>46.28</v>
      </c>
      <c r="H4" s="10">
        <f>IFERROR(INDEX(Sheet1!D$2:D$35,MATCH(TRIM($B4),Sheet1!$F$2:$F$35,0)),"")</f>
        <v>35.89</v>
      </c>
      <c r="I4" s="10">
        <f>IFERROR(INDEX(Sheet1!E$2:E$35,MATCH(TRIM($B4),Sheet1!$F$2:$F$35,0)),"")</f>
        <v>2.74</v>
      </c>
    </row>
    <row r="5" spans="1:9" s="1" customFormat="1" ht="16.2" customHeight="1" thickTop="1" thickBot="1" x14ac:dyDescent="0.45">
      <c r="A5" s="7" t="s">
        <v>10</v>
      </c>
      <c r="B5" s="11" t="s">
        <v>13</v>
      </c>
      <c r="C5" s="12">
        <v>16</v>
      </c>
      <c r="D5" s="12">
        <v>16</v>
      </c>
      <c r="E5" s="12">
        <v>53.2</v>
      </c>
      <c r="F5" s="10" t="str">
        <f>IFERROR(INDEX(Sheet1!B$2:B$35,MATCH(TRIM($B5),Sheet1!$F$2:$F$35,0)),"")</f>
        <v/>
      </c>
      <c r="G5" s="10" t="str">
        <f>IFERROR(INDEX(Sheet1!C$2:C$35,MATCH(TRIM($B5),Sheet1!$F$2:$F$35,0)),"")</f>
        <v/>
      </c>
      <c r="H5" s="10" t="str">
        <f>IFERROR(INDEX(Sheet1!D$2:D$35,MATCH(TRIM($B5),Sheet1!$F$2:$F$35,0)),"")</f>
        <v/>
      </c>
      <c r="I5" s="10" t="str">
        <f>IFERROR(INDEX(Sheet1!E$2:E$35,MATCH(TRIM($B5),Sheet1!$F$2:$F$35,0)),"")</f>
        <v/>
      </c>
    </row>
    <row r="6" spans="1:9" s="1" customFormat="1" ht="16.2" customHeight="1" thickTop="1" thickBot="1" x14ac:dyDescent="0.45">
      <c r="A6" s="7" t="s">
        <v>10</v>
      </c>
      <c r="B6" s="11" t="s">
        <v>14</v>
      </c>
      <c r="C6" s="12">
        <v>48</v>
      </c>
      <c r="D6" s="12">
        <v>48</v>
      </c>
      <c r="E6" s="12">
        <v>132.80000000000001</v>
      </c>
      <c r="F6" s="10" t="str">
        <f>IFERROR(INDEX(Sheet1!B$2:B$35,MATCH(TRIM($B6),Sheet1!$F$2:$F$35,0)),"")</f>
        <v/>
      </c>
      <c r="G6" s="10" t="str">
        <f>IFERROR(INDEX(Sheet1!C$2:C$35,MATCH(TRIM($B6),Sheet1!$F$2:$F$35,0)),"")</f>
        <v/>
      </c>
      <c r="H6" s="10" t="str">
        <f>IFERROR(INDEX(Sheet1!D$2:D$35,MATCH(TRIM($B6),Sheet1!$F$2:$F$35,0)),"")</f>
        <v/>
      </c>
      <c r="I6" s="10" t="str">
        <f>IFERROR(INDEX(Sheet1!E$2:E$35,MATCH(TRIM($B6),Sheet1!$F$2:$F$35,0)),"")</f>
        <v/>
      </c>
    </row>
    <row r="7" spans="1:9" s="1" customFormat="1" ht="16.2" customHeight="1" thickTop="1" thickBot="1" x14ac:dyDescent="0.45">
      <c r="A7" s="7" t="s">
        <v>10</v>
      </c>
      <c r="B7" s="13" t="s">
        <v>15</v>
      </c>
      <c r="C7" s="14">
        <v>13</v>
      </c>
      <c r="D7" s="14">
        <v>13</v>
      </c>
      <c r="E7" s="14">
        <v>148.6</v>
      </c>
      <c r="F7" s="10" t="str">
        <f>IFERROR(INDEX(Sheet1!B$2:B$35,MATCH(TRIM($B7),Sheet1!$F$2:$F$35,0)),"")</f>
        <v/>
      </c>
      <c r="G7" s="10" t="str">
        <f>IFERROR(INDEX(Sheet1!C$2:C$35,MATCH(TRIM($B7),Sheet1!$F$2:$F$35,0)),"")</f>
        <v/>
      </c>
      <c r="H7" s="10" t="str">
        <f>IFERROR(INDEX(Sheet1!D$2:D$35,MATCH(TRIM($B7),Sheet1!$F$2:$F$35,0)),"")</f>
        <v/>
      </c>
      <c r="I7" s="10" t="str">
        <f>IFERROR(INDEX(Sheet1!E$2:E$35,MATCH(TRIM($B7),Sheet1!$F$2:$F$35,0)),"")</f>
        <v/>
      </c>
    </row>
    <row r="8" spans="1:9" s="1" customFormat="1" ht="16.2" customHeight="1" thickTop="1" thickBot="1" x14ac:dyDescent="0.45">
      <c r="A8" s="15" t="s">
        <v>16</v>
      </c>
      <c r="B8" s="16" t="s">
        <v>17</v>
      </c>
      <c r="C8" s="17">
        <v>43</v>
      </c>
      <c r="D8" s="17">
        <v>42</v>
      </c>
      <c r="E8" s="17">
        <v>212.79999999999998</v>
      </c>
      <c r="F8" s="10" t="str">
        <f>IFERROR(INDEX(Sheet1!B$2:B$35,MATCH(TRIM($B8),Sheet1!$F$2:$F$35,0)),"")</f>
        <v/>
      </c>
      <c r="G8" s="10" t="str">
        <f>IFERROR(INDEX(Sheet1!C$2:C$35,MATCH(TRIM($B8),Sheet1!$F$2:$F$35,0)),"")</f>
        <v/>
      </c>
      <c r="H8" s="10" t="str">
        <f>IFERROR(INDEX(Sheet1!D$2:D$35,MATCH(TRIM($B8),Sheet1!$F$2:$F$35,0)),"")</f>
        <v/>
      </c>
      <c r="I8" s="10" t="str">
        <f>IFERROR(INDEX(Sheet1!E$2:E$35,MATCH(TRIM($B8),Sheet1!$F$2:$F$35,0)),"")</f>
        <v/>
      </c>
    </row>
    <row r="9" spans="1:9" s="1" customFormat="1" ht="16.2" customHeight="1" thickTop="1" thickBot="1" x14ac:dyDescent="0.45">
      <c r="A9" s="15" t="s">
        <v>16</v>
      </c>
      <c r="B9" s="18" t="s">
        <v>18</v>
      </c>
      <c r="C9" s="19">
        <v>136</v>
      </c>
      <c r="D9" s="19">
        <v>136</v>
      </c>
      <c r="E9" s="19">
        <v>477.19999999999982</v>
      </c>
      <c r="F9" s="10" t="str">
        <f>IFERROR(INDEX(Sheet1!B$2:B$35,MATCH(TRIM($B9),Sheet1!$F$2:$F$35,0)),"")</f>
        <v/>
      </c>
      <c r="G9" s="10" t="str">
        <f>IFERROR(INDEX(Sheet1!C$2:C$35,MATCH(TRIM($B9),Sheet1!$F$2:$F$35,0)),"")</f>
        <v/>
      </c>
      <c r="H9" s="10" t="str">
        <f>IFERROR(INDEX(Sheet1!D$2:D$35,MATCH(TRIM($B9),Sheet1!$F$2:$F$35,0)),"")</f>
        <v/>
      </c>
      <c r="I9" s="10" t="str">
        <f>IFERROR(INDEX(Sheet1!E$2:E$35,MATCH(TRIM($B9),Sheet1!$F$2:$F$35,0)),"")</f>
        <v/>
      </c>
    </row>
    <row r="10" spans="1:9" s="1" customFormat="1" ht="16.2" customHeight="1" thickTop="1" thickBot="1" x14ac:dyDescent="0.45">
      <c r="A10" s="15" t="s">
        <v>16</v>
      </c>
      <c r="B10" s="18" t="s">
        <v>19</v>
      </c>
      <c r="C10" s="19">
        <v>31</v>
      </c>
      <c r="D10" s="19">
        <v>31</v>
      </c>
      <c r="E10" s="19">
        <v>90.2</v>
      </c>
      <c r="F10" s="10" t="str">
        <f>IFERROR(INDEX(Sheet1!B$2:B$35,MATCH(TRIM($B10),Sheet1!$F$2:$F$35,0)),"")</f>
        <v/>
      </c>
      <c r="G10" s="10" t="str">
        <f>IFERROR(INDEX(Sheet1!C$2:C$35,MATCH(TRIM($B10),Sheet1!$F$2:$F$35,0)),"")</f>
        <v/>
      </c>
      <c r="H10" s="10" t="str">
        <f>IFERROR(INDEX(Sheet1!D$2:D$35,MATCH(TRIM($B10),Sheet1!$F$2:$F$35,0)),"")</f>
        <v/>
      </c>
      <c r="I10" s="10" t="str">
        <f>IFERROR(INDEX(Sheet1!E$2:E$35,MATCH(TRIM($B10),Sheet1!$F$2:$F$35,0)),"")</f>
        <v/>
      </c>
    </row>
    <row r="11" spans="1:9" s="1" customFormat="1" ht="16.2" customHeight="1" thickTop="1" thickBot="1" x14ac:dyDescent="0.45">
      <c r="A11" s="20" t="s">
        <v>16</v>
      </c>
      <c r="B11" s="21" t="s">
        <v>20</v>
      </c>
      <c r="C11" s="22">
        <v>56</v>
      </c>
      <c r="D11" s="22">
        <v>55</v>
      </c>
      <c r="E11" s="22">
        <v>191.99999999999997</v>
      </c>
      <c r="F11" s="10">
        <f>IFERROR(INDEX(Sheet1!B$2:B$35,MATCH(TRIM($B11),Sheet1!$F$2:$F$35,0)),"")</f>
        <v>44.24</v>
      </c>
      <c r="G11" s="10">
        <f>IFERROR(INDEX(Sheet1!C$2:C$35,MATCH(TRIM($B11),Sheet1!$F$2:$F$35,0)),"")</f>
        <v>64.959999999999994</v>
      </c>
      <c r="H11" s="10">
        <f>IFERROR(INDEX(Sheet1!D$2:D$35,MATCH(TRIM($B11),Sheet1!$F$2:$F$35,0)),"")</f>
        <v>17.48</v>
      </c>
      <c r="I11" s="10">
        <f>IFERROR(INDEX(Sheet1!E$2:E$35,MATCH(TRIM($B11),Sheet1!$F$2:$F$35,0)),"")</f>
        <v>0</v>
      </c>
    </row>
    <row r="12" spans="1:9" s="1" customFormat="1" ht="16.2" customHeight="1" thickTop="1" thickBot="1" x14ac:dyDescent="0.45">
      <c r="A12" s="23" t="s">
        <v>21</v>
      </c>
      <c r="B12" s="24" t="s">
        <v>22</v>
      </c>
      <c r="C12" s="25">
        <v>20</v>
      </c>
      <c r="D12" s="25">
        <v>19</v>
      </c>
      <c r="E12" s="25">
        <v>198</v>
      </c>
      <c r="F12" s="10">
        <f>IFERROR(INDEX(Sheet1!B$2:B$35,MATCH(TRIM($B12),Sheet1!$F$2:$F$35,0)),"")</f>
        <v>71.87</v>
      </c>
      <c r="G12" s="10">
        <f>IFERROR(INDEX(Sheet1!C$2:C$35,MATCH(TRIM($B12),Sheet1!$F$2:$F$35,0)),"")</f>
        <v>32.58</v>
      </c>
      <c r="H12" s="10">
        <f>IFERROR(INDEX(Sheet1!D$2:D$35,MATCH(TRIM($B12),Sheet1!$F$2:$F$35,0)),"")</f>
        <v>37.93</v>
      </c>
      <c r="I12" s="10">
        <f>IFERROR(INDEX(Sheet1!E$2:E$35,MATCH(TRIM($B12),Sheet1!$F$2:$F$35,0)),"")</f>
        <v>7.19</v>
      </c>
    </row>
    <row r="13" spans="1:9" s="1" customFormat="1" ht="16.2" customHeight="1" thickTop="1" thickBot="1" x14ac:dyDescent="0.45">
      <c r="A13" s="7" t="s">
        <v>21</v>
      </c>
      <c r="B13" s="11" t="s">
        <v>23</v>
      </c>
      <c r="C13" s="12">
        <v>13</v>
      </c>
      <c r="D13" s="12">
        <v>13</v>
      </c>
      <c r="E13" s="12">
        <v>217.1</v>
      </c>
      <c r="F13" s="10">
        <f>IFERROR(INDEX(Sheet1!B$2:B$35,MATCH(TRIM($B13),Sheet1!$F$2:$F$35,0)),"")</f>
        <v>4.4800000000000004</v>
      </c>
      <c r="G13" s="10">
        <f>IFERROR(INDEX(Sheet1!C$2:C$35,MATCH(TRIM($B13),Sheet1!$F$2:$F$35,0)),"")</f>
        <v>34.64</v>
      </c>
      <c r="H13" s="10">
        <f>IFERROR(INDEX(Sheet1!D$2:D$35,MATCH(TRIM($B13),Sheet1!$F$2:$F$35,0)),"")</f>
        <v>25.09</v>
      </c>
      <c r="I13" s="10">
        <f>IFERROR(INDEX(Sheet1!E$2:E$35,MATCH(TRIM($B13),Sheet1!$F$2:$F$35,0)),"")</f>
        <v>0</v>
      </c>
    </row>
    <row r="14" spans="1:9" s="1" customFormat="1" ht="16.2" customHeight="1" thickTop="1" thickBot="1" x14ac:dyDescent="0.45">
      <c r="A14" s="26" t="s">
        <v>21</v>
      </c>
      <c r="B14" s="13" t="s">
        <v>24</v>
      </c>
      <c r="C14" s="14">
        <v>10</v>
      </c>
      <c r="D14" s="14">
        <v>10</v>
      </c>
      <c r="E14" s="14">
        <v>32</v>
      </c>
      <c r="F14" s="10">
        <f>IFERROR(INDEX(Sheet1!B$2:B$35,MATCH(TRIM($B14),Sheet1!$F$2:$F$35,0)),"")</f>
        <v>44.31</v>
      </c>
      <c r="G14" s="10">
        <f>IFERROR(INDEX(Sheet1!C$2:C$35,MATCH(TRIM($B14),Sheet1!$F$2:$F$35,0)),"")</f>
        <v>32.06</v>
      </c>
      <c r="H14" s="10">
        <f>IFERROR(INDEX(Sheet1!D$2:D$35,MATCH(TRIM($B14),Sheet1!$F$2:$F$35,0)),"")</f>
        <v>16.21</v>
      </c>
      <c r="I14" s="10">
        <f>IFERROR(INDEX(Sheet1!E$2:E$35,MATCH(TRIM($B14),Sheet1!$F$2:$F$35,0)),"")</f>
        <v>16.5</v>
      </c>
    </row>
    <row r="15" spans="1:9" s="1" customFormat="1" ht="16.2" customHeight="1" thickTop="1" thickBot="1" x14ac:dyDescent="0.45">
      <c r="A15" s="27" t="s">
        <v>25</v>
      </c>
      <c r="B15" s="16" t="s">
        <v>26</v>
      </c>
      <c r="C15" s="17">
        <v>35</v>
      </c>
      <c r="D15" s="17">
        <v>35</v>
      </c>
      <c r="E15" s="17">
        <v>144.93999999999997</v>
      </c>
      <c r="F15" s="10" t="str">
        <f>IFERROR(INDEX(Sheet1!B$2:B$35,MATCH(TRIM($B15),Sheet1!$F$2:$F$35,0)),"")</f>
        <v/>
      </c>
      <c r="G15" s="10" t="str">
        <f>IFERROR(INDEX(Sheet1!C$2:C$35,MATCH(TRIM($B15),Sheet1!$F$2:$F$35,0)),"")</f>
        <v/>
      </c>
      <c r="H15" s="10" t="str">
        <f>IFERROR(INDEX(Sheet1!D$2:D$35,MATCH(TRIM($B15),Sheet1!$F$2:$F$35,0)),"")</f>
        <v/>
      </c>
      <c r="I15" s="10" t="str">
        <f>IFERROR(INDEX(Sheet1!E$2:E$35,MATCH(TRIM($B15),Sheet1!$F$2:$F$35,0)),"")</f>
        <v/>
      </c>
    </row>
    <row r="16" spans="1:9" s="1" customFormat="1" ht="16.2" customHeight="1" thickTop="1" thickBot="1" x14ac:dyDescent="0.45">
      <c r="A16" s="15" t="s">
        <v>25</v>
      </c>
      <c r="B16" s="18" t="s">
        <v>27</v>
      </c>
      <c r="C16" s="19">
        <v>27</v>
      </c>
      <c r="D16" s="19">
        <v>27</v>
      </c>
      <c r="E16" s="19">
        <v>163.53000000000003</v>
      </c>
      <c r="F16" s="10" t="str">
        <f>IFERROR(INDEX(Sheet1!B$2:B$35,MATCH(TRIM($B16),Sheet1!$F$2:$F$35,0)),"")</f>
        <v/>
      </c>
      <c r="G16" s="10" t="str">
        <f>IFERROR(INDEX(Sheet1!C$2:C$35,MATCH(TRIM($B16),Sheet1!$F$2:$F$35,0)),"")</f>
        <v/>
      </c>
      <c r="H16" s="10" t="str">
        <f>IFERROR(INDEX(Sheet1!D$2:D$35,MATCH(TRIM($B16),Sheet1!$F$2:$F$35,0)),"")</f>
        <v/>
      </c>
      <c r="I16" s="10" t="str">
        <f>IFERROR(INDEX(Sheet1!E$2:E$35,MATCH(TRIM($B16),Sheet1!$F$2:$F$35,0)),"")</f>
        <v/>
      </c>
    </row>
    <row r="17" spans="1:9" s="1" customFormat="1" ht="16.2" customHeight="1" thickTop="1" thickBot="1" x14ac:dyDescent="0.45">
      <c r="A17" s="15" t="s">
        <v>25</v>
      </c>
      <c r="B17" s="18" t="s">
        <v>28</v>
      </c>
      <c r="C17" s="19">
        <v>41</v>
      </c>
      <c r="D17" s="19">
        <v>39</v>
      </c>
      <c r="E17" s="19">
        <v>302.86999999999995</v>
      </c>
      <c r="F17" s="10">
        <f>IFERROR(INDEX(Sheet1!B$2:B$35,MATCH(TRIM($B17),Sheet1!$F$2:$F$35,0)),"")</f>
        <v>123.67</v>
      </c>
      <c r="G17" s="10">
        <f>IFERROR(INDEX(Sheet1!C$2:C$35,MATCH(TRIM($B17),Sheet1!$F$2:$F$35,0)),"")</f>
        <v>68.64</v>
      </c>
      <c r="H17" s="10">
        <f>IFERROR(INDEX(Sheet1!D$2:D$35,MATCH(TRIM($B17),Sheet1!$F$2:$F$35,0)),"")</f>
        <v>3.3</v>
      </c>
      <c r="I17" s="10">
        <f>IFERROR(INDEX(Sheet1!E$2:E$35,MATCH(TRIM($B17),Sheet1!$F$2:$F$35,0)),"")</f>
        <v>36.83</v>
      </c>
    </row>
    <row r="18" spans="1:9" s="1" customFormat="1" ht="16.2" customHeight="1" thickTop="1" thickBot="1" x14ac:dyDescent="0.45">
      <c r="A18" s="15" t="s">
        <v>25</v>
      </c>
      <c r="B18" s="18" t="s">
        <v>29</v>
      </c>
      <c r="C18" s="19">
        <v>42</v>
      </c>
      <c r="D18" s="19">
        <v>42</v>
      </c>
      <c r="E18" s="19">
        <v>195.01</v>
      </c>
      <c r="F18" s="10" t="str">
        <f>IFERROR(INDEX(Sheet1!B$2:B$35,MATCH(TRIM($B18),Sheet1!$F$2:$F$35,0)),"")</f>
        <v/>
      </c>
      <c r="G18" s="10" t="str">
        <f>IFERROR(INDEX(Sheet1!C$2:C$35,MATCH(TRIM($B18),Sheet1!$F$2:$F$35,0)),"")</f>
        <v/>
      </c>
      <c r="H18" s="10" t="str">
        <f>IFERROR(INDEX(Sheet1!D$2:D$35,MATCH(TRIM($B18),Sheet1!$F$2:$F$35,0)),"")</f>
        <v/>
      </c>
      <c r="I18" s="10" t="str">
        <f>IFERROR(INDEX(Sheet1!E$2:E$35,MATCH(TRIM($B18),Sheet1!$F$2:$F$35,0)),"")</f>
        <v/>
      </c>
    </row>
    <row r="19" spans="1:9" s="1" customFormat="1" ht="16.2" customHeight="1" thickTop="1" thickBot="1" x14ac:dyDescent="0.45">
      <c r="A19" s="15" t="s">
        <v>25</v>
      </c>
      <c r="B19" s="18" t="s">
        <v>30</v>
      </c>
      <c r="C19" s="19">
        <v>93</v>
      </c>
      <c r="D19" s="19">
        <v>93</v>
      </c>
      <c r="E19" s="19">
        <v>325.08699999999993</v>
      </c>
      <c r="F19" s="10">
        <f>IFERROR(INDEX(Sheet1!B$2:B$35,MATCH(TRIM($B19),Sheet1!$F$2:$F$35,0)),"")</f>
        <v>129.66</v>
      </c>
      <c r="G19" s="10">
        <f>IFERROR(INDEX(Sheet1!C$2:C$35,MATCH(TRIM($B19),Sheet1!$F$2:$F$35,0)),"")</f>
        <v>49.94</v>
      </c>
      <c r="H19" s="10">
        <f>IFERROR(INDEX(Sheet1!D$2:D$35,MATCH(TRIM($B19),Sheet1!$F$2:$F$35,0)),"")</f>
        <v>50.58</v>
      </c>
      <c r="I19" s="10">
        <f>IFERROR(INDEX(Sheet1!E$2:E$35,MATCH(TRIM($B19),Sheet1!$F$2:$F$35,0)),"")</f>
        <v>0</v>
      </c>
    </row>
    <row r="20" spans="1:9" s="1" customFormat="1" ht="16.2" customHeight="1" thickTop="1" thickBot="1" x14ac:dyDescent="0.45">
      <c r="A20" s="15" t="s">
        <v>25</v>
      </c>
      <c r="B20" s="18" t="s">
        <v>31</v>
      </c>
      <c r="C20" s="19">
        <v>19</v>
      </c>
      <c r="D20" s="19">
        <v>19</v>
      </c>
      <c r="E20" s="19">
        <v>115.85</v>
      </c>
      <c r="F20" s="10">
        <f>IFERROR(INDEX(Sheet1!B$2:B$35,MATCH(TRIM($B20),Sheet1!$F$2:$F$35,0)),"")</f>
        <v>72.760000000000005</v>
      </c>
      <c r="G20" s="10">
        <f>IFERROR(INDEX(Sheet1!C$2:C$35,MATCH(TRIM($B20),Sheet1!$F$2:$F$35,0)),"")</f>
        <v>0.68</v>
      </c>
      <c r="H20" s="10">
        <f>IFERROR(INDEX(Sheet1!D$2:D$35,MATCH(TRIM($B20),Sheet1!$F$2:$F$35,0)),"")</f>
        <v>0</v>
      </c>
      <c r="I20" s="10">
        <f>IFERROR(INDEX(Sheet1!E$2:E$35,MATCH(TRIM($B20),Sheet1!$F$2:$F$35,0)),"")</f>
        <v>0</v>
      </c>
    </row>
    <row r="21" spans="1:9" s="1" customFormat="1" ht="16.2" customHeight="1" thickTop="1" thickBot="1" x14ac:dyDescent="0.45">
      <c r="A21" s="20" t="s">
        <v>25</v>
      </c>
      <c r="B21" s="21" t="s">
        <v>32</v>
      </c>
      <c r="C21" s="22">
        <v>23</v>
      </c>
      <c r="D21" s="22">
        <v>23</v>
      </c>
      <c r="E21" s="22">
        <v>177.25</v>
      </c>
      <c r="F21" s="10" t="str">
        <f>IFERROR(INDEX(Sheet1!B$2:B$35,MATCH(TRIM($B21),Sheet1!$F$2:$F$35,0)),"")</f>
        <v/>
      </c>
      <c r="G21" s="10" t="str">
        <f>IFERROR(INDEX(Sheet1!C$2:C$35,MATCH(TRIM($B21),Sheet1!$F$2:$F$35,0)),"")</f>
        <v/>
      </c>
      <c r="H21" s="10" t="str">
        <f>IFERROR(INDEX(Sheet1!D$2:D$35,MATCH(TRIM($B21),Sheet1!$F$2:$F$35,0)),"")</f>
        <v/>
      </c>
      <c r="I21" s="10" t="str">
        <f>IFERROR(INDEX(Sheet1!E$2:E$35,MATCH(TRIM($B21),Sheet1!$F$2:$F$35,0)),"")</f>
        <v/>
      </c>
    </row>
    <row r="22" spans="1:9" s="1" customFormat="1" ht="16.2" customHeight="1" thickTop="1" thickBot="1" x14ac:dyDescent="0.45">
      <c r="A22" s="23" t="s">
        <v>33</v>
      </c>
      <c r="B22" s="24" t="s">
        <v>34</v>
      </c>
      <c r="C22" s="25">
        <v>41</v>
      </c>
      <c r="D22" s="25">
        <v>41</v>
      </c>
      <c r="E22" s="25">
        <v>183.59999999999997</v>
      </c>
      <c r="F22" s="10">
        <f>IFERROR(INDEX(Sheet1!B$2:B$35,MATCH(TRIM($B22),Sheet1!$F$2:$F$35,0)),"")</f>
        <v>200.74</v>
      </c>
      <c r="G22" s="10">
        <f>IFERROR(INDEX(Sheet1!C$2:C$35,MATCH(TRIM($B22),Sheet1!$F$2:$F$35,0)),"")</f>
        <v>548.92999999999995</v>
      </c>
      <c r="H22" s="10">
        <f>IFERROR(INDEX(Sheet1!D$2:D$35,MATCH(TRIM($B22),Sheet1!$F$2:$F$35,0)),"")</f>
        <v>1.41</v>
      </c>
      <c r="I22" s="10">
        <f>IFERROR(INDEX(Sheet1!E$2:E$35,MATCH(TRIM($B22),Sheet1!$F$2:$F$35,0)),"")</f>
        <v>239.43</v>
      </c>
    </row>
    <row r="23" spans="1:9" s="1" customFormat="1" ht="16.2" customHeight="1" thickTop="1" thickBot="1" x14ac:dyDescent="0.45">
      <c r="A23" s="7" t="s">
        <v>33</v>
      </c>
      <c r="B23" s="11" t="s">
        <v>35</v>
      </c>
      <c r="C23" s="12">
        <v>39</v>
      </c>
      <c r="D23" s="12">
        <v>38</v>
      </c>
      <c r="E23" s="12">
        <v>581.35</v>
      </c>
      <c r="F23" s="10">
        <f>IFERROR(INDEX(Sheet1!B$2:B$35,MATCH(TRIM($B23),Sheet1!$F$2:$F$35,0)),"")</f>
        <v>202.61</v>
      </c>
      <c r="G23" s="10">
        <f>IFERROR(INDEX(Sheet1!C$2:C$35,MATCH(TRIM($B23),Sheet1!$F$2:$F$35,0)),"")</f>
        <v>324.08999999999997</v>
      </c>
      <c r="H23" s="10">
        <f>IFERROR(INDEX(Sheet1!D$2:D$35,MATCH(TRIM($B23),Sheet1!$F$2:$F$35,0)),"")</f>
        <v>168.62</v>
      </c>
      <c r="I23" s="10">
        <f>IFERROR(INDEX(Sheet1!E$2:E$35,MATCH(TRIM($B23),Sheet1!$F$2:$F$35,0)),"")</f>
        <v>85.88</v>
      </c>
    </row>
    <row r="24" spans="1:9" s="1" customFormat="1" ht="16.2" customHeight="1" thickTop="1" thickBot="1" x14ac:dyDescent="0.45">
      <c r="A24" s="7" t="s">
        <v>33</v>
      </c>
      <c r="B24" s="11" t="s">
        <v>36</v>
      </c>
      <c r="C24" s="12">
        <v>28</v>
      </c>
      <c r="D24" s="12">
        <v>27</v>
      </c>
      <c r="E24" s="12">
        <v>913.9</v>
      </c>
      <c r="F24" s="10">
        <f>IFERROR(INDEX(Sheet1!B$2:B$35,MATCH(TRIM($B24),Sheet1!$F$2:$F$35,0)),"")</f>
        <v>237.93</v>
      </c>
      <c r="G24" s="10">
        <f>IFERROR(INDEX(Sheet1!C$2:C$35,MATCH(TRIM($B24),Sheet1!$F$2:$F$35,0)),"")</f>
        <v>88.45</v>
      </c>
      <c r="H24" s="10">
        <f>IFERROR(INDEX(Sheet1!D$2:D$35,MATCH(TRIM($B24),Sheet1!$F$2:$F$35,0)),"")</f>
        <v>496.94</v>
      </c>
      <c r="I24" s="10">
        <f>IFERROR(INDEX(Sheet1!E$2:E$35,MATCH(TRIM($B24),Sheet1!$F$2:$F$35,0)),"")</f>
        <v>522.1</v>
      </c>
    </row>
    <row r="25" spans="1:9" s="1" customFormat="1" ht="16.2" customHeight="1" thickTop="1" thickBot="1" x14ac:dyDescent="0.45">
      <c r="A25" s="7" t="s">
        <v>33</v>
      </c>
      <c r="B25" s="11" t="s">
        <v>37</v>
      </c>
      <c r="C25" s="12">
        <v>18</v>
      </c>
      <c r="D25" s="12">
        <v>18</v>
      </c>
      <c r="E25" s="12">
        <v>230.79999999999998</v>
      </c>
      <c r="F25" s="10">
        <f>IFERROR(INDEX(Sheet1!B$2:B$35,MATCH(TRIM($B25),Sheet1!$F$2:$F$35,0)),"")</f>
        <v>9.2799999999999994</v>
      </c>
      <c r="G25" s="10">
        <f>IFERROR(INDEX(Sheet1!C$2:C$35,MATCH(TRIM($B25),Sheet1!$F$2:$F$35,0)),"")</f>
        <v>39.92</v>
      </c>
      <c r="H25" s="10">
        <f>IFERROR(INDEX(Sheet1!D$2:D$35,MATCH(TRIM($B25),Sheet1!$F$2:$F$35,0)),"")</f>
        <v>114.92</v>
      </c>
      <c r="I25" s="10">
        <f>IFERROR(INDEX(Sheet1!E$2:E$35,MATCH(TRIM($B25),Sheet1!$F$2:$F$35,0)),"")</f>
        <v>0</v>
      </c>
    </row>
    <row r="26" spans="1:9" s="1" customFormat="1" ht="16.2" customHeight="1" thickTop="1" thickBot="1" x14ac:dyDescent="0.45">
      <c r="A26" s="7" t="s">
        <v>33</v>
      </c>
      <c r="B26" s="11" t="s">
        <v>38</v>
      </c>
      <c r="C26" s="12">
        <v>4</v>
      </c>
      <c r="D26" s="12">
        <v>4</v>
      </c>
      <c r="E26" s="12">
        <v>29</v>
      </c>
      <c r="F26" s="10" t="str">
        <f>IFERROR(INDEX(Sheet1!B$2:B$35,MATCH(TRIM($B26),Sheet1!$F$2:$F$35,0)),"")</f>
        <v/>
      </c>
      <c r="G26" s="10" t="str">
        <f>IFERROR(INDEX(Sheet1!C$2:C$35,MATCH(TRIM($B26),Sheet1!$F$2:$F$35,0)),"")</f>
        <v/>
      </c>
      <c r="H26" s="10" t="str">
        <f>IFERROR(INDEX(Sheet1!D$2:D$35,MATCH(TRIM($B26),Sheet1!$F$2:$F$35,0)),"")</f>
        <v/>
      </c>
      <c r="I26" s="10" t="str">
        <f>IFERROR(INDEX(Sheet1!E$2:E$35,MATCH(TRIM($B26),Sheet1!$F$2:$F$35,0)),"")</f>
        <v/>
      </c>
    </row>
    <row r="27" spans="1:9" s="1" customFormat="1" ht="16.2" customHeight="1" thickTop="1" thickBot="1" x14ac:dyDescent="0.45">
      <c r="A27" s="26" t="s">
        <v>33</v>
      </c>
      <c r="B27" s="13" t="s">
        <v>39</v>
      </c>
      <c r="C27" s="14">
        <v>7</v>
      </c>
      <c r="D27" s="14">
        <v>7</v>
      </c>
      <c r="E27" s="14">
        <v>245.76000000000002</v>
      </c>
      <c r="F27" s="10">
        <f>IFERROR(INDEX(Sheet1!B$2:B$35,MATCH(TRIM($B27),Sheet1!$F$2:$F$35,0)),"")</f>
        <v>170.42</v>
      </c>
      <c r="G27" s="10">
        <f>IFERROR(INDEX(Sheet1!C$2:C$35,MATCH(TRIM($B27),Sheet1!$F$2:$F$35,0)),"")</f>
        <v>0</v>
      </c>
      <c r="H27" s="10">
        <f>IFERROR(INDEX(Sheet1!D$2:D$35,MATCH(TRIM($B27),Sheet1!$F$2:$F$35,0)),"")</f>
        <v>14.59</v>
      </c>
      <c r="I27" s="10">
        <f>IFERROR(INDEX(Sheet1!E$2:E$35,MATCH(TRIM($B27),Sheet1!$F$2:$F$35,0)),"")</f>
        <v>122.59</v>
      </c>
    </row>
    <row r="28" spans="1:9" s="1" customFormat="1" ht="16.2" customHeight="1" thickTop="1" thickBot="1" x14ac:dyDescent="0.45">
      <c r="A28" s="27" t="s">
        <v>40</v>
      </c>
      <c r="B28" s="16" t="s">
        <v>41</v>
      </c>
      <c r="C28" s="17">
        <v>7</v>
      </c>
      <c r="D28" s="17">
        <v>6</v>
      </c>
      <c r="E28" s="17">
        <v>185.8</v>
      </c>
      <c r="F28" s="10">
        <f>IFERROR(INDEX(Sheet1!B$2:B$35,MATCH(TRIM($B28),Sheet1!$F$2:$F$35,0)),"")</f>
        <v>80.64</v>
      </c>
      <c r="G28" s="10">
        <f>IFERROR(INDEX(Sheet1!C$2:C$35,MATCH(TRIM($B28),Sheet1!$F$2:$F$35,0)),"")</f>
        <v>63.72</v>
      </c>
      <c r="H28" s="10">
        <f>IFERROR(INDEX(Sheet1!D$2:D$35,MATCH(TRIM($B28),Sheet1!$F$2:$F$35,0)),"")</f>
        <v>51.12</v>
      </c>
      <c r="I28" s="10">
        <f>IFERROR(INDEX(Sheet1!E$2:E$35,MATCH(TRIM($B28),Sheet1!$F$2:$F$35,0)),"")</f>
        <v>13.88</v>
      </c>
    </row>
    <row r="29" spans="1:9" s="1" customFormat="1" ht="16.2" customHeight="1" thickTop="1" thickBot="1" x14ac:dyDescent="0.45">
      <c r="A29" s="15" t="s">
        <v>40</v>
      </c>
      <c r="B29" s="18" t="s">
        <v>42</v>
      </c>
      <c r="C29" s="19">
        <v>9</v>
      </c>
      <c r="D29" s="19">
        <v>9</v>
      </c>
      <c r="E29" s="19">
        <v>137.6</v>
      </c>
      <c r="F29" s="10">
        <f>IFERROR(INDEX(Sheet1!B$2:B$35,MATCH(TRIM($B29),Sheet1!$F$2:$F$35,0)),"")</f>
        <v>30.95</v>
      </c>
      <c r="G29" s="10">
        <f>IFERROR(INDEX(Sheet1!C$2:C$35,MATCH(TRIM($B29),Sheet1!$F$2:$F$35,0)),"")</f>
        <v>34.07</v>
      </c>
      <c r="H29" s="10">
        <f>IFERROR(INDEX(Sheet1!D$2:D$35,MATCH(TRIM($B29),Sheet1!$F$2:$F$35,0)),"")</f>
        <v>0</v>
      </c>
      <c r="I29" s="10">
        <f>IFERROR(INDEX(Sheet1!E$2:E$35,MATCH(TRIM($B29),Sheet1!$F$2:$F$35,0)),"")</f>
        <v>9.4600000000000009</v>
      </c>
    </row>
    <row r="30" spans="1:9" s="1" customFormat="1" ht="16.2" customHeight="1" thickTop="1" thickBot="1" x14ac:dyDescent="0.45">
      <c r="A30" s="15" t="s">
        <v>40</v>
      </c>
      <c r="B30" s="18" t="s">
        <v>43</v>
      </c>
      <c r="C30" s="19">
        <v>7</v>
      </c>
      <c r="D30" s="19">
        <v>7</v>
      </c>
      <c r="E30" s="19">
        <v>50.6</v>
      </c>
      <c r="F30" s="10" t="str">
        <f>IFERROR(INDEX(Sheet1!B$2:B$35,MATCH(TRIM($B30),Sheet1!$F$2:$F$35,0)),"")</f>
        <v/>
      </c>
      <c r="G30" s="10" t="str">
        <f>IFERROR(INDEX(Sheet1!C$2:C$35,MATCH(TRIM($B30),Sheet1!$F$2:$F$35,0)),"")</f>
        <v/>
      </c>
      <c r="H30" s="10" t="str">
        <f>IFERROR(INDEX(Sheet1!D$2:D$35,MATCH(TRIM($B30),Sheet1!$F$2:$F$35,0)),"")</f>
        <v/>
      </c>
      <c r="I30" s="10" t="str">
        <f>IFERROR(INDEX(Sheet1!E$2:E$35,MATCH(TRIM($B30),Sheet1!$F$2:$F$35,0)),"")</f>
        <v/>
      </c>
    </row>
    <row r="31" spans="1:9" s="1" customFormat="1" ht="16.2" customHeight="1" thickTop="1" thickBot="1" x14ac:dyDescent="0.45">
      <c r="A31" s="15" t="s">
        <v>40</v>
      </c>
      <c r="B31" s="18" t="s">
        <v>44</v>
      </c>
      <c r="C31" s="19">
        <v>8</v>
      </c>
      <c r="D31" s="19">
        <v>8</v>
      </c>
      <c r="E31" s="19">
        <v>73.900000000000006</v>
      </c>
      <c r="F31" s="10" t="str">
        <f>IFERROR(INDEX(Sheet1!B$2:B$35,MATCH(TRIM($B31),Sheet1!$F$2:$F$35,0)),"")</f>
        <v/>
      </c>
      <c r="G31" s="10" t="str">
        <f>IFERROR(INDEX(Sheet1!C$2:C$35,MATCH(TRIM($B31),Sheet1!$F$2:$F$35,0)),"")</f>
        <v/>
      </c>
      <c r="H31" s="10" t="str">
        <f>IFERROR(INDEX(Sheet1!D$2:D$35,MATCH(TRIM($B31),Sheet1!$F$2:$F$35,0)),"")</f>
        <v/>
      </c>
      <c r="I31" s="10" t="str">
        <f>IFERROR(INDEX(Sheet1!E$2:E$35,MATCH(TRIM($B31),Sheet1!$F$2:$F$35,0)),"")</f>
        <v/>
      </c>
    </row>
    <row r="32" spans="1:9" s="1" customFormat="1" ht="16.2" customHeight="1" thickTop="1" thickBot="1" x14ac:dyDescent="0.45">
      <c r="A32" s="15" t="s">
        <v>40</v>
      </c>
      <c r="B32" s="18" t="s">
        <v>45</v>
      </c>
      <c r="C32" s="19">
        <v>8</v>
      </c>
      <c r="D32" s="19">
        <v>8</v>
      </c>
      <c r="E32" s="19">
        <v>58</v>
      </c>
      <c r="F32" s="10" t="str">
        <f>IFERROR(INDEX(Sheet1!B$2:B$35,MATCH(TRIM($B32),Sheet1!$F$2:$F$35,0)),"")</f>
        <v/>
      </c>
      <c r="G32" s="10" t="str">
        <f>IFERROR(INDEX(Sheet1!C$2:C$35,MATCH(TRIM($B32),Sheet1!$F$2:$F$35,0)),"")</f>
        <v/>
      </c>
      <c r="H32" s="10" t="str">
        <f>IFERROR(INDEX(Sheet1!D$2:D$35,MATCH(TRIM($B32),Sheet1!$F$2:$F$35,0)),"")</f>
        <v/>
      </c>
      <c r="I32" s="10" t="str">
        <f>IFERROR(INDEX(Sheet1!E$2:E$35,MATCH(TRIM($B32),Sheet1!$F$2:$F$35,0)),"")</f>
        <v/>
      </c>
    </row>
    <row r="33" spans="1:9" s="1" customFormat="1" ht="16.2" customHeight="1" thickTop="1" thickBot="1" x14ac:dyDescent="0.45">
      <c r="A33" s="15" t="s">
        <v>40</v>
      </c>
      <c r="B33" s="18" t="s">
        <v>46</v>
      </c>
      <c r="C33" s="19">
        <v>26</v>
      </c>
      <c r="D33" s="19">
        <v>26</v>
      </c>
      <c r="E33" s="19">
        <v>49</v>
      </c>
      <c r="F33" s="10">
        <f>IFERROR(INDEX(Sheet1!B$2:B$35,MATCH(TRIM($B33),Sheet1!$F$2:$F$35,0)),"")</f>
        <v>47.71</v>
      </c>
      <c r="G33" s="10">
        <f>IFERROR(INDEX(Sheet1!C$2:C$35,MATCH(TRIM($B33),Sheet1!$F$2:$F$35,0)),"")</f>
        <v>7.15</v>
      </c>
      <c r="H33" s="10">
        <f>IFERROR(INDEX(Sheet1!D$2:D$35,MATCH(TRIM($B33),Sheet1!$F$2:$F$35,0)),"")</f>
        <v>26.97</v>
      </c>
      <c r="I33" s="10">
        <f>IFERROR(INDEX(Sheet1!E$2:E$35,MATCH(TRIM($B33),Sheet1!$F$2:$F$35,0)),"")</f>
        <v>0</v>
      </c>
    </row>
    <row r="34" spans="1:9" s="1" customFormat="1" ht="16.2" customHeight="1" thickTop="1" thickBot="1" x14ac:dyDescent="0.45">
      <c r="A34" s="20" t="s">
        <v>40</v>
      </c>
      <c r="B34" s="21" t="s">
        <v>47</v>
      </c>
      <c r="C34" s="22">
        <v>3</v>
      </c>
      <c r="D34" s="22">
        <v>3</v>
      </c>
      <c r="E34" s="22">
        <v>0</v>
      </c>
      <c r="F34" s="10" t="str">
        <f>IFERROR(INDEX(Sheet1!B$2:B$35,MATCH(TRIM($B34),Sheet1!$F$2:$F$35,0)),"")</f>
        <v/>
      </c>
      <c r="G34" s="10" t="str">
        <f>IFERROR(INDEX(Sheet1!C$2:C$35,MATCH(TRIM($B34),Sheet1!$F$2:$F$35,0)),"")</f>
        <v/>
      </c>
      <c r="H34" s="10" t="str">
        <f>IFERROR(INDEX(Sheet1!D$2:D$35,MATCH(TRIM($B34),Sheet1!$F$2:$F$35,0)),"")</f>
        <v/>
      </c>
      <c r="I34" s="10" t="str">
        <f>IFERROR(INDEX(Sheet1!E$2:E$35,MATCH(TRIM($B34),Sheet1!$F$2:$F$35,0)),"")</f>
        <v/>
      </c>
    </row>
    <row r="35" spans="1:9" s="1" customFormat="1" ht="16.2" customHeight="1" thickTop="1" thickBot="1" x14ac:dyDescent="0.45">
      <c r="A35" s="23" t="s">
        <v>48</v>
      </c>
      <c r="B35" s="24" t="s">
        <v>49</v>
      </c>
      <c r="C35" s="25">
        <v>55</v>
      </c>
      <c r="D35" s="25">
        <v>55</v>
      </c>
      <c r="E35" s="25">
        <v>426.19999999999993</v>
      </c>
      <c r="F35" s="10">
        <f>IFERROR(INDEX(Sheet1!B$2:B$35,MATCH(TRIM($B35),Sheet1!$F$2:$F$35,0)),"")</f>
        <v>104.27</v>
      </c>
      <c r="G35" s="10">
        <f>IFERROR(INDEX(Sheet1!C$2:C$35,MATCH(TRIM($B35),Sheet1!$F$2:$F$35,0)),"")</f>
        <v>4.95</v>
      </c>
      <c r="H35" s="10">
        <f>IFERROR(INDEX(Sheet1!D$2:D$35,MATCH(TRIM($B35),Sheet1!$F$2:$F$35,0)),"")</f>
        <v>60.43</v>
      </c>
      <c r="I35" s="10">
        <f>IFERROR(INDEX(Sheet1!E$2:E$35,MATCH(TRIM($B35),Sheet1!$F$2:$F$35,0)),"")</f>
        <v>0.93</v>
      </c>
    </row>
    <row r="36" spans="1:9" s="1" customFormat="1" ht="16.2" customHeight="1" thickTop="1" thickBot="1" x14ac:dyDescent="0.45">
      <c r="A36" s="7" t="s">
        <v>48</v>
      </c>
      <c r="B36" s="11" t="s">
        <v>50</v>
      </c>
      <c r="C36" s="12">
        <v>51</v>
      </c>
      <c r="D36" s="12">
        <v>51</v>
      </c>
      <c r="E36" s="12">
        <v>197.39999999999998</v>
      </c>
      <c r="F36" s="10" t="str">
        <f>IFERROR(INDEX(Sheet1!B$2:B$35,MATCH(TRIM($B36),Sheet1!$F$2:$F$35,0)),"")</f>
        <v/>
      </c>
      <c r="G36" s="10" t="str">
        <f>IFERROR(INDEX(Sheet1!C$2:C$35,MATCH(TRIM($B36),Sheet1!$F$2:$F$35,0)),"")</f>
        <v/>
      </c>
      <c r="H36" s="10" t="str">
        <f>IFERROR(INDEX(Sheet1!D$2:D$35,MATCH(TRIM($B36),Sheet1!$F$2:$F$35,0)),"")</f>
        <v/>
      </c>
      <c r="I36" s="10" t="str">
        <f>IFERROR(INDEX(Sheet1!E$2:E$35,MATCH(TRIM($B36),Sheet1!$F$2:$F$35,0)),"")</f>
        <v/>
      </c>
    </row>
    <row r="37" spans="1:9" s="1" customFormat="1" ht="16.2" customHeight="1" thickTop="1" thickBot="1" x14ac:dyDescent="0.45">
      <c r="A37" s="7" t="s">
        <v>48</v>
      </c>
      <c r="B37" s="11" t="s">
        <v>51</v>
      </c>
      <c r="C37" s="12">
        <v>33</v>
      </c>
      <c r="D37" s="12">
        <v>31</v>
      </c>
      <c r="E37" s="12">
        <v>335.7</v>
      </c>
      <c r="F37" s="10">
        <f>IFERROR(INDEX(Sheet1!B$2:B$35,MATCH(TRIM($B37),Sheet1!$F$2:$F$35,0)),"")</f>
        <v>196.79</v>
      </c>
      <c r="G37" s="10">
        <f>IFERROR(INDEX(Sheet1!C$2:C$35,MATCH(TRIM($B37),Sheet1!$F$2:$F$35,0)),"")</f>
        <v>17.28</v>
      </c>
      <c r="H37" s="10">
        <f>IFERROR(INDEX(Sheet1!D$2:D$35,MATCH(TRIM($B37),Sheet1!$F$2:$F$35,0)),"")</f>
        <v>3.52</v>
      </c>
      <c r="I37" s="10">
        <f>IFERROR(INDEX(Sheet1!E$2:E$35,MATCH(TRIM($B37),Sheet1!$F$2:$F$35,0)),"")</f>
        <v>81.88</v>
      </c>
    </row>
    <row r="38" spans="1:9" s="1" customFormat="1" ht="16.2" customHeight="1" thickTop="1" thickBot="1" x14ac:dyDescent="0.45">
      <c r="A38" s="7" t="s">
        <v>48</v>
      </c>
      <c r="B38" s="11" t="s">
        <v>52</v>
      </c>
      <c r="C38" s="12">
        <v>46</v>
      </c>
      <c r="D38" s="12">
        <v>46</v>
      </c>
      <c r="E38" s="12">
        <v>182.79999999999995</v>
      </c>
      <c r="F38" s="10">
        <f>IFERROR(INDEX(Sheet1!B$2:B$35,MATCH(TRIM($B38),Sheet1!$F$2:$F$35,0)),"")</f>
        <v>102.69</v>
      </c>
      <c r="G38" s="10">
        <f>IFERROR(INDEX(Sheet1!C$2:C$35,MATCH(TRIM($B38),Sheet1!$F$2:$F$35,0)),"")</f>
        <v>36.25</v>
      </c>
      <c r="H38" s="10">
        <f>IFERROR(INDEX(Sheet1!D$2:D$35,MATCH(TRIM($B38),Sheet1!$F$2:$F$35,0)),"")</f>
        <v>47.63</v>
      </c>
      <c r="I38" s="10">
        <f>IFERROR(INDEX(Sheet1!E$2:E$35,MATCH(TRIM($B38),Sheet1!$F$2:$F$35,0)),"")</f>
        <v>0</v>
      </c>
    </row>
    <row r="39" spans="1:9" s="1" customFormat="1" ht="16.2" customHeight="1" thickTop="1" thickBot="1" x14ac:dyDescent="0.45">
      <c r="A39" s="7" t="s">
        <v>48</v>
      </c>
      <c r="B39" s="11" t="s">
        <v>53</v>
      </c>
      <c r="C39" s="12">
        <v>40</v>
      </c>
      <c r="D39" s="12">
        <v>40</v>
      </c>
      <c r="E39" s="12">
        <v>261.2</v>
      </c>
      <c r="F39" s="10" t="str">
        <f>IFERROR(INDEX(Sheet1!B$2:B$35,MATCH(TRIM($B39),Sheet1!$F$2:$F$35,0)),"")</f>
        <v/>
      </c>
      <c r="G39" s="10" t="str">
        <f>IFERROR(INDEX(Sheet1!C$2:C$35,MATCH(TRIM($B39),Sheet1!$F$2:$F$35,0)),"")</f>
        <v/>
      </c>
      <c r="H39" s="10" t="str">
        <f>IFERROR(INDEX(Sheet1!D$2:D$35,MATCH(TRIM($B39),Sheet1!$F$2:$F$35,0)),"")</f>
        <v/>
      </c>
      <c r="I39" s="10" t="str">
        <f>IFERROR(INDEX(Sheet1!E$2:E$35,MATCH(TRIM($B39),Sheet1!$F$2:$F$35,0)),"")</f>
        <v/>
      </c>
    </row>
    <row r="40" spans="1:9" s="1" customFormat="1" ht="16.2" customHeight="1" thickTop="1" thickBot="1" x14ac:dyDescent="0.45">
      <c r="A40" s="26" t="s">
        <v>48</v>
      </c>
      <c r="B40" s="13" t="s">
        <v>54</v>
      </c>
      <c r="C40" s="14">
        <v>9</v>
      </c>
      <c r="D40" s="14">
        <v>9</v>
      </c>
      <c r="E40" s="14">
        <v>34</v>
      </c>
      <c r="F40" s="10" t="str">
        <f>IFERROR(INDEX(Sheet1!B$2:B$35,MATCH(TRIM($B40),Sheet1!$F$2:$F$35,0)),"")</f>
        <v/>
      </c>
      <c r="G40" s="10" t="str">
        <f>IFERROR(INDEX(Sheet1!C$2:C$35,MATCH(TRIM($B40),Sheet1!$F$2:$F$35,0)),"")</f>
        <v/>
      </c>
      <c r="H40" s="10" t="str">
        <f>IFERROR(INDEX(Sheet1!D$2:D$35,MATCH(TRIM($B40),Sheet1!$F$2:$F$35,0)),"")</f>
        <v/>
      </c>
      <c r="I40" s="10" t="str">
        <f>IFERROR(INDEX(Sheet1!E$2:E$35,MATCH(TRIM($B40),Sheet1!$F$2:$F$35,0)),"")</f>
        <v/>
      </c>
    </row>
    <row r="41" spans="1:9" s="1" customFormat="1" ht="16.2" customHeight="1" thickTop="1" thickBot="1" x14ac:dyDescent="0.45">
      <c r="A41" s="27" t="s">
        <v>55</v>
      </c>
      <c r="B41" s="16" t="s">
        <v>56</v>
      </c>
      <c r="C41" s="17">
        <v>23</v>
      </c>
      <c r="D41" s="17">
        <v>23</v>
      </c>
      <c r="E41" s="17">
        <v>195.79999999999998</v>
      </c>
      <c r="F41" s="10">
        <f>IFERROR(INDEX(Sheet1!B$2:B$35,MATCH(TRIM($B41),Sheet1!$F$2:$F$35,0)),"")</f>
        <v>31.73</v>
      </c>
      <c r="G41" s="10">
        <f>IFERROR(INDEX(Sheet1!C$2:C$35,MATCH(TRIM($B41),Sheet1!$F$2:$F$35,0)),"")</f>
        <v>97.07</v>
      </c>
      <c r="H41" s="10">
        <f>IFERROR(INDEX(Sheet1!D$2:D$35,MATCH(TRIM($B41),Sheet1!$F$2:$F$35,0)),"")</f>
        <v>49.36</v>
      </c>
      <c r="I41" s="10">
        <f>IFERROR(INDEX(Sheet1!E$2:E$35,MATCH(TRIM($B41),Sheet1!$F$2:$F$35,0)),"")</f>
        <v>0</v>
      </c>
    </row>
    <row r="42" spans="1:9" s="1" customFormat="1" ht="16.2" customHeight="1" thickTop="1" thickBot="1" x14ac:dyDescent="0.45">
      <c r="A42" s="15" t="s">
        <v>55</v>
      </c>
      <c r="B42" s="18" t="s">
        <v>57</v>
      </c>
      <c r="C42" s="19">
        <v>27</v>
      </c>
      <c r="D42" s="19">
        <v>27</v>
      </c>
      <c r="E42" s="19">
        <v>269.89999999999998</v>
      </c>
      <c r="F42" s="10">
        <f>IFERROR(INDEX(Sheet1!B$2:B$35,MATCH(TRIM($B42),Sheet1!$F$2:$F$35,0)),"")</f>
        <v>61.48</v>
      </c>
      <c r="G42" s="10">
        <f>IFERROR(INDEX(Sheet1!C$2:C$35,MATCH(TRIM($B42),Sheet1!$F$2:$F$35,0)),"")</f>
        <v>8.19</v>
      </c>
      <c r="H42" s="10">
        <f>IFERROR(INDEX(Sheet1!D$2:D$35,MATCH(TRIM($B42),Sheet1!$F$2:$F$35,0)),"")</f>
        <v>4.01</v>
      </c>
      <c r="I42" s="10">
        <f>IFERROR(INDEX(Sheet1!E$2:E$35,MATCH(TRIM($B42),Sheet1!$F$2:$F$35,0)),"")</f>
        <v>0</v>
      </c>
    </row>
    <row r="43" spans="1:9" s="1" customFormat="1" ht="16.2" customHeight="1" thickTop="1" thickBot="1" x14ac:dyDescent="0.45">
      <c r="A43" s="20" t="s">
        <v>55</v>
      </c>
      <c r="B43" s="21" t="s">
        <v>58</v>
      </c>
      <c r="C43" s="22">
        <v>37</v>
      </c>
      <c r="D43" s="22">
        <v>37</v>
      </c>
      <c r="E43" s="22">
        <v>179</v>
      </c>
      <c r="F43" s="10">
        <f>IFERROR(INDEX(Sheet1!B$2:B$35,MATCH(TRIM($B43),Sheet1!$F$2:$F$35,0)),"")</f>
        <v>28.13</v>
      </c>
      <c r="G43" s="10">
        <f>IFERROR(INDEX(Sheet1!C$2:C$35,MATCH(TRIM($B43),Sheet1!$F$2:$F$35,0)),"")</f>
        <v>42.24</v>
      </c>
      <c r="H43" s="10">
        <f>IFERROR(INDEX(Sheet1!D$2:D$35,MATCH(TRIM($B43),Sheet1!$F$2:$F$35,0)),"")</f>
        <v>63.38</v>
      </c>
      <c r="I43" s="10">
        <f>IFERROR(INDEX(Sheet1!E$2:E$35,MATCH(TRIM($B43),Sheet1!$F$2:$F$35,0)),"")</f>
        <v>0</v>
      </c>
    </row>
    <row r="44" spans="1:9" s="1" customFormat="1" ht="16.2" customHeight="1" thickTop="1" thickBot="1" x14ac:dyDescent="0.45">
      <c r="A44" s="23" t="s">
        <v>59</v>
      </c>
      <c r="B44" s="24" t="s">
        <v>60</v>
      </c>
      <c r="C44" s="25">
        <v>13</v>
      </c>
      <c r="D44" s="25">
        <v>12</v>
      </c>
      <c r="E44" s="25">
        <v>141.80000000000001</v>
      </c>
      <c r="F44" s="10" t="str">
        <f>IFERROR(INDEX(Sheet1!B$2:B$35,MATCH(TRIM($B44),Sheet1!$F$2:$F$35,0)),"")</f>
        <v/>
      </c>
      <c r="G44" s="10" t="str">
        <f>IFERROR(INDEX(Sheet1!C$2:C$35,MATCH(TRIM($B44),Sheet1!$F$2:$F$35,0)),"")</f>
        <v/>
      </c>
      <c r="H44" s="10" t="str">
        <f>IFERROR(INDEX(Sheet1!D$2:D$35,MATCH(TRIM($B44),Sheet1!$F$2:$F$35,0)),"")</f>
        <v/>
      </c>
      <c r="I44" s="10" t="str">
        <f>IFERROR(INDEX(Sheet1!E$2:E$35,MATCH(TRIM($B44),Sheet1!$F$2:$F$35,0)),"")</f>
        <v/>
      </c>
    </row>
    <row r="45" spans="1:9" s="1" customFormat="1" ht="16.2" customHeight="1" thickTop="1" thickBot="1" x14ac:dyDescent="0.45">
      <c r="A45" s="7" t="s">
        <v>59</v>
      </c>
      <c r="B45" s="11" t="s">
        <v>61</v>
      </c>
      <c r="C45" s="12">
        <v>37</v>
      </c>
      <c r="D45" s="12">
        <v>36</v>
      </c>
      <c r="E45" s="12">
        <v>275.09999999999991</v>
      </c>
      <c r="F45" s="10">
        <f>IFERROR(INDEX(Sheet1!B$2:B$35,MATCH(TRIM($B45),Sheet1!$F$2:$F$35,0)),"")</f>
        <v>381.25</v>
      </c>
      <c r="G45" s="10">
        <f>IFERROR(INDEX(Sheet1!C$2:C$35,MATCH(TRIM($B45),Sheet1!$F$2:$F$35,0)),"")</f>
        <v>41.63</v>
      </c>
      <c r="H45" s="10">
        <f>IFERROR(INDEX(Sheet1!D$2:D$35,MATCH(TRIM($B45),Sheet1!$F$2:$F$35,0)),"")</f>
        <v>152.41</v>
      </c>
      <c r="I45" s="10">
        <f>IFERROR(INDEX(Sheet1!E$2:E$35,MATCH(TRIM($B45),Sheet1!$F$2:$F$35,0)),"")</f>
        <v>74.66</v>
      </c>
    </row>
    <row r="46" spans="1:9" s="1" customFormat="1" ht="16.2" customHeight="1" thickTop="1" thickBot="1" x14ac:dyDescent="0.45">
      <c r="A46" s="26" t="s">
        <v>59</v>
      </c>
      <c r="B46" s="13" t="s">
        <v>62</v>
      </c>
      <c r="C46" s="14">
        <v>11</v>
      </c>
      <c r="D46" s="14">
        <v>11</v>
      </c>
      <c r="E46" s="14">
        <v>169.7</v>
      </c>
      <c r="F46" s="10" t="str">
        <f>IFERROR(INDEX(Sheet1!B$2:B$35,MATCH(TRIM($B46),Sheet1!$F$2:$F$35,0)),"")</f>
        <v/>
      </c>
      <c r="G46" s="10" t="str">
        <f>IFERROR(INDEX(Sheet1!C$2:C$35,MATCH(TRIM($B46),Sheet1!$F$2:$F$35,0)),"")</f>
        <v/>
      </c>
      <c r="H46" s="10" t="str">
        <f>IFERROR(INDEX(Sheet1!D$2:D$35,MATCH(TRIM($B46),Sheet1!$F$2:$F$35,0)),"")</f>
        <v/>
      </c>
      <c r="I46" s="10" t="str">
        <f>IFERROR(INDEX(Sheet1!E$2:E$35,MATCH(TRIM($B46),Sheet1!$F$2:$F$35,0)),"")</f>
        <v/>
      </c>
    </row>
    <row r="47" spans="1:9" s="1" customFormat="1" ht="16.2" customHeight="1" thickTop="1" thickBot="1" x14ac:dyDescent="0.45">
      <c r="A47" s="27" t="s">
        <v>63</v>
      </c>
      <c r="B47" s="16" t="s">
        <v>64</v>
      </c>
      <c r="C47" s="17">
        <v>3</v>
      </c>
      <c r="D47" s="17">
        <v>3</v>
      </c>
      <c r="E47" s="17">
        <v>10</v>
      </c>
      <c r="F47" s="10" t="str">
        <f>IFERROR(INDEX(Sheet1!B$2:B$35,MATCH(TRIM($B47),Sheet1!$F$2:$F$35,0)),"")</f>
        <v/>
      </c>
      <c r="G47" s="10" t="str">
        <f>IFERROR(INDEX(Sheet1!C$2:C$35,MATCH(TRIM($B47),Sheet1!$F$2:$F$35,0)),"")</f>
        <v/>
      </c>
      <c r="H47" s="10" t="str">
        <f>IFERROR(INDEX(Sheet1!D$2:D$35,MATCH(TRIM($B47),Sheet1!$F$2:$F$35,0)),"")</f>
        <v/>
      </c>
      <c r="I47" s="10" t="str">
        <f>IFERROR(INDEX(Sheet1!E$2:E$35,MATCH(TRIM($B47),Sheet1!$F$2:$F$35,0)),"")</f>
        <v/>
      </c>
    </row>
    <row r="48" spans="1:9" s="1" customFormat="1" ht="16.2" customHeight="1" thickTop="1" thickBot="1" x14ac:dyDescent="0.45">
      <c r="A48" s="15" t="s">
        <v>63</v>
      </c>
      <c r="B48" s="18" t="s">
        <v>65</v>
      </c>
      <c r="C48" s="19">
        <v>6</v>
      </c>
      <c r="D48" s="19">
        <v>6</v>
      </c>
      <c r="E48" s="19">
        <v>17</v>
      </c>
      <c r="F48" s="10">
        <f>IFERROR(INDEX(Sheet1!B$2:B$35,MATCH(TRIM($B48),Sheet1!$F$2:$F$35,0)),"")</f>
        <v>34.35</v>
      </c>
      <c r="G48" s="10">
        <f>IFERROR(INDEX(Sheet1!C$2:C$35,MATCH(TRIM($B48),Sheet1!$F$2:$F$35,0)),"")</f>
        <v>5.03</v>
      </c>
      <c r="H48" s="10">
        <f>IFERROR(INDEX(Sheet1!D$2:D$35,MATCH(TRIM($B48),Sheet1!$F$2:$F$35,0)),"")</f>
        <v>11.18</v>
      </c>
      <c r="I48" s="10">
        <f>IFERROR(INDEX(Sheet1!E$2:E$35,MATCH(TRIM($B48),Sheet1!$F$2:$F$35,0)),"")</f>
        <v>0</v>
      </c>
    </row>
    <row r="49" spans="1:9" s="1" customFormat="1" ht="16.2" customHeight="1" thickTop="1" thickBot="1" x14ac:dyDescent="0.45">
      <c r="A49" s="15" t="s">
        <v>63</v>
      </c>
      <c r="B49" s="18" t="s">
        <v>66</v>
      </c>
      <c r="C49" s="19">
        <v>5</v>
      </c>
      <c r="D49" s="19">
        <v>5</v>
      </c>
      <c r="E49" s="19">
        <v>26</v>
      </c>
      <c r="F49" s="10" t="str">
        <f>IFERROR(INDEX(Sheet1!B$2:B$35,MATCH(TRIM($B49),Sheet1!$F$2:$F$35,0)),"")</f>
        <v/>
      </c>
      <c r="G49" s="10" t="str">
        <f>IFERROR(INDEX(Sheet1!C$2:C$35,MATCH(TRIM($B49),Sheet1!$F$2:$F$35,0)),"")</f>
        <v/>
      </c>
      <c r="H49" s="10" t="str">
        <f>IFERROR(INDEX(Sheet1!D$2:D$35,MATCH(TRIM($B49),Sheet1!$F$2:$F$35,0)),"")</f>
        <v/>
      </c>
      <c r="I49" s="10" t="str">
        <f>IFERROR(INDEX(Sheet1!E$2:E$35,MATCH(TRIM($B49),Sheet1!$F$2:$F$35,0)),"")</f>
        <v/>
      </c>
    </row>
    <row r="50" spans="1:9" s="1" customFormat="1" ht="16.2" customHeight="1" thickTop="1" thickBot="1" x14ac:dyDescent="0.45">
      <c r="A50" s="15" t="s">
        <v>63</v>
      </c>
      <c r="B50" s="18" t="s">
        <v>67</v>
      </c>
      <c r="C50" s="19">
        <v>8</v>
      </c>
      <c r="D50" s="19">
        <v>5</v>
      </c>
      <c r="E50" s="19">
        <v>375.2</v>
      </c>
      <c r="F50" s="10">
        <f>IFERROR(INDEX(Sheet1!B$2:B$35,MATCH(TRIM($B50),Sheet1!$F$2:$F$35,0)),"")</f>
        <v>129.58000000000001</v>
      </c>
      <c r="G50" s="10">
        <f>IFERROR(INDEX(Sheet1!C$2:C$35,MATCH(TRIM($B50),Sheet1!$F$2:$F$35,0)),"")</f>
        <v>102.82</v>
      </c>
      <c r="H50" s="10">
        <f>IFERROR(INDEX(Sheet1!D$2:D$35,MATCH(TRIM($B50),Sheet1!$F$2:$F$35,0)),"")</f>
        <v>22.17</v>
      </c>
      <c r="I50" s="10">
        <f>IFERROR(INDEX(Sheet1!E$2:E$35,MATCH(TRIM($B50),Sheet1!$F$2:$F$35,0)),"")</f>
        <v>23.8</v>
      </c>
    </row>
    <row r="51" spans="1:9" s="1" customFormat="1" ht="16.2" customHeight="1" thickTop="1" thickBot="1" x14ac:dyDescent="0.45">
      <c r="A51" s="20" t="s">
        <v>63</v>
      </c>
      <c r="B51" s="21" t="s">
        <v>68</v>
      </c>
      <c r="C51" s="22">
        <v>1</v>
      </c>
      <c r="D51" s="22">
        <v>1</v>
      </c>
      <c r="E51" s="22">
        <v>7</v>
      </c>
      <c r="F51" s="10" t="str">
        <f>IFERROR(INDEX(Sheet1!B$2:B$35,MATCH(TRIM($B51),Sheet1!$F$2:$F$35,0)),"")</f>
        <v/>
      </c>
      <c r="G51" s="10" t="str">
        <f>IFERROR(INDEX(Sheet1!C$2:C$35,MATCH(TRIM($B51),Sheet1!$F$2:$F$35,0)),"")</f>
        <v/>
      </c>
      <c r="H51" s="10" t="str">
        <f>IFERROR(INDEX(Sheet1!D$2:D$35,MATCH(TRIM($B51),Sheet1!$F$2:$F$35,0)),"")</f>
        <v/>
      </c>
      <c r="I51" s="10" t="str">
        <f>IFERROR(INDEX(Sheet1!E$2:E$35,MATCH(TRIM($B51),Sheet1!$F$2:$F$35,0)),"")</f>
        <v/>
      </c>
    </row>
    <row r="52" spans="1:9" s="1" customFormat="1" ht="16.2" customHeight="1" thickTop="1" thickBot="1" x14ac:dyDescent="0.45">
      <c r="A52" s="23" t="s">
        <v>69</v>
      </c>
      <c r="B52" s="24" t="s">
        <v>70</v>
      </c>
      <c r="C52" s="25">
        <v>11</v>
      </c>
      <c r="D52" s="25">
        <v>11</v>
      </c>
      <c r="E52" s="25">
        <v>48.000000000000007</v>
      </c>
      <c r="F52" s="10" t="str">
        <f>IFERROR(INDEX(Sheet1!B$2:B$35,MATCH(TRIM($B52),Sheet1!$F$2:$F$35,0)),"")</f>
        <v/>
      </c>
      <c r="G52" s="10" t="str">
        <f>IFERROR(INDEX(Sheet1!C$2:C$35,MATCH(TRIM($B52),Sheet1!$F$2:$F$35,0)),"")</f>
        <v/>
      </c>
      <c r="H52" s="10" t="str">
        <f>IFERROR(INDEX(Sheet1!D$2:D$35,MATCH(TRIM($B52),Sheet1!$F$2:$F$35,0)),"")</f>
        <v/>
      </c>
      <c r="I52" s="10" t="str">
        <f>IFERROR(INDEX(Sheet1!E$2:E$35,MATCH(TRIM($B52),Sheet1!$F$2:$F$35,0)),"")</f>
        <v/>
      </c>
    </row>
    <row r="53" spans="1:9" s="1" customFormat="1" ht="16.2" customHeight="1" thickTop="1" thickBot="1" x14ac:dyDescent="0.45">
      <c r="A53" s="7" t="s">
        <v>69</v>
      </c>
      <c r="B53" s="11" t="s">
        <v>71</v>
      </c>
      <c r="C53" s="12">
        <v>19</v>
      </c>
      <c r="D53" s="12">
        <v>18</v>
      </c>
      <c r="E53" s="12">
        <v>166.8</v>
      </c>
      <c r="F53" s="10">
        <f>IFERROR(INDEX(Sheet1!B$2:B$35,MATCH(TRIM($B53),Sheet1!$F$2:$F$35,0)),"")</f>
        <v>28.85</v>
      </c>
      <c r="G53" s="10">
        <f>IFERROR(INDEX(Sheet1!C$2:C$35,MATCH(TRIM($B53),Sheet1!$F$2:$F$35,0)),"")</f>
        <v>52.05</v>
      </c>
      <c r="H53" s="10">
        <f>IFERROR(INDEX(Sheet1!D$2:D$35,MATCH(TRIM($B53),Sheet1!$F$2:$F$35,0)),"")</f>
        <v>13.48</v>
      </c>
      <c r="I53" s="10">
        <f>IFERROR(INDEX(Sheet1!E$2:E$35,MATCH(TRIM($B53),Sheet1!$F$2:$F$35,0)),"")</f>
        <v>162.30000000000001</v>
      </c>
    </row>
    <row r="54" spans="1:9" s="1" customFormat="1" ht="16.2" customHeight="1" thickTop="1" thickBot="1" x14ac:dyDescent="0.45">
      <c r="A54" s="7" t="s">
        <v>69</v>
      </c>
      <c r="B54" s="11" t="s">
        <v>72</v>
      </c>
      <c r="C54" s="12">
        <v>10</v>
      </c>
      <c r="D54" s="12">
        <v>10</v>
      </c>
      <c r="E54" s="12">
        <v>52.2</v>
      </c>
      <c r="F54" s="10">
        <f>IFERROR(INDEX(Sheet1!B$2:B$35,MATCH(TRIM($B54),Sheet1!$F$2:$F$35,0)),"")</f>
        <v>48.93</v>
      </c>
      <c r="G54" s="10">
        <f>IFERROR(INDEX(Sheet1!C$2:C$35,MATCH(TRIM($B54),Sheet1!$F$2:$F$35,0)),"")</f>
        <v>23.77</v>
      </c>
      <c r="H54" s="10">
        <f>IFERROR(INDEX(Sheet1!D$2:D$35,MATCH(TRIM($B54),Sheet1!$F$2:$F$35,0)),"")</f>
        <v>13.27</v>
      </c>
      <c r="I54" s="10">
        <f>IFERROR(INDEX(Sheet1!E$2:E$35,MATCH(TRIM($B54),Sheet1!$F$2:$F$35,0)),"")</f>
        <v>13.27</v>
      </c>
    </row>
    <row r="55" spans="1:9" s="1" customFormat="1" ht="16.2" customHeight="1" thickTop="1" thickBot="1" x14ac:dyDescent="0.45">
      <c r="A55" s="7" t="s">
        <v>69</v>
      </c>
      <c r="B55" s="11" t="s">
        <v>73</v>
      </c>
      <c r="C55" s="12">
        <v>114</v>
      </c>
      <c r="D55" s="12">
        <v>114</v>
      </c>
      <c r="E55" s="12">
        <v>387.1</v>
      </c>
      <c r="F55" s="10">
        <f>IFERROR(INDEX(Sheet1!B$2:B$35,MATCH(TRIM($B55),Sheet1!$F$2:$F$35,0)),"")</f>
        <v>38.03</v>
      </c>
      <c r="G55" s="10">
        <f>IFERROR(INDEX(Sheet1!C$2:C$35,MATCH(TRIM($B55),Sheet1!$F$2:$F$35,0)),"")</f>
        <v>112.05</v>
      </c>
      <c r="H55" s="10">
        <f>IFERROR(INDEX(Sheet1!D$2:D$35,MATCH(TRIM($B55),Sheet1!$F$2:$F$35,0)),"")</f>
        <v>19.760000000000002</v>
      </c>
      <c r="I55" s="10">
        <f>IFERROR(INDEX(Sheet1!E$2:E$35,MATCH(TRIM($B55),Sheet1!$F$2:$F$35,0)),"")</f>
        <v>0</v>
      </c>
    </row>
    <row r="56" spans="1:9" s="1" customFormat="1" ht="16.2" customHeight="1" thickTop="1" thickBot="1" x14ac:dyDescent="0.45">
      <c r="A56" s="26" t="s">
        <v>69</v>
      </c>
      <c r="B56" s="13" t="s">
        <v>74</v>
      </c>
      <c r="C56" s="14">
        <v>23</v>
      </c>
      <c r="D56" s="14">
        <v>23</v>
      </c>
      <c r="E56" s="14">
        <v>83.3</v>
      </c>
      <c r="F56" s="10">
        <f>IFERROR(INDEX(Sheet1!B$2:B$35,MATCH(TRIM($B56),Sheet1!$F$2:$F$35,0)),"")</f>
        <v>3.26</v>
      </c>
      <c r="G56" s="10">
        <f>IFERROR(INDEX(Sheet1!C$2:C$35,MATCH(TRIM($B56),Sheet1!$F$2:$F$35,0)),"")</f>
        <v>3.79</v>
      </c>
      <c r="H56" s="10">
        <f>IFERROR(INDEX(Sheet1!D$2:D$35,MATCH(TRIM($B56),Sheet1!$F$2:$F$35,0)),"")</f>
        <v>0.45</v>
      </c>
      <c r="I56" s="10">
        <f>IFERROR(INDEX(Sheet1!E$2:E$35,MATCH(TRIM($B56),Sheet1!$F$2:$F$35,0)),"")</f>
        <v>0</v>
      </c>
    </row>
    <row r="57" spans="1:9" s="1" customFormat="1" ht="16.2" customHeight="1" thickTop="1" thickBot="1" x14ac:dyDescent="0.45">
      <c r="A57" s="27" t="s">
        <v>75</v>
      </c>
      <c r="B57" s="16" t="s">
        <v>76</v>
      </c>
      <c r="C57" s="17">
        <v>4</v>
      </c>
      <c r="D57" s="17">
        <v>3</v>
      </c>
      <c r="E57" s="17">
        <v>41.7</v>
      </c>
      <c r="F57" s="10">
        <f>IFERROR(INDEX(Sheet1!B$2:B$35,MATCH(TRIM($B57),Sheet1!$F$2:$F$35,0)),"")</f>
        <v>7.57</v>
      </c>
      <c r="G57" s="10">
        <f>IFERROR(INDEX(Sheet1!C$2:C$35,MATCH(TRIM($B57),Sheet1!$F$2:$F$35,0)),"")</f>
        <v>33.130000000000003</v>
      </c>
      <c r="H57" s="10">
        <f>IFERROR(INDEX(Sheet1!D$2:D$35,MATCH(TRIM($B57),Sheet1!$F$2:$F$35,0)),"")</f>
        <v>60.1</v>
      </c>
      <c r="I57" s="10">
        <f>IFERROR(INDEX(Sheet1!E$2:E$35,MATCH(TRIM($B57),Sheet1!$F$2:$F$35,0)),"")</f>
        <v>15.81</v>
      </c>
    </row>
    <row r="58" spans="1:9" s="1" customFormat="1" ht="16.2" customHeight="1" thickTop="1" thickBot="1" x14ac:dyDescent="0.45">
      <c r="A58" s="15" t="s">
        <v>75</v>
      </c>
      <c r="B58" s="18" t="s">
        <v>77</v>
      </c>
      <c r="C58" s="19">
        <v>17</v>
      </c>
      <c r="D58" s="19">
        <v>17</v>
      </c>
      <c r="E58" s="19">
        <v>171.87</v>
      </c>
      <c r="F58" s="10" t="str">
        <f>IFERROR(INDEX(Sheet1!B$2:B$35,MATCH(TRIM($B58),Sheet1!$F$2:$F$35,0)),"")</f>
        <v/>
      </c>
      <c r="G58" s="10" t="str">
        <f>IFERROR(INDEX(Sheet1!C$2:C$35,MATCH(TRIM($B58),Sheet1!$F$2:$F$35,0)),"")</f>
        <v/>
      </c>
      <c r="H58" s="10" t="str">
        <f>IFERROR(INDEX(Sheet1!D$2:D$35,MATCH(TRIM($B58),Sheet1!$F$2:$F$35,0)),"")</f>
        <v/>
      </c>
      <c r="I58" s="10" t="str">
        <f>IFERROR(INDEX(Sheet1!E$2:E$35,MATCH(TRIM($B58),Sheet1!$F$2:$F$35,0)),"")</f>
        <v/>
      </c>
    </row>
    <row r="59" spans="1:9" s="1" customFormat="1" ht="16.2" customHeight="1" thickTop="1" thickBot="1" x14ac:dyDescent="0.45">
      <c r="A59" s="15" t="s">
        <v>75</v>
      </c>
      <c r="B59" s="18" t="s">
        <v>78</v>
      </c>
      <c r="C59" s="19">
        <v>20</v>
      </c>
      <c r="D59" s="19">
        <v>20</v>
      </c>
      <c r="E59" s="19">
        <v>167.8</v>
      </c>
      <c r="F59" s="10" t="str">
        <f>IFERROR(INDEX(Sheet1!B$2:B$35,MATCH(TRIM($B59),Sheet1!$F$2:$F$35,0)),"")</f>
        <v/>
      </c>
      <c r="G59" s="10" t="str">
        <f>IFERROR(INDEX(Sheet1!C$2:C$35,MATCH(TRIM($B59),Sheet1!$F$2:$F$35,0)),"")</f>
        <v/>
      </c>
      <c r="H59" s="10" t="str">
        <f>IFERROR(INDEX(Sheet1!D$2:D$35,MATCH(TRIM($B59),Sheet1!$F$2:$F$35,0)),"")</f>
        <v/>
      </c>
      <c r="I59" s="10" t="str">
        <f>IFERROR(INDEX(Sheet1!E$2:E$35,MATCH(TRIM($B59),Sheet1!$F$2:$F$35,0)),"")</f>
        <v/>
      </c>
    </row>
    <row r="60" spans="1:9" s="1" customFormat="1" ht="16.2" customHeight="1" thickTop="1" thickBot="1" x14ac:dyDescent="0.45">
      <c r="A60" s="15" t="s">
        <v>75</v>
      </c>
      <c r="B60" s="18" t="s">
        <v>79</v>
      </c>
      <c r="C60" s="19">
        <v>5</v>
      </c>
      <c r="D60" s="19">
        <v>4</v>
      </c>
      <c r="E60" s="19">
        <v>85.5</v>
      </c>
      <c r="F60" s="10">
        <f>IFERROR(INDEX(Sheet1!B$2:B$35,MATCH(TRIM($B60),Sheet1!$F$2:$F$35,0)),"")</f>
        <v>0</v>
      </c>
      <c r="G60" s="10">
        <f>IFERROR(INDEX(Sheet1!C$2:C$35,MATCH(TRIM($B60),Sheet1!$F$2:$F$35,0)),"")</f>
        <v>0</v>
      </c>
      <c r="H60" s="10">
        <f>IFERROR(INDEX(Sheet1!D$2:D$35,MATCH(TRIM($B60),Sheet1!$F$2:$F$35,0)),"")</f>
        <v>0</v>
      </c>
      <c r="I60" s="10">
        <f>IFERROR(INDEX(Sheet1!E$2:E$35,MATCH(TRIM($B60),Sheet1!$F$2:$F$35,0)),"")</f>
        <v>112.48</v>
      </c>
    </row>
    <row r="61" spans="1:9" s="1" customFormat="1" ht="16.2" customHeight="1" thickTop="1" thickBot="1" x14ac:dyDescent="0.45">
      <c r="A61" s="15" t="s">
        <v>75</v>
      </c>
      <c r="B61" s="18" t="s">
        <v>80</v>
      </c>
      <c r="C61" s="19">
        <v>1</v>
      </c>
      <c r="D61" s="19">
        <v>0</v>
      </c>
      <c r="E61" s="19">
        <v>32.700000000000003</v>
      </c>
      <c r="F61" s="10">
        <f>IFERROR(INDEX(Sheet1!B$2:B$35,MATCH(TRIM($B61),Sheet1!$F$2:$F$35,0)),"")</f>
        <v>16.760000000000002</v>
      </c>
      <c r="G61" s="10">
        <f>IFERROR(INDEX(Sheet1!C$2:C$35,MATCH(TRIM($B61),Sheet1!$F$2:$F$35,0)),"")</f>
        <v>13.88</v>
      </c>
      <c r="H61" s="10">
        <f>IFERROR(INDEX(Sheet1!D$2:D$35,MATCH(TRIM($B61),Sheet1!$F$2:$F$35,0)),"")</f>
        <v>0</v>
      </c>
      <c r="I61" s="10">
        <f>IFERROR(INDEX(Sheet1!E$2:E$35,MATCH(TRIM($B61),Sheet1!$F$2:$F$35,0)),"")</f>
        <v>92.15</v>
      </c>
    </row>
    <row r="62" spans="1:9" s="1" customFormat="1" ht="16.2" customHeight="1" thickTop="1" thickBot="1" x14ac:dyDescent="0.45">
      <c r="A62" s="15" t="s">
        <v>75</v>
      </c>
      <c r="B62" s="18" t="s">
        <v>81</v>
      </c>
      <c r="C62" s="19">
        <v>30</v>
      </c>
      <c r="D62" s="19">
        <v>30</v>
      </c>
      <c r="E62" s="19">
        <v>302.00000000000006</v>
      </c>
      <c r="F62" s="10" t="str">
        <f>IFERROR(INDEX(Sheet1!B$2:B$35,MATCH(TRIM($B62),Sheet1!$F$2:$F$35,0)),"")</f>
        <v/>
      </c>
      <c r="G62" s="10" t="str">
        <f>IFERROR(INDEX(Sheet1!C$2:C$35,MATCH(TRIM($B62),Sheet1!$F$2:$F$35,0)),"")</f>
        <v/>
      </c>
      <c r="H62" s="10" t="str">
        <f>IFERROR(INDEX(Sheet1!D$2:D$35,MATCH(TRIM($B62),Sheet1!$F$2:$F$35,0)),"")</f>
        <v/>
      </c>
      <c r="I62" s="10" t="str">
        <f>IFERROR(INDEX(Sheet1!E$2:E$35,MATCH(TRIM($B62),Sheet1!$F$2:$F$35,0)),"")</f>
        <v/>
      </c>
    </row>
    <row r="63" spans="1:9" s="1" customFormat="1" ht="16.2" customHeight="1" thickTop="1" thickBot="1" x14ac:dyDescent="0.45">
      <c r="A63" s="28" t="s">
        <v>75</v>
      </c>
      <c r="B63" s="29" t="s">
        <v>82</v>
      </c>
      <c r="C63" s="22">
        <v>16</v>
      </c>
      <c r="D63" s="22">
        <v>15</v>
      </c>
      <c r="E63" s="22">
        <v>628.4</v>
      </c>
      <c r="F63" s="10">
        <f>IFERROR(INDEX(Sheet1!B$2:B$35,MATCH(TRIM($B63),Sheet1!$F$2:$F$35,0)),"")</f>
        <v>114.71</v>
      </c>
      <c r="G63" s="10">
        <f>IFERROR(INDEX(Sheet1!C$2:C$35,MATCH(TRIM($B63),Sheet1!$F$2:$F$35,0)),"")</f>
        <v>66.66</v>
      </c>
      <c r="H63" s="10">
        <f>IFERROR(INDEX(Sheet1!D$2:D$35,MATCH(TRIM($B63),Sheet1!$F$2:$F$35,0)),"")</f>
        <v>137.94</v>
      </c>
      <c r="I63" s="10">
        <f>IFERROR(INDEX(Sheet1!E$2:E$35,MATCH(TRIM($B63),Sheet1!$F$2:$F$35,0)),"")</f>
        <v>208.26</v>
      </c>
    </row>
    <row r="64" spans="1:9" s="1" customFormat="1" ht="19.2" customHeight="1" thickTop="1" thickBot="1" x14ac:dyDescent="0.45">
      <c r="A64" s="30"/>
      <c r="B64" s="30" t="s">
        <v>83</v>
      </c>
      <c r="C64" s="31">
        <f>SUM(C3:C63)</f>
        <v>1582</v>
      </c>
      <c r="D64" s="31">
        <f t="shared" ref="D64:I64" si="0">SUM(D3:D63)</f>
        <v>1560</v>
      </c>
      <c r="E64" s="31">
        <f t="shared" si="0"/>
        <v>11671.017000000002</v>
      </c>
      <c r="F64" s="32">
        <f>SUM(F3:F63)</f>
        <v>2864.1100000000006</v>
      </c>
      <c r="G64" s="32">
        <f>SUM(G3:G63)</f>
        <v>2126.7199999999998</v>
      </c>
      <c r="H64" s="32">
        <f>SUM(H3:H63)</f>
        <v>1733.3600000000004</v>
      </c>
      <c r="I64" s="33">
        <f t="shared" si="0"/>
        <v>1848.88</v>
      </c>
    </row>
    <row r="65" spans="5:9" x14ac:dyDescent="0.5">
      <c r="E65" s="34"/>
      <c r="F65" s="34"/>
      <c r="G65" s="34"/>
      <c r="H65" s="34"/>
      <c r="I65" s="34"/>
    </row>
  </sheetData>
  <mergeCells count="1">
    <mergeCell ref="A1:I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87D18-E094-4F60-80D5-344874C532A9}">
  <dimension ref="A1:F35"/>
  <sheetViews>
    <sheetView workbookViewId="0">
      <selection activeCell="F35" sqref="F35"/>
    </sheetView>
  </sheetViews>
  <sheetFormatPr defaultRowHeight="14.35" x14ac:dyDescent="0.5"/>
  <cols>
    <col min="1" max="1" width="13.3515625" bestFit="1" customWidth="1"/>
    <col min="2" max="2" width="9.17578125" bestFit="1" customWidth="1"/>
    <col min="3" max="3" width="17.41015625" bestFit="1" customWidth="1"/>
    <col min="4" max="4" width="10.9375" bestFit="1" customWidth="1"/>
    <col min="5" max="5" width="6.76171875" bestFit="1" customWidth="1"/>
    <col min="6" max="6" width="18.9375" bestFit="1" customWidth="1"/>
  </cols>
  <sheetData>
    <row r="1" spans="1:6" x14ac:dyDescent="0.5">
      <c r="A1" t="s">
        <v>84</v>
      </c>
      <c r="B1" t="s">
        <v>6</v>
      </c>
      <c r="C1" t="s">
        <v>85</v>
      </c>
      <c r="D1" t="s">
        <v>86</v>
      </c>
      <c r="E1" t="s">
        <v>9</v>
      </c>
      <c r="F1" s="41" t="s">
        <v>119</v>
      </c>
    </row>
    <row r="2" spans="1:6" x14ac:dyDescent="0.5">
      <c r="A2" t="s">
        <v>10</v>
      </c>
      <c r="B2">
        <v>33.83</v>
      </c>
      <c r="C2">
        <v>29.82</v>
      </c>
      <c r="D2">
        <v>13.22</v>
      </c>
      <c r="E2">
        <v>6.74</v>
      </c>
      <c r="F2" t="s">
        <v>11</v>
      </c>
    </row>
    <row r="3" spans="1:6" x14ac:dyDescent="0.5">
      <c r="A3" t="s">
        <v>87</v>
      </c>
      <c r="B3">
        <v>7.57</v>
      </c>
      <c r="C3">
        <v>33.130000000000003</v>
      </c>
      <c r="D3">
        <v>60.1</v>
      </c>
      <c r="E3">
        <v>15.81</v>
      </c>
      <c r="F3" t="s">
        <v>76</v>
      </c>
    </row>
    <row r="4" spans="1:6" x14ac:dyDescent="0.5">
      <c r="A4" t="s">
        <v>88</v>
      </c>
      <c r="B4">
        <v>104.27</v>
      </c>
      <c r="C4">
        <v>4.95</v>
      </c>
      <c r="D4">
        <v>60.43</v>
      </c>
      <c r="E4">
        <v>0.93</v>
      </c>
      <c r="F4" t="s">
        <v>49</v>
      </c>
    </row>
    <row r="5" spans="1:6" x14ac:dyDescent="0.5">
      <c r="A5" t="s">
        <v>89</v>
      </c>
      <c r="B5">
        <v>200.74</v>
      </c>
      <c r="C5">
        <v>548.92999999999995</v>
      </c>
      <c r="D5">
        <v>1.41</v>
      </c>
      <c r="E5">
        <v>239.43</v>
      </c>
      <c r="F5" t="s">
        <v>34</v>
      </c>
    </row>
    <row r="6" spans="1:6" x14ac:dyDescent="0.5">
      <c r="A6" t="s">
        <v>90</v>
      </c>
      <c r="B6">
        <v>80.64</v>
      </c>
      <c r="C6">
        <v>63.72</v>
      </c>
      <c r="D6">
        <v>51.12</v>
      </c>
      <c r="E6">
        <v>13.88</v>
      </c>
      <c r="F6" t="s">
        <v>41</v>
      </c>
    </row>
    <row r="7" spans="1:6" x14ac:dyDescent="0.5">
      <c r="A7" t="s">
        <v>91</v>
      </c>
      <c r="B7">
        <v>71.87</v>
      </c>
      <c r="C7">
        <v>32.58</v>
      </c>
      <c r="D7">
        <v>37.93</v>
      </c>
      <c r="E7">
        <v>7.19</v>
      </c>
      <c r="F7" t="s">
        <v>22</v>
      </c>
    </row>
    <row r="8" spans="1:6" x14ac:dyDescent="0.5">
      <c r="A8" t="s">
        <v>25</v>
      </c>
      <c r="B8">
        <v>123.67</v>
      </c>
      <c r="C8">
        <v>68.64</v>
      </c>
      <c r="D8">
        <v>3.3</v>
      </c>
      <c r="E8">
        <v>36.83</v>
      </c>
      <c r="F8" t="s">
        <v>28</v>
      </c>
    </row>
    <row r="9" spans="1:6" x14ac:dyDescent="0.5">
      <c r="A9" t="s">
        <v>92</v>
      </c>
      <c r="B9">
        <v>202.61</v>
      </c>
      <c r="C9">
        <v>324.08999999999997</v>
      </c>
      <c r="D9">
        <v>168.62</v>
      </c>
      <c r="E9">
        <v>85.88</v>
      </c>
      <c r="F9" t="s">
        <v>35</v>
      </c>
    </row>
    <row r="10" spans="1:6" x14ac:dyDescent="0.5">
      <c r="A10" t="s">
        <v>93</v>
      </c>
      <c r="B10">
        <v>30.95</v>
      </c>
      <c r="C10">
        <v>34.07</v>
      </c>
      <c r="D10">
        <v>0</v>
      </c>
      <c r="E10">
        <v>9.4600000000000009</v>
      </c>
      <c r="F10" t="s">
        <v>42</v>
      </c>
    </row>
    <row r="11" spans="1:6" x14ac:dyDescent="0.5">
      <c r="A11" t="s">
        <v>94</v>
      </c>
      <c r="B11">
        <v>31.73</v>
      </c>
      <c r="C11">
        <v>97.07</v>
      </c>
      <c r="D11">
        <v>49.36</v>
      </c>
      <c r="E11">
        <v>0</v>
      </c>
      <c r="F11" t="s">
        <v>56</v>
      </c>
    </row>
    <row r="12" spans="1:6" x14ac:dyDescent="0.5">
      <c r="A12" t="s">
        <v>95</v>
      </c>
      <c r="B12">
        <v>28.85</v>
      </c>
      <c r="C12">
        <v>52.05</v>
      </c>
      <c r="D12">
        <v>13.48</v>
      </c>
      <c r="E12">
        <v>162.30000000000001</v>
      </c>
      <c r="F12" t="s">
        <v>71</v>
      </c>
    </row>
    <row r="13" spans="1:6" x14ac:dyDescent="0.5">
      <c r="A13" t="s">
        <v>96</v>
      </c>
      <c r="B13">
        <v>0</v>
      </c>
      <c r="C13">
        <v>0</v>
      </c>
      <c r="D13">
        <v>0</v>
      </c>
      <c r="E13">
        <v>112.48</v>
      </c>
      <c r="F13" t="s">
        <v>79</v>
      </c>
    </row>
    <row r="14" spans="1:6" x14ac:dyDescent="0.5">
      <c r="A14" t="s">
        <v>97</v>
      </c>
      <c r="B14">
        <v>196.79</v>
      </c>
      <c r="C14">
        <v>17.28</v>
      </c>
      <c r="D14">
        <v>3.52</v>
      </c>
      <c r="E14">
        <v>81.88</v>
      </c>
      <c r="F14" t="s">
        <v>51</v>
      </c>
    </row>
    <row r="15" spans="1:6" x14ac:dyDescent="0.5">
      <c r="A15" t="s">
        <v>98</v>
      </c>
      <c r="B15">
        <v>4.4800000000000004</v>
      </c>
      <c r="C15">
        <v>34.64</v>
      </c>
      <c r="D15">
        <v>25.09</v>
      </c>
      <c r="E15">
        <v>0</v>
      </c>
      <c r="F15" t="s">
        <v>23</v>
      </c>
    </row>
    <row r="16" spans="1:6" x14ac:dyDescent="0.5">
      <c r="A16" t="s">
        <v>99</v>
      </c>
      <c r="B16">
        <v>30.63</v>
      </c>
      <c r="C16">
        <v>46.28</v>
      </c>
      <c r="D16">
        <v>35.89</v>
      </c>
      <c r="E16">
        <v>2.74</v>
      </c>
      <c r="F16" t="s">
        <v>12</v>
      </c>
    </row>
    <row r="17" spans="1:6" x14ac:dyDescent="0.5">
      <c r="A17" t="s">
        <v>100</v>
      </c>
      <c r="B17">
        <v>61.48</v>
      </c>
      <c r="C17">
        <v>8.19</v>
      </c>
      <c r="D17">
        <v>4.01</v>
      </c>
      <c r="E17">
        <v>0</v>
      </c>
      <c r="F17" t="s">
        <v>57</v>
      </c>
    </row>
    <row r="18" spans="1:6" x14ac:dyDescent="0.5">
      <c r="A18" t="s">
        <v>101</v>
      </c>
      <c r="B18">
        <v>381.25</v>
      </c>
      <c r="C18">
        <v>41.63</v>
      </c>
      <c r="D18">
        <v>152.41</v>
      </c>
      <c r="E18">
        <v>74.66</v>
      </c>
      <c r="F18" t="s">
        <v>61</v>
      </c>
    </row>
    <row r="19" spans="1:6" x14ac:dyDescent="0.5">
      <c r="A19" t="s">
        <v>102</v>
      </c>
      <c r="B19">
        <v>129.66</v>
      </c>
      <c r="C19">
        <v>49.94</v>
      </c>
      <c r="D19">
        <v>50.58</v>
      </c>
      <c r="E19">
        <v>0</v>
      </c>
      <c r="F19" t="s">
        <v>30</v>
      </c>
    </row>
    <row r="20" spans="1:6" x14ac:dyDescent="0.5">
      <c r="A20" t="s">
        <v>103</v>
      </c>
      <c r="B20">
        <v>237.93</v>
      </c>
      <c r="C20">
        <v>88.45</v>
      </c>
      <c r="D20">
        <v>496.94</v>
      </c>
      <c r="E20">
        <v>522.1</v>
      </c>
      <c r="F20" t="s">
        <v>36</v>
      </c>
    </row>
    <row r="21" spans="1:6" x14ac:dyDescent="0.5">
      <c r="A21" t="s">
        <v>104</v>
      </c>
      <c r="B21">
        <v>34.35</v>
      </c>
      <c r="C21">
        <v>5.03</v>
      </c>
      <c r="D21">
        <v>11.18</v>
      </c>
      <c r="E21">
        <v>0</v>
      </c>
      <c r="F21" t="s">
        <v>65</v>
      </c>
    </row>
    <row r="22" spans="1:6" x14ac:dyDescent="0.5">
      <c r="A22" t="s">
        <v>105</v>
      </c>
      <c r="B22">
        <v>102.69</v>
      </c>
      <c r="C22">
        <v>36.25</v>
      </c>
      <c r="D22">
        <v>47.63</v>
      </c>
      <c r="E22">
        <v>0</v>
      </c>
      <c r="F22" t="s">
        <v>52</v>
      </c>
    </row>
    <row r="23" spans="1:6" x14ac:dyDescent="0.5">
      <c r="A23" t="s">
        <v>106</v>
      </c>
      <c r="B23">
        <v>9.2799999999999994</v>
      </c>
      <c r="C23">
        <v>39.92</v>
      </c>
      <c r="D23">
        <v>114.92</v>
      </c>
      <c r="E23">
        <v>0</v>
      </c>
      <c r="F23" t="s">
        <v>37</v>
      </c>
    </row>
    <row r="24" spans="1:6" x14ac:dyDescent="0.5">
      <c r="A24" t="s">
        <v>107</v>
      </c>
      <c r="B24">
        <v>44.24</v>
      </c>
      <c r="C24">
        <v>64.959999999999994</v>
      </c>
      <c r="D24">
        <v>17.48</v>
      </c>
      <c r="E24">
        <v>0</v>
      </c>
      <c r="F24" t="s">
        <v>20</v>
      </c>
    </row>
    <row r="25" spans="1:6" x14ac:dyDescent="0.5">
      <c r="A25" t="s">
        <v>108</v>
      </c>
      <c r="B25">
        <v>72.760000000000005</v>
      </c>
      <c r="C25">
        <v>0.68</v>
      </c>
      <c r="D25">
        <v>0</v>
      </c>
      <c r="E25">
        <v>0</v>
      </c>
      <c r="F25" t="s">
        <v>31</v>
      </c>
    </row>
    <row r="26" spans="1:6" x14ac:dyDescent="0.5">
      <c r="A26" t="s">
        <v>109</v>
      </c>
      <c r="B26">
        <v>47.71</v>
      </c>
      <c r="C26">
        <v>7.15</v>
      </c>
      <c r="D26">
        <v>26.97</v>
      </c>
      <c r="E26">
        <v>0</v>
      </c>
      <c r="F26" t="s">
        <v>46</v>
      </c>
    </row>
    <row r="27" spans="1:6" x14ac:dyDescent="0.5">
      <c r="A27" t="s">
        <v>110</v>
      </c>
      <c r="B27">
        <v>170.42</v>
      </c>
      <c r="C27">
        <v>0</v>
      </c>
      <c r="D27">
        <v>14.59</v>
      </c>
      <c r="E27">
        <v>122.59</v>
      </c>
      <c r="F27" t="s">
        <v>39</v>
      </c>
    </row>
    <row r="28" spans="1:6" x14ac:dyDescent="0.5">
      <c r="A28" t="s">
        <v>111</v>
      </c>
      <c r="B28">
        <v>48.93</v>
      </c>
      <c r="C28">
        <v>23.77</v>
      </c>
      <c r="D28">
        <v>13.27</v>
      </c>
      <c r="E28">
        <v>13.27</v>
      </c>
      <c r="F28" t="s">
        <v>72</v>
      </c>
    </row>
    <row r="29" spans="1:6" x14ac:dyDescent="0.5">
      <c r="A29" t="s">
        <v>112</v>
      </c>
      <c r="B29">
        <v>16.760000000000002</v>
      </c>
      <c r="C29">
        <v>13.88</v>
      </c>
      <c r="D29">
        <v>0</v>
      </c>
      <c r="E29">
        <v>92.15</v>
      </c>
      <c r="F29" t="s">
        <v>80</v>
      </c>
    </row>
    <row r="30" spans="1:6" x14ac:dyDescent="0.5">
      <c r="A30" t="s">
        <v>113</v>
      </c>
      <c r="B30">
        <v>44.31</v>
      </c>
      <c r="C30">
        <v>32.06</v>
      </c>
      <c r="D30">
        <v>16.21</v>
      </c>
      <c r="E30">
        <v>16.5</v>
      </c>
      <c r="F30" t="s">
        <v>120</v>
      </c>
    </row>
    <row r="31" spans="1:6" x14ac:dyDescent="0.5">
      <c r="A31" t="s">
        <v>114</v>
      </c>
      <c r="B31">
        <v>129.58000000000001</v>
      </c>
      <c r="C31">
        <v>102.82</v>
      </c>
      <c r="D31">
        <v>22.17</v>
      </c>
      <c r="E31">
        <v>23.8</v>
      </c>
      <c r="F31" t="s">
        <v>67</v>
      </c>
    </row>
    <row r="32" spans="1:6" x14ac:dyDescent="0.5">
      <c r="A32" t="s">
        <v>115</v>
      </c>
      <c r="B32">
        <v>38.03</v>
      </c>
      <c r="C32">
        <v>112.05</v>
      </c>
      <c r="D32">
        <v>19.760000000000002</v>
      </c>
      <c r="E32">
        <v>0</v>
      </c>
      <c r="F32" t="s">
        <v>73</v>
      </c>
    </row>
    <row r="33" spans="1:6" x14ac:dyDescent="0.5">
      <c r="A33" t="s">
        <v>116</v>
      </c>
      <c r="B33">
        <v>28.13</v>
      </c>
      <c r="C33">
        <v>42.24</v>
      </c>
      <c r="D33">
        <v>63.38</v>
      </c>
      <c r="E33">
        <v>0</v>
      </c>
      <c r="F33" t="s">
        <v>58</v>
      </c>
    </row>
    <row r="34" spans="1:6" x14ac:dyDescent="0.5">
      <c r="A34" t="s">
        <v>117</v>
      </c>
      <c r="B34">
        <v>114.71</v>
      </c>
      <c r="C34">
        <v>66.66</v>
      </c>
      <c r="D34">
        <v>137.94</v>
      </c>
      <c r="E34">
        <v>208.26</v>
      </c>
      <c r="F34" t="s">
        <v>82</v>
      </c>
    </row>
    <row r="35" spans="1:6" x14ac:dyDescent="0.5">
      <c r="A35" t="s">
        <v>118</v>
      </c>
      <c r="B35">
        <v>3.26</v>
      </c>
      <c r="C35">
        <v>3.79</v>
      </c>
      <c r="D35">
        <v>0.45</v>
      </c>
      <c r="E35">
        <v>0</v>
      </c>
      <c r="F35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sipas bashkive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Genc Radovicka</dc:creator>
  <cp:lastModifiedBy>Genti QIRJAZI</cp:lastModifiedBy>
  <dcterms:created xsi:type="dcterms:W3CDTF">2026-09-21T13:07:47Z</dcterms:created>
  <dcterms:modified xsi:type="dcterms:W3CDTF">2026-09-22T21:15:06Z</dcterms:modified>
</cp:coreProperties>
</file>