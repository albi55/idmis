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13_ncr:1_{29A41FF7-7D5D-4E26-952B-D2BC5ED57351}" xr6:coauthVersionLast="47" xr6:coauthVersionMax="47" xr10:uidLastSave="{00000000-0000-0000-0000-000000000000}"/>
  <bookViews>
    <workbookView xWindow="-28920" yWindow="-1470" windowWidth="29040" windowHeight="15720" firstSheet="54" activeTab="59" xr2:uid="{52B1176C-8184-423D-B735-82AF6FCA634A}"/>
  </bookViews>
  <sheets>
    <sheet name="Inv__Ujitjes_Berat" sheetId="2" r:id="rId1"/>
    <sheet name="Inv__Ujitjes_Kucove" sheetId="3" r:id="rId2"/>
    <sheet name="Inv__Ujitjes_Polican" sheetId="13" r:id="rId3"/>
    <sheet name="Inv__Ujitjes_ Skrapar" sheetId="6" r:id="rId4"/>
    <sheet name="Inv__Ujitjes_Ura Vajgurore" sheetId="7" r:id="rId5"/>
    <sheet name="Inv__Ujitjes_Durres" sheetId="8" r:id="rId6"/>
    <sheet name="Inv__Ujitjes_ Kruje" sheetId="9" r:id="rId7"/>
    <sheet name="Inv__Ujitjes_Shijak" sheetId="10" r:id="rId8"/>
    <sheet name="Inv__Ujitjes_ Belsh" sheetId="11" r:id="rId9"/>
    <sheet name="Inv__Ujitjes_Cerrik" sheetId="12" r:id="rId10"/>
    <sheet name="Inv__Ujitjes_Elbasan" sheetId="14" r:id="rId11"/>
    <sheet name="Inv__Ujitjes_Gramsh" sheetId="16" r:id="rId12"/>
    <sheet name="Inv__Ujitjes_Librazhd" sheetId="18" r:id="rId13"/>
    <sheet name="Inv__Ujitjes_Peqin" sheetId="19" r:id="rId14"/>
    <sheet name="Inv__Ujitjes_Prrenjas" sheetId="20" r:id="rId15"/>
    <sheet name="Inv__Ujitjes_Mallakaster" sheetId="21" r:id="rId16"/>
    <sheet name="Inv__Ujitjes_Fier" sheetId="23" r:id="rId17"/>
    <sheet name="Inv__Ujitjes_Patos" sheetId="24" r:id="rId18"/>
    <sheet name="Inv__Ujitjes_Roskovec" sheetId="25" r:id="rId19"/>
    <sheet name="Inv__Ujitjes_Dropull" sheetId="26" r:id="rId20"/>
    <sheet name="Inv__Ujitjes_Gjirokaster" sheetId="27" r:id="rId21"/>
    <sheet name="Inv__Ujitjes_Kelcyre" sheetId="28" r:id="rId22"/>
    <sheet name="Inv__Ujitjes_Libohove" sheetId="29" r:id="rId23"/>
    <sheet name="Inv__Ujitjes_Memaliaj" sheetId="30" r:id="rId24"/>
    <sheet name="Inv__Ujitjes_Permet" sheetId="31" r:id="rId25"/>
    <sheet name="Inv__Ujitjes_Tepelene" sheetId="33" r:id="rId26"/>
    <sheet name="Inv__Ujitjes_Devoll" sheetId="34" r:id="rId27"/>
    <sheet name="Inv__Ujitjes_Kolonje" sheetId="35" r:id="rId28"/>
    <sheet name="Inv__Ujitjes_Korce" sheetId="36" r:id="rId29"/>
    <sheet name="Inv__Ujitjes_Maliq" sheetId="37" r:id="rId30"/>
    <sheet name="Inv__Ujitjes_Pogradec" sheetId="38" r:id="rId31"/>
    <sheet name="Inv__Ujitjes_Has" sheetId="39" r:id="rId32"/>
    <sheet name="Inv__Ujitjes_Kukes" sheetId="40" r:id="rId33"/>
    <sheet name="Inv__Ujitjes_Tropoje" sheetId="41" r:id="rId34"/>
    <sheet name="Inv__Ujitjes_Kurbin" sheetId="42" r:id="rId35"/>
    <sheet name="Inv__Ujitjes_Lezhe" sheetId="43" r:id="rId36"/>
    <sheet name="Inv__Ujitjes_Mirdite" sheetId="44" r:id="rId37"/>
    <sheet name="Inv__Ujitjes_Divjake" sheetId="45" r:id="rId38"/>
    <sheet name="Inv__Ujitjes_Lushnje" sheetId="46" r:id="rId39"/>
    <sheet name="Inv__Ujitjes_Bulqize" sheetId="47" r:id="rId40"/>
    <sheet name="Inv__Ujitjes_Diber" sheetId="32" r:id="rId41"/>
    <sheet name="Inv__Ujitjes_Klos" sheetId="48" r:id="rId42"/>
    <sheet name="Inv__Ujitjes_Mat" sheetId="49" r:id="rId43"/>
    <sheet name="Inv__Ujitjes_Fushe Arrez" sheetId="50" r:id="rId44"/>
    <sheet name="Inv__Ujitjes_Malesi e Madhe" sheetId="51" r:id="rId45"/>
    <sheet name="Inv__Ujitjes_Puke" sheetId="52" r:id="rId46"/>
    <sheet name="Inv__Ujitjes_Shkoder" sheetId="53" r:id="rId47"/>
    <sheet name="Inv__Ujitjes_Vau i Dejes" sheetId="54" r:id="rId48"/>
    <sheet name="Inv__Ujitjes_Kamez" sheetId="55" r:id="rId49"/>
    <sheet name="Inv__Ujitjes_Kavaje" sheetId="56" r:id="rId50"/>
    <sheet name="Inv__Ujitjes_Rrogozhine" sheetId="57" r:id="rId51"/>
    <sheet name="Inv__Ujitjes_Tirane" sheetId="58" r:id="rId52"/>
    <sheet name="Inv__Ujitjes_Vore" sheetId="59" r:id="rId53"/>
    <sheet name="Inv__Ujitjes_Delvine" sheetId="60" r:id="rId54"/>
    <sheet name="Inv__Ujitjes_Finiq" sheetId="61" r:id="rId55"/>
    <sheet name="Inv__Ujitjes_ Himare" sheetId="62" r:id="rId56"/>
    <sheet name="Inv__Ujitjes_Konispol" sheetId="63" r:id="rId57"/>
    <sheet name="Inv__Ujitjes_Sarande" sheetId="64" r:id="rId58"/>
    <sheet name="Inv__Ujitjes_Selenice" sheetId="65" r:id="rId59"/>
    <sheet name="Inv__Ujitjes_Vlore" sheetId="66" r:id="rId6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66" l="1"/>
  <c r="I6" i="66"/>
  <c r="I7" i="66"/>
  <c r="I8" i="66"/>
  <c r="I9" i="66"/>
  <c r="I10" i="66"/>
  <c r="I11" i="66"/>
  <c r="I12" i="66"/>
  <c r="I13" i="66"/>
  <c r="I14" i="66"/>
  <c r="I15" i="66"/>
  <c r="I16" i="66"/>
  <c r="I17" i="66"/>
  <c r="I18" i="66"/>
  <c r="I19" i="66"/>
  <c r="F20" i="66"/>
  <c r="H20" i="66"/>
  <c r="I26" i="66"/>
  <c r="F27" i="66"/>
  <c r="H27" i="66"/>
  <c r="I27" i="65"/>
  <c r="I28" i="65"/>
  <c r="I29" i="65"/>
  <c r="I30" i="65"/>
  <c r="I31" i="65"/>
  <c r="I32" i="65"/>
  <c r="I33" i="65"/>
  <c r="H35" i="65"/>
  <c r="F35" i="65"/>
  <c r="I34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H7" i="64"/>
  <c r="F7" i="64"/>
  <c r="I6" i="64"/>
  <c r="H16" i="63"/>
  <c r="F16" i="63"/>
  <c r="I15" i="63"/>
  <c r="H9" i="63"/>
  <c r="F9" i="63"/>
  <c r="I9" i="63" s="1"/>
  <c r="I8" i="63"/>
  <c r="I7" i="63"/>
  <c r="I6" i="63"/>
  <c r="I5" i="63"/>
  <c r="H25" i="62"/>
  <c r="F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I12" i="62"/>
  <c r="I11" i="62"/>
  <c r="I10" i="62"/>
  <c r="I9" i="62"/>
  <c r="I8" i="62"/>
  <c r="I7" i="62"/>
  <c r="I6" i="62"/>
  <c r="I5" i="62"/>
  <c r="H22" i="61"/>
  <c r="F22" i="61"/>
  <c r="I21" i="61"/>
  <c r="I20" i="61"/>
  <c r="I19" i="61"/>
  <c r="I18" i="61"/>
  <c r="I17" i="61"/>
  <c r="I16" i="61"/>
  <c r="I15" i="61"/>
  <c r="I14" i="61"/>
  <c r="I13" i="61"/>
  <c r="I12" i="61"/>
  <c r="I11" i="61"/>
  <c r="I10" i="61"/>
  <c r="I9" i="61"/>
  <c r="I8" i="61"/>
  <c r="I7" i="61"/>
  <c r="I6" i="61"/>
  <c r="I5" i="61"/>
  <c r="H15" i="60"/>
  <c r="F15" i="60"/>
  <c r="I14" i="60"/>
  <c r="H8" i="60"/>
  <c r="F8" i="60"/>
  <c r="I8" i="60" s="1"/>
  <c r="I7" i="60"/>
  <c r="I6" i="60"/>
  <c r="I5" i="60"/>
  <c r="H28" i="59"/>
  <c r="F28" i="59"/>
  <c r="I27" i="59"/>
  <c r="I26" i="59"/>
  <c r="I25" i="59"/>
  <c r="I24" i="59"/>
  <c r="I23" i="59"/>
  <c r="I22" i="59"/>
  <c r="I21" i="59"/>
  <c r="I20" i="59"/>
  <c r="I19" i="59"/>
  <c r="I18" i="59"/>
  <c r="I17" i="59"/>
  <c r="I16" i="59"/>
  <c r="I15" i="59"/>
  <c r="I14" i="59"/>
  <c r="I13" i="59"/>
  <c r="I12" i="59"/>
  <c r="I11" i="59"/>
  <c r="I10" i="59"/>
  <c r="I9" i="59"/>
  <c r="I8" i="59"/>
  <c r="I7" i="59"/>
  <c r="I6" i="59"/>
  <c r="I5" i="59"/>
  <c r="I115" i="58"/>
  <c r="I116" i="58"/>
  <c r="I27" i="58"/>
  <c r="I28" i="58"/>
  <c r="I29" i="58"/>
  <c r="I30" i="58"/>
  <c r="I31" i="58"/>
  <c r="I32" i="58"/>
  <c r="I33" i="58"/>
  <c r="I34" i="58"/>
  <c r="I35" i="58"/>
  <c r="I36" i="58"/>
  <c r="I37" i="58"/>
  <c r="I38" i="58"/>
  <c r="I39" i="58"/>
  <c r="I40" i="58"/>
  <c r="I41" i="58"/>
  <c r="I42" i="58"/>
  <c r="I43" i="58"/>
  <c r="I44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8" i="58"/>
  <c r="I59" i="58"/>
  <c r="I60" i="58"/>
  <c r="I61" i="58"/>
  <c r="I62" i="58"/>
  <c r="I63" i="58"/>
  <c r="I64" i="58"/>
  <c r="I65" i="58"/>
  <c r="I66" i="58"/>
  <c r="I67" i="58"/>
  <c r="I68" i="58"/>
  <c r="I69" i="58"/>
  <c r="I70" i="58"/>
  <c r="I71" i="58"/>
  <c r="I72" i="58"/>
  <c r="I73" i="58"/>
  <c r="I74" i="58"/>
  <c r="I75" i="58"/>
  <c r="I76" i="58"/>
  <c r="I77" i="58"/>
  <c r="I78" i="58"/>
  <c r="I79" i="58"/>
  <c r="I80" i="58"/>
  <c r="I81" i="58"/>
  <c r="I82" i="58"/>
  <c r="I83" i="58"/>
  <c r="I84" i="58"/>
  <c r="I85" i="58"/>
  <c r="I86" i="58"/>
  <c r="I87" i="58"/>
  <c r="I88" i="58"/>
  <c r="I89" i="58"/>
  <c r="I90" i="58"/>
  <c r="I91" i="58"/>
  <c r="I92" i="58"/>
  <c r="I93" i="58"/>
  <c r="I94" i="58"/>
  <c r="I95" i="58"/>
  <c r="I96" i="58"/>
  <c r="I97" i="58"/>
  <c r="I98" i="58"/>
  <c r="I99" i="58"/>
  <c r="I100" i="58"/>
  <c r="I101" i="58"/>
  <c r="I102" i="58"/>
  <c r="I103" i="58"/>
  <c r="I104" i="58"/>
  <c r="I105" i="58"/>
  <c r="I106" i="58"/>
  <c r="I107" i="58"/>
  <c r="I108" i="58"/>
  <c r="I109" i="58"/>
  <c r="I110" i="58"/>
  <c r="I111" i="58"/>
  <c r="I112" i="58"/>
  <c r="I113" i="58"/>
  <c r="I114" i="58"/>
  <c r="H125" i="58"/>
  <c r="F125" i="58"/>
  <c r="I124" i="58"/>
  <c r="I123" i="58"/>
  <c r="H117" i="58"/>
  <c r="F117" i="58"/>
  <c r="I26" i="58"/>
  <c r="I25" i="58"/>
  <c r="I24" i="58"/>
  <c r="I23" i="58"/>
  <c r="I22" i="58"/>
  <c r="I21" i="58"/>
  <c r="I20" i="58"/>
  <c r="I19" i="58"/>
  <c r="I18" i="58"/>
  <c r="I17" i="58"/>
  <c r="I16" i="58"/>
  <c r="I15" i="58"/>
  <c r="I14" i="58"/>
  <c r="I13" i="58"/>
  <c r="I12" i="58"/>
  <c r="I11" i="58"/>
  <c r="I10" i="58"/>
  <c r="I9" i="58"/>
  <c r="I8" i="58"/>
  <c r="I7" i="58"/>
  <c r="I6" i="58"/>
  <c r="I5" i="58"/>
  <c r="H15" i="57"/>
  <c r="I15" i="57" s="1"/>
  <c r="F15" i="57"/>
  <c r="I14" i="57"/>
  <c r="I13" i="57"/>
  <c r="I12" i="57"/>
  <c r="I11" i="57"/>
  <c r="I10" i="57"/>
  <c r="I9" i="57"/>
  <c r="I8" i="57"/>
  <c r="I7" i="57"/>
  <c r="I6" i="57"/>
  <c r="I5" i="57"/>
  <c r="H30" i="56"/>
  <c r="F30" i="56"/>
  <c r="I30" i="56" s="1"/>
  <c r="I29" i="56"/>
  <c r="H23" i="56"/>
  <c r="F23" i="56"/>
  <c r="I22" i="56"/>
  <c r="I21" i="56"/>
  <c r="I20" i="56"/>
  <c r="I19" i="56"/>
  <c r="I18" i="56"/>
  <c r="I17" i="56"/>
  <c r="I16" i="56"/>
  <c r="I15" i="56"/>
  <c r="I14" i="56"/>
  <c r="I13" i="56"/>
  <c r="I12" i="56"/>
  <c r="I11" i="56"/>
  <c r="I10" i="56"/>
  <c r="I9" i="56"/>
  <c r="I8" i="56"/>
  <c r="I7" i="56"/>
  <c r="I6" i="56"/>
  <c r="I5" i="56"/>
  <c r="H16" i="55"/>
  <c r="F16" i="55"/>
  <c r="I15" i="55"/>
  <c r="I14" i="55"/>
  <c r="I13" i="55"/>
  <c r="I12" i="55"/>
  <c r="I11" i="55"/>
  <c r="I10" i="55"/>
  <c r="I9" i="55"/>
  <c r="I8" i="55"/>
  <c r="I7" i="55"/>
  <c r="I6" i="55"/>
  <c r="I5" i="55"/>
  <c r="H6" i="54"/>
  <c r="F6" i="54"/>
  <c r="I5" i="54"/>
  <c r="H19" i="53"/>
  <c r="F19" i="53"/>
  <c r="I18" i="53"/>
  <c r="I16" i="53"/>
  <c r="H10" i="53"/>
  <c r="I10" i="53" s="1"/>
  <c r="F10" i="53"/>
  <c r="I9" i="53"/>
  <c r="I8" i="53"/>
  <c r="I7" i="53"/>
  <c r="I6" i="53"/>
  <c r="I5" i="53"/>
  <c r="H10" i="52"/>
  <c r="F10" i="52"/>
  <c r="I9" i="52"/>
  <c r="I8" i="52"/>
  <c r="I7" i="52"/>
  <c r="I6" i="52"/>
  <c r="I5" i="52"/>
  <c r="H11" i="51"/>
  <c r="F11" i="51"/>
  <c r="I10" i="51"/>
  <c r="I9" i="51"/>
  <c r="I8" i="51"/>
  <c r="I7" i="51"/>
  <c r="I6" i="51"/>
  <c r="I5" i="51"/>
  <c r="I27" i="49"/>
  <c r="I28" i="49"/>
  <c r="I29" i="49"/>
  <c r="I30" i="49"/>
  <c r="I31" i="49"/>
  <c r="I32" i="49"/>
  <c r="I33" i="49"/>
  <c r="I34" i="49"/>
  <c r="I35" i="49"/>
  <c r="I36" i="49"/>
  <c r="I37" i="49"/>
  <c r="I38" i="49"/>
  <c r="I39" i="49"/>
  <c r="I40" i="49"/>
  <c r="I41" i="49"/>
  <c r="I42" i="49"/>
  <c r="I43" i="49"/>
  <c r="I44" i="49"/>
  <c r="I45" i="49"/>
  <c r="I46" i="49"/>
  <c r="I47" i="49"/>
  <c r="I48" i="49"/>
  <c r="I49" i="49"/>
  <c r="I50" i="49"/>
  <c r="I51" i="49"/>
  <c r="I52" i="49"/>
  <c r="I53" i="49"/>
  <c r="I54" i="49"/>
  <c r="I55" i="49"/>
  <c r="I56" i="49"/>
  <c r="I57" i="49"/>
  <c r="I58" i="49"/>
  <c r="H8" i="50"/>
  <c r="F8" i="50"/>
  <c r="I7" i="50"/>
  <c r="I6" i="50"/>
  <c r="I5" i="50"/>
  <c r="H67" i="49"/>
  <c r="F67" i="49"/>
  <c r="I66" i="49"/>
  <c r="H60" i="49"/>
  <c r="F60" i="49"/>
  <c r="I59" i="49"/>
  <c r="I26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I12" i="49"/>
  <c r="I11" i="49"/>
  <c r="I10" i="49"/>
  <c r="I9" i="49"/>
  <c r="I8" i="49"/>
  <c r="I7" i="49"/>
  <c r="I6" i="49"/>
  <c r="I5" i="49"/>
  <c r="I25" i="48"/>
  <c r="I26" i="48"/>
  <c r="I27" i="48"/>
  <c r="I28" i="48"/>
  <c r="I29" i="48"/>
  <c r="I30" i="48"/>
  <c r="I31" i="48"/>
  <c r="I32" i="48"/>
  <c r="I33" i="48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112" i="32"/>
  <c r="I113" i="32"/>
  <c r="I114" i="32"/>
  <c r="I115" i="32"/>
  <c r="I116" i="32"/>
  <c r="I117" i="32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I130" i="32"/>
  <c r="I131" i="32"/>
  <c r="I132" i="32"/>
  <c r="I133" i="32"/>
  <c r="I134" i="32"/>
  <c r="I135" i="32"/>
  <c r="I136" i="32"/>
  <c r="I137" i="32"/>
  <c r="I138" i="32"/>
  <c r="I139" i="32"/>
  <c r="H36" i="48"/>
  <c r="F36" i="48"/>
  <c r="I35" i="48"/>
  <c r="I34" i="48"/>
  <c r="I24" i="48"/>
  <c r="I23" i="48"/>
  <c r="I22" i="48"/>
  <c r="I21" i="48"/>
  <c r="I20" i="48"/>
  <c r="I19" i="48"/>
  <c r="I18" i="48"/>
  <c r="I17" i="48"/>
  <c r="I16" i="48"/>
  <c r="I15" i="48"/>
  <c r="I14" i="48"/>
  <c r="I13" i="48"/>
  <c r="I12" i="48"/>
  <c r="I11" i="48"/>
  <c r="I10" i="48"/>
  <c r="I9" i="48"/>
  <c r="I8" i="48"/>
  <c r="I7" i="48"/>
  <c r="I6" i="48"/>
  <c r="I5" i="48"/>
  <c r="I27" i="47"/>
  <c r="I28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H54" i="47"/>
  <c r="F54" i="47"/>
  <c r="I53" i="47"/>
  <c r="H47" i="47"/>
  <c r="F47" i="47"/>
  <c r="I46" i="47"/>
  <c r="I26" i="47"/>
  <c r="I25" i="47"/>
  <c r="I24" i="47"/>
  <c r="I23" i="47"/>
  <c r="I22" i="47"/>
  <c r="I21" i="47"/>
  <c r="I20" i="47"/>
  <c r="I19" i="47"/>
  <c r="I18" i="47"/>
  <c r="I17" i="47"/>
  <c r="I16" i="47"/>
  <c r="I15" i="47"/>
  <c r="I14" i="47"/>
  <c r="I13" i="47"/>
  <c r="I12" i="47"/>
  <c r="I11" i="47"/>
  <c r="I10" i="47"/>
  <c r="I9" i="47"/>
  <c r="I8" i="47"/>
  <c r="I7" i="47"/>
  <c r="I6" i="47"/>
  <c r="I5" i="47"/>
  <c r="H39" i="46"/>
  <c r="F39" i="46"/>
  <c r="I38" i="46"/>
  <c r="H32" i="46"/>
  <c r="F32" i="46"/>
  <c r="I31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I12" i="46"/>
  <c r="I11" i="46"/>
  <c r="I10" i="46"/>
  <c r="I9" i="46"/>
  <c r="I8" i="46"/>
  <c r="I7" i="46"/>
  <c r="I6" i="46"/>
  <c r="I5" i="46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1" i="45"/>
  <c r="I42" i="45"/>
  <c r="I43" i="45"/>
  <c r="I44" i="45"/>
  <c r="H46" i="45"/>
  <c r="F46" i="45"/>
  <c r="I4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I7" i="45"/>
  <c r="I6" i="45"/>
  <c r="I5" i="45"/>
  <c r="H16" i="44"/>
  <c r="F16" i="44"/>
  <c r="I16" i="44" s="1"/>
  <c r="I15" i="44"/>
  <c r="I14" i="44"/>
  <c r="I13" i="44"/>
  <c r="I12" i="44"/>
  <c r="I11" i="44"/>
  <c r="I10" i="44"/>
  <c r="I9" i="44"/>
  <c r="I8" i="44"/>
  <c r="I7" i="44"/>
  <c r="I6" i="44"/>
  <c r="I5" i="44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H48" i="43"/>
  <c r="F48" i="43"/>
  <c r="I47" i="43"/>
  <c r="H41" i="43"/>
  <c r="F41" i="43"/>
  <c r="I40" i="43"/>
  <c r="I25" i="43"/>
  <c r="I24" i="43"/>
  <c r="I23" i="43"/>
  <c r="I22" i="43"/>
  <c r="I21" i="43"/>
  <c r="I20" i="43"/>
  <c r="I19" i="43"/>
  <c r="I18" i="43"/>
  <c r="I17" i="43"/>
  <c r="I16" i="43"/>
  <c r="I15" i="43"/>
  <c r="I14" i="43"/>
  <c r="I13" i="43"/>
  <c r="I12" i="43"/>
  <c r="I11" i="43"/>
  <c r="I10" i="43"/>
  <c r="I9" i="43"/>
  <c r="I8" i="43"/>
  <c r="I7" i="43"/>
  <c r="I6" i="43"/>
  <c r="I5" i="43"/>
  <c r="H24" i="42"/>
  <c r="F24" i="42"/>
  <c r="I23" i="42"/>
  <c r="H17" i="42"/>
  <c r="F17" i="42"/>
  <c r="I16" i="42"/>
  <c r="I15" i="42"/>
  <c r="I14" i="42"/>
  <c r="I13" i="42"/>
  <c r="I12" i="42"/>
  <c r="I11" i="42"/>
  <c r="I10" i="42"/>
  <c r="I9" i="42"/>
  <c r="I8" i="42"/>
  <c r="I7" i="42"/>
  <c r="I6" i="42"/>
  <c r="I5" i="42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5" i="41"/>
  <c r="I27" i="40"/>
  <c r="I28" i="40"/>
  <c r="I29" i="40"/>
  <c r="I30" i="40"/>
  <c r="I26" i="40"/>
  <c r="H42" i="41"/>
  <c r="F42" i="41"/>
  <c r="I41" i="41"/>
  <c r="I26" i="41"/>
  <c r="I25" i="41"/>
  <c r="I24" i="41"/>
  <c r="I23" i="41"/>
  <c r="I22" i="41"/>
  <c r="I21" i="41"/>
  <c r="I20" i="41"/>
  <c r="I19" i="41"/>
  <c r="I18" i="41"/>
  <c r="I17" i="41"/>
  <c r="I16" i="41"/>
  <c r="I15" i="41"/>
  <c r="I14" i="41"/>
  <c r="I13" i="41"/>
  <c r="I12" i="41"/>
  <c r="I11" i="41"/>
  <c r="I10" i="41"/>
  <c r="I9" i="41"/>
  <c r="I8" i="41"/>
  <c r="I7" i="41"/>
  <c r="I6" i="41"/>
  <c r="H32" i="40"/>
  <c r="F32" i="40"/>
  <c r="I31" i="40"/>
  <c r="I25" i="40"/>
  <c r="I24" i="40"/>
  <c r="I23" i="40"/>
  <c r="I22" i="40"/>
  <c r="I21" i="40"/>
  <c r="I20" i="40"/>
  <c r="I19" i="40"/>
  <c r="I18" i="40"/>
  <c r="I17" i="40"/>
  <c r="I16" i="40"/>
  <c r="I15" i="40"/>
  <c r="I14" i="40"/>
  <c r="I13" i="40"/>
  <c r="I12" i="40"/>
  <c r="I11" i="40"/>
  <c r="I10" i="40"/>
  <c r="I9" i="40"/>
  <c r="I8" i="40"/>
  <c r="I7" i="40"/>
  <c r="I6" i="40"/>
  <c r="I5" i="40"/>
  <c r="H28" i="39"/>
  <c r="F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9" i="39"/>
  <c r="I8" i="39"/>
  <c r="I7" i="39"/>
  <c r="I6" i="39"/>
  <c r="I5" i="39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46" i="37"/>
  <c r="I47" i="37"/>
  <c r="I48" i="37"/>
  <c r="I49" i="37"/>
  <c r="H45" i="38"/>
  <c r="F45" i="38"/>
  <c r="I44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9" i="38"/>
  <c r="I8" i="38"/>
  <c r="I7" i="38"/>
  <c r="I6" i="38"/>
  <c r="I5" i="38"/>
  <c r="H51" i="37"/>
  <c r="F51" i="37"/>
  <c r="I50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9" i="37"/>
  <c r="I8" i="37"/>
  <c r="I7" i="37"/>
  <c r="I6" i="37"/>
  <c r="I5" i="37"/>
  <c r="I26" i="36"/>
  <c r="I27" i="36"/>
  <c r="I28" i="36"/>
  <c r="I29" i="36"/>
  <c r="I30" i="36"/>
  <c r="I31" i="36"/>
  <c r="I32" i="36"/>
  <c r="I33" i="36"/>
  <c r="I34" i="36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H44" i="36"/>
  <c r="F44" i="36"/>
  <c r="I43" i="36"/>
  <c r="I42" i="36"/>
  <c r="H36" i="36"/>
  <c r="F36" i="36"/>
  <c r="I35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H56" i="35"/>
  <c r="F56" i="35"/>
  <c r="I55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11" i="35"/>
  <c r="I10" i="35"/>
  <c r="I9" i="35"/>
  <c r="I8" i="35"/>
  <c r="I7" i="35"/>
  <c r="I6" i="35"/>
  <c r="I5" i="35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H60" i="34"/>
  <c r="F60" i="34"/>
  <c r="I59" i="34"/>
  <c r="I26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H8" i="33"/>
  <c r="F8" i="33"/>
  <c r="I8" i="33" s="1"/>
  <c r="I7" i="33"/>
  <c r="I6" i="33"/>
  <c r="I5" i="33"/>
  <c r="H141" i="32"/>
  <c r="F141" i="32"/>
  <c r="I140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27" i="31"/>
  <c r="I28" i="31"/>
  <c r="I29" i="31"/>
  <c r="H31" i="31"/>
  <c r="F31" i="31"/>
  <c r="I30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H13" i="30"/>
  <c r="F13" i="30"/>
  <c r="I12" i="30"/>
  <c r="I11" i="30"/>
  <c r="I10" i="30"/>
  <c r="I9" i="30"/>
  <c r="I8" i="30"/>
  <c r="I7" i="30"/>
  <c r="I6" i="30"/>
  <c r="I5" i="30"/>
  <c r="H13" i="29"/>
  <c r="F13" i="29"/>
  <c r="I13" i="29" s="1"/>
  <c r="I12" i="29"/>
  <c r="I11" i="29"/>
  <c r="I10" i="29"/>
  <c r="I9" i="29"/>
  <c r="I8" i="29"/>
  <c r="I7" i="29"/>
  <c r="I6" i="29"/>
  <c r="I5" i="29"/>
  <c r="H12" i="28"/>
  <c r="F12" i="28"/>
  <c r="I11" i="28"/>
  <c r="I10" i="28"/>
  <c r="I9" i="28"/>
  <c r="I8" i="28"/>
  <c r="I7" i="28"/>
  <c r="I6" i="28"/>
  <c r="I5" i="28"/>
  <c r="H14" i="27"/>
  <c r="F14" i="27"/>
  <c r="I13" i="27"/>
  <c r="I12" i="27"/>
  <c r="I11" i="27"/>
  <c r="I10" i="27"/>
  <c r="I9" i="27"/>
  <c r="I8" i="27"/>
  <c r="I7" i="27"/>
  <c r="I6" i="27"/>
  <c r="I5" i="27"/>
  <c r="H18" i="26"/>
  <c r="F18" i="26"/>
  <c r="I17" i="26"/>
  <c r="H11" i="26"/>
  <c r="F11" i="26"/>
  <c r="I11" i="26" s="1"/>
  <c r="I10" i="26"/>
  <c r="I9" i="26"/>
  <c r="I8" i="26"/>
  <c r="I7" i="26"/>
  <c r="I6" i="26"/>
  <c r="I5" i="26"/>
  <c r="H12" i="25"/>
  <c r="F12" i="25"/>
  <c r="I11" i="25"/>
  <c r="I10" i="25"/>
  <c r="I9" i="25"/>
  <c r="I8" i="25"/>
  <c r="I7" i="25"/>
  <c r="I6" i="25"/>
  <c r="I5" i="25"/>
  <c r="H9" i="24"/>
  <c r="F9" i="24"/>
  <c r="I8" i="24"/>
  <c r="I7" i="24"/>
  <c r="I6" i="24"/>
  <c r="I5" i="24"/>
  <c r="I49" i="23"/>
  <c r="F50" i="23"/>
  <c r="H50" i="23"/>
  <c r="I50" i="23" s="1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H43" i="23"/>
  <c r="F43" i="23"/>
  <c r="I42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H23" i="21"/>
  <c r="F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H28" i="20"/>
  <c r="F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H24" i="19"/>
  <c r="F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H98" i="18"/>
  <c r="F98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H47" i="16"/>
  <c r="F47" i="16"/>
  <c r="I46" i="16"/>
  <c r="I45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H52" i="14"/>
  <c r="F52" i="14"/>
  <c r="I51" i="14"/>
  <c r="I50" i="14"/>
  <c r="H44" i="14"/>
  <c r="F44" i="14"/>
  <c r="I43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27" i="12"/>
  <c r="I28" i="12"/>
  <c r="I29" i="12"/>
  <c r="I30" i="12"/>
  <c r="H32" i="12"/>
  <c r="F32" i="12"/>
  <c r="I31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27" i="11"/>
  <c r="I28" i="11"/>
  <c r="I29" i="11"/>
  <c r="I30" i="11"/>
  <c r="I31" i="11"/>
  <c r="I32" i="11"/>
  <c r="I33" i="11"/>
  <c r="I34" i="11"/>
  <c r="I35" i="11"/>
  <c r="I36" i="11"/>
  <c r="I37" i="11"/>
  <c r="I38" i="11"/>
  <c r="H40" i="11"/>
  <c r="F40" i="11"/>
  <c r="I39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H15" i="10"/>
  <c r="F15" i="10"/>
  <c r="I14" i="10"/>
  <c r="I13" i="10"/>
  <c r="I12" i="10"/>
  <c r="I11" i="10"/>
  <c r="I10" i="10"/>
  <c r="I9" i="10"/>
  <c r="I8" i="10"/>
  <c r="I7" i="10"/>
  <c r="I6" i="10"/>
  <c r="I5" i="10"/>
  <c r="H18" i="9"/>
  <c r="F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H31" i="8"/>
  <c r="F31" i="8"/>
  <c r="I30" i="8"/>
  <c r="H24" i="8"/>
  <c r="F24" i="8"/>
  <c r="I24" i="8" s="1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H18" i="7"/>
  <c r="F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H53" i="6"/>
  <c r="F53" i="6"/>
  <c r="I52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H16" i="3"/>
  <c r="F16" i="3"/>
  <c r="I15" i="3"/>
  <c r="I14" i="3"/>
  <c r="I13" i="3"/>
  <c r="I12" i="3"/>
  <c r="I11" i="3"/>
  <c r="I10" i="3"/>
  <c r="I9" i="3"/>
  <c r="I8" i="3"/>
  <c r="I7" i="3"/>
  <c r="I6" i="3"/>
  <c r="I5" i="3"/>
  <c r="I35" i="2"/>
  <c r="I34" i="2"/>
  <c r="H36" i="2"/>
  <c r="I36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5" i="2"/>
  <c r="H28" i="2"/>
  <c r="I28" i="2" s="1"/>
  <c r="F36" i="2"/>
  <c r="F28" i="2"/>
  <c r="I27" i="66" l="1"/>
  <c r="I20" i="66"/>
  <c r="I35" i="65"/>
  <c r="I7" i="64"/>
  <c r="I16" i="63"/>
  <c r="I25" i="62"/>
  <c r="I22" i="61"/>
  <c r="I15" i="60"/>
  <c r="I28" i="59"/>
  <c r="I117" i="58"/>
  <c r="I125" i="58"/>
  <c r="I23" i="56"/>
  <c r="I16" i="55"/>
  <c r="I6" i="54"/>
  <c r="I19" i="53"/>
  <c r="I10" i="52"/>
  <c r="I11" i="51"/>
  <c r="I8" i="50"/>
  <c r="I60" i="49"/>
  <c r="I67" i="49"/>
  <c r="I36" i="48"/>
  <c r="I141" i="32"/>
  <c r="I47" i="47"/>
  <c r="I54" i="47"/>
  <c r="I39" i="46"/>
  <c r="I32" i="46"/>
  <c r="I46" i="45"/>
  <c r="I41" i="43"/>
  <c r="I48" i="43"/>
  <c r="I24" i="42"/>
  <c r="I17" i="42"/>
  <c r="I42" i="41"/>
  <c r="I32" i="40"/>
  <c r="I28" i="39"/>
  <c r="I45" i="38"/>
  <c r="I51" i="37"/>
  <c r="I56" i="35"/>
  <c r="I36" i="36"/>
  <c r="I44" i="36"/>
  <c r="I60" i="34"/>
  <c r="I31" i="31"/>
  <c r="I13" i="30"/>
  <c r="I12" i="28"/>
  <c r="I14" i="27"/>
  <c r="I18" i="26"/>
  <c r="I12" i="25"/>
  <c r="I9" i="24"/>
  <c r="I43" i="23"/>
  <c r="I23" i="21"/>
  <c r="I28" i="20"/>
  <c r="I24" i="19"/>
  <c r="I98" i="18"/>
  <c r="I47" i="16"/>
  <c r="I52" i="14"/>
  <c r="I44" i="14"/>
  <c r="I32" i="12"/>
  <c r="I40" i="11"/>
  <c r="I15" i="10"/>
  <c r="I18" i="9"/>
  <c r="I31" i="8"/>
  <c r="I18" i="7"/>
  <c r="I53" i="6"/>
  <c r="I16" i="3"/>
</calcChain>
</file>

<file path=xl/sharedStrings.xml><?xml version="1.0" encoding="utf-8"?>
<sst xmlns="http://schemas.openxmlformats.org/spreadsheetml/2006/main" count="7061" uniqueCount="3805">
  <si>
    <t>Nr.</t>
  </si>
  <si>
    <t>Kodi</t>
  </si>
  <si>
    <t>BRU - 3</t>
  </si>
  <si>
    <t>BRU - 13</t>
  </si>
  <si>
    <t xml:space="preserve">Bilçe </t>
  </si>
  <si>
    <t>BRU - 31</t>
  </si>
  <si>
    <t>Qaf - Hoxhaj - Uznove kanal</t>
  </si>
  <si>
    <t>BRU - 10</t>
  </si>
  <si>
    <t xml:space="preserve">Sadovice </t>
  </si>
  <si>
    <t>BRU - 12</t>
  </si>
  <si>
    <t xml:space="preserve">Duhanas </t>
  </si>
  <si>
    <t>BRU - 27</t>
  </si>
  <si>
    <t xml:space="preserve">Ullinjas </t>
  </si>
  <si>
    <t>BRU - 30</t>
  </si>
  <si>
    <t>Starove - Remanice kanal</t>
  </si>
  <si>
    <t xml:space="preserve">Berat-Kucove </t>
  </si>
  <si>
    <t>BRU - 2</t>
  </si>
  <si>
    <t>BRU - 9</t>
  </si>
  <si>
    <t xml:space="preserve">Mbreshtan </t>
  </si>
  <si>
    <t>BRU - 7</t>
  </si>
  <si>
    <t xml:space="preserve">Mbjeshove </t>
  </si>
  <si>
    <t>BRU - 23</t>
  </si>
  <si>
    <t xml:space="preserve">Roshnik </t>
  </si>
  <si>
    <t>BRU-Lap</t>
  </si>
  <si>
    <t>Lapardha 1 &amp; 2</t>
  </si>
  <si>
    <t>Belesove</t>
  </si>
  <si>
    <t>BRU - 8</t>
  </si>
  <si>
    <t xml:space="preserve">Mbolan </t>
  </si>
  <si>
    <t>BRU - 26</t>
  </si>
  <si>
    <t xml:space="preserve">Uznove </t>
  </si>
  <si>
    <t>BRU -Bal</t>
  </si>
  <si>
    <t>Balta kuqe</t>
  </si>
  <si>
    <t>BRU -Ull</t>
  </si>
  <si>
    <t>Ullinjas &amp; Dyshnik</t>
  </si>
  <si>
    <t>BRU -Dush</t>
  </si>
  <si>
    <t>Dyshnik</t>
  </si>
  <si>
    <t>BRU - 25</t>
  </si>
  <si>
    <t xml:space="preserve">Starove </t>
  </si>
  <si>
    <t>BRU - 40</t>
  </si>
  <si>
    <t>Bilça stacion pompimi 1</t>
  </si>
  <si>
    <t>BRU - 43</t>
  </si>
  <si>
    <t>Velabisht stacion pompimi</t>
  </si>
  <si>
    <t>BRU - 44</t>
  </si>
  <si>
    <t>Veterik stacion pompimi</t>
  </si>
  <si>
    <t>BRU - 45</t>
  </si>
  <si>
    <t>Osmanzeze stacion pompimi</t>
  </si>
  <si>
    <t>BRU-V1</t>
  </si>
  <si>
    <t>Zagore  Spring</t>
  </si>
  <si>
    <t>BRU-V2</t>
  </si>
  <si>
    <t>Cermelias Field</t>
  </si>
  <si>
    <t>BRU-V5</t>
  </si>
  <si>
    <t>Sineç Branch</t>
  </si>
  <si>
    <t>BRU - 22</t>
  </si>
  <si>
    <t xml:space="preserve">Sheqez </t>
  </si>
  <si>
    <t>BRU-V3</t>
  </si>
  <si>
    <t>Saraselit Spring</t>
  </si>
  <si>
    <t>Saraselit</t>
  </si>
  <si>
    <t>BRU-V4</t>
  </si>
  <si>
    <t>Dokollare field</t>
  </si>
  <si>
    <t>BRU-V6</t>
  </si>
  <si>
    <t>Bardhaj - Shegez</t>
  </si>
  <si>
    <t>BRU-V7</t>
  </si>
  <si>
    <t>Vodez - Çiflik</t>
  </si>
  <si>
    <t>KVU - 2</t>
  </si>
  <si>
    <t>Perondi Field by Berat - Ure Kuc</t>
  </si>
  <si>
    <t>KVU - 3</t>
  </si>
  <si>
    <t>Gege Reservoir</t>
  </si>
  <si>
    <t>Rezervuar + Stp.</t>
  </si>
  <si>
    <t>KVU - 1</t>
  </si>
  <si>
    <t>Kozara Field by Banja H.P.S</t>
  </si>
  <si>
    <t>Lume Devoll + stp</t>
  </si>
  <si>
    <t>KVU - 6</t>
  </si>
  <si>
    <t>Kozare + Fier mimar Field</t>
  </si>
  <si>
    <t>Fier Mimar rezervuar</t>
  </si>
  <si>
    <t>KVU - 4</t>
  </si>
  <si>
    <t>Gege stacion pompimi 2 &amp; 3</t>
  </si>
  <si>
    <t>Stp.</t>
  </si>
  <si>
    <t>KVU - 5</t>
  </si>
  <si>
    <t>Vlashuk stacion pompimi 2</t>
  </si>
  <si>
    <t>Polican</t>
  </si>
  <si>
    <t>BRU - 6</t>
  </si>
  <si>
    <t>Terpan</t>
  </si>
  <si>
    <t>BRU - 5</t>
  </si>
  <si>
    <t xml:space="preserve">Vokopole </t>
  </si>
  <si>
    <t>BRU - 28</t>
  </si>
  <si>
    <t xml:space="preserve">Terpan </t>
  </si>
  <si>
    <t>Rezervuar  Terpan</t>
  </si>
  <si>
    <t>BRU - 11</t>
  </si>
  <si>
    <t xml:space="preserve">Bove </t>
  </si>
  <si>
    <t>BRU - 24</t>
  </si>
  <si>
    <t>Paraspuar</t>
  </si>
  <si>
    <t>BRU - 32</t>
  </si>
  <si>
    <t>Vodice stp</t>
  </si>
  <si>
    <t>BRU - 33</t>
  </si>
  <si>
    <t>Fush Peshtan stacion pompimi 1</t>
  </si>
  <si>
    <t>BRU - 34</t>
  </si>
  <si>
    <t>Fush Peshtan stacion pompimi 2</t>
  </si>
  <si>
    <t>BRU - 35</t>
  </si>
  <si>
    <t>Fush Peshtan stacion pompimi 3</t>
  </si>
  <si>
    <t>BRU - 36</t>
  </si>
  <si>
    <t>Vertop stacion pompimi</t>
  </si>
  <si>
    <t>BRU - 37</t>
  </si>
  <si>
    <t>Mbrakull stacion pompimi 1</t>
  </si>
  <si>
    <t>BRU - 38</t>
  </si>
  <si>
    <t>Mbrakull stacion pompimi 2</t>
  </si>
  <si>
    <t>BRU - 39</t>
  </si>
  <si>
    <t>Tomor stacion pompimi</t>
  </si>
  <si>
    <t>BRU - 46</t>
  </si>
  <si>
    <t>Uji Zi stacion pompimi</t>
  </si>
  <si>
    <t>SKU - 25</t>
  </si>
  <si>
    <t>Pronovik stacion pompimi</t>
  </si>
  <si>
    <t>SKU - 29</t>
  </si>
  <si>
    <t>Bogova stacion pompimi 1 &amp; 2</t>
  </si>
  <si>
    <t>BRU - 49</t>
  </si>
  <si>
    <t>Panarit stacion pompimi</t>
  </si>
  <si>
    <t>SKU - 48</t>
  </si>
  <si>
    <t>Gjerbez</t>
  </si>
  <si>
    <t>SKU - 5</t>
  </si>
  <si>
    <t>Vendreshe reservoir</t>
  </si>
  <si>
    <t>Rezervuar</t>
  </si>
  <si>
    <t>SKU - 49</t>
  </si>
  <si>
    <t>Zaloshnje</t>
  </si>
  <si>
    <t>SKU - 7</t>
  </si>
  <si>
    <t>Mollas reservoir</t>
  </si>
  <si>
    <t>SKU - 3</t>
  </si>
  <si>
    <t>Liqedh reservoir</t>
  </si>
  <si>
    <t>SKU - 23</t>
  </si>
  <si>
    <t>Koprencke reservoir 1</t>
  </si>
  <si>
    <t>SKU - 9</t>
  </si>
  <si>
    <t>Kuc reservoir</t>
  </si>
  <si>
    <t>SKU - 2</t>
  </si>
  <si>
    <t>Rogut reservoir</t>
  </si>
  <si>
    <t>SKU - 11</t>
  </si>
  <si>
    <t>Staravecke reservoir</t>
  </si>
  <si>
    <t>SKU - 13</t>
  </si>
  <si>
    <t>Sevrani reservoir</t>
  </si>
  <si>
    <t>SKU - 22</t>
  </si>
  <si>
    <t>Potom reservoir</t>
  </si>
  <si>
    <t>SKU - 12</t>
  </si>
  <si>
    <t>Nishice reservoir</t>
  </si>
  <si>
    <t>SKU - 24</t>
  </si>
  <si>
    <t>Koprencke reservoir 2</t>
  </si>
  <si>
    <t>SKU - 6</t>
  </si>
  <si>
    <t>Therepel reservoir</t>
  </si>
  <si>
    <t>SKU - 4</t>
  </si>
  <si>
    <t>Muzhnecke reservoir</t>
  </si>
  <si>
    <t>SKU - 10</t>
  </si>
  <si>
    <t>Qafe Shelg reservoir</t>
  </si>
  <si>
    <t>SKU - 1</t>
  </si>
  <si>
    <t>Prishte reservoir</t>
  </si>
  <si>
    <t>SKU - 8</t>
  </si>
  <si>
    <t>Zhepe reservoir</t>
  </si>
  <si>
    <t>SKU - 14</t>
  </si>
  <si>
    <t>N.B. reservoir 1</t>
  </si>
  <si>
    <t>SKU - 15</t>
  </si>
  <si>
    <t>N.B. reservoir 2</t>
  </si>
  <si>
    <t>SKU - 16</t>
  </si>
  <si>
    <t>Dores reservoir</t>
  </si>
  <si>
    <t>SKU - 17</t>
  </si>
  <si>
    <t>Qeshibec reservoir</t>
  </si>
  <si>
    <t>SKU - 18</t>
  </si>
  <si>
    <t>Strenec reservoir</t>
  </si>
  <si>
    <t>SKU - 19</t>
  </si>
  <si>
    <t>Malind reservoir</t>
  </si>
  <si>
    <t>SKU - 20</t>
  </si>
  <si>
    <t>Polonice reservoir</t>
  </si>
  <si>
    <t>SKU - 21</t>
  </si>
  <si>
    <t>Kalanjas reservoir</t>
  </si>
  <si>
    <t>SKU - Qaf</t>
  </si>
  <si>
    <t>Qafa 1</t>
  </si>
  <si>
    <t>SKU - 26</t>
  </si>
  <si>
    <t>Ustinje stacion pompimi</t>
  </si>
  <si>
    <t>SKU - 27</t>
  </si>
  <si>
    <t>Plirez stacion pompimi</t>
  </si>
  <si>
    <t>SKU - 28</t>
  </si>
  <si>
    <t>Jaupas stacion pompimi</t>
  </si>
  <si>
    <t>SKU - 30</t>
  </si>
  <si>
    <t>Kakruke stacion pompimi</t>
  </si>
  <si>
    <t>SKU - 31</t>
  </si>
  <si>
    <t>Buzuqe stacion pompimi</t>
  </si>
  <si>
    <t>SKU - 32</t>
  </si>
  <si>
    <t>Strore stacion pompimi</t>
  </si>
  <si>
    <t>SKU - 33</t>
  </si>
  <si>
    <t>Orizaj stacion pompimi</t>
  </si>
  <si>
    <t>SKU - 35</t>
  </si>
  <si>
    <t>Malind stacion pompimi</t>
  </si>
  <si>
    <t>SKU - 36</t>
  </si>
  <si>
    <t>Velesh stacion pompimi</t>
  </si>
  <si>
    <t>SKU - 37</t>
  </si>
  <si>
    <t>Corovode stacion pompimi</t>
  </si>
  <si>
    <t>SKU - 38</t>
  </si>
  <si>
    <t>Vlushe stacion pompimi</t>
  </si>
  <si>
    <t>SKU - 39</t>
  </si>
  <si>
    <t>Dobrenj stacion pompimi</t>
  </si>
  <si>
    <t>SKU - 40</t>
  </si>
  <si>
    <t>Gjuhe stacion pompimi</t>
  </si>
  <si>
    <t>SKU - 41</t>
  </si>
  <si>
    <t>Bigas stacion pompimi</t>
  </si>
  <si>
    <t>SKU - 42</t>
  </si>
  <si>
    <t>Blezence stacion pompimi</t>
  </si>
  <si>
    <t>SKU - 43</t>
  </si>
  <si>
    <t>Lapan stacion pompimi</t>
  </si>
  <si>
    <t>SKU - 44</t>
  </si>
  <si>
    <t>Kapinove kanal</t>
  </si>
  <si>
    <t>SKU - 45</t>
  </si>
  <si>
    <t>Blerime kanal</t>
  </si>
  <si>
    <t>SKU - 46</t>
  </si>
  <si>
    <t>Gurazez kanal</t>
  </si>
  <si>
    <t>SKU - 47</t>
  </si>
  <si>
    <t>Dobrenj kanal</t>
  </si>
  <si>
    <t>BRU - 4</t>
  </si>
  <si>
    <t>Gorican stp</t>
  </si>
  <si>
    <t>BRU - 1</t>
  </si>
  <si>
    <t xml:space="preserve">Gorican </t>
  </si>
  <si>
    <t>BRU - 15</t>
  </si>
  <si>
    <t xml:space="preserve">Manastir </t>
  </si>
  <si>
    <t>BRU - 20</t>
  </si>
  <si>
    <t xml:space="preserve">Allambrez </t>
  </si>
  <si>
    <t>BRU - 17</t>
  </si>
  <si>
    <t xml:space="preserve">Protoduar </t>
  </si>
  <si>
    <t>BRU - 19</t>
  </si>
  <si>
    <t xml:space="preserve">Mal - Thike </t>
  </si>
  <si>
    <t>BRU - 16</t>
  </si>
  <si>
    <t xml:space="preserve">Slanice </t>
  </si>
  <si>
    <t>BRU - 21</t>
  </si>
  <si>
    <t xml:space="preserve">Gorican 2 </t>
  </si>
  <si>
    <t>BRU - 18</t>
  </si>
  <si>
    <t xml:space="preserve">Sqepur </t>
  </si>
  <si>
    <t>BRU - 41</t>
  </si>
  <si>
    <t>Hinge stacion pompimi</t>
  </si>
  <si>
    <t>Lume ( Seman )</t>
  </si>
  <si>
    <t>BRU - 42</t>
  </si>
  <si>
    <t>Kuç stacion pompimi</t>
  </si>
  <si>
    <t>BRU - 51</t>
  </si>
  <si>
    <t>Drenovice stacion pompimi</t>
  </si>
  <si>
    <t>SKU - 34</t>
  </si>
  <si>
    <t>Munushtir stacion pompimi 1 &amp; 2</t>
  </si>
  <si>
    <t>DRU - 2</t>
  </si>
  <si>
    <t>Hardhisht - Xhafzotaj - Shijak - Sukth - Rrushbull - Jube</t>
  </si>
  <si>
    <t>DRU - 1</t>
  </si>
  <si>
    <t>Hamallaj - Rrotull - Rushkull</t>
  </si>
  <si>
    <t>DRU - 8</t>
  </si>
  <si>
    <t>Rade Reservoir 1</t>
  </si>
  <si>
    <t>Reservuar</t>
  </si>
  <si>
    <t>DRU - 9</t>
  </si>
  <si>
    <t>Rade Reservoir 2</t>
  </si>
  <si>
    <t>DRU - Shen</t>
  </si>
  <si>
    <t>Shenpjetri</t>
  </si>
  <si>
    <t>DRU - Ara</t>
  </si>
  <si>
    <t>Arapaj 2</t>
  </si>
  <si>
    <t>DRU - 14</t>
  </si>
  <si>
    <t>Manskuri Vogel Reservoir</t>
  </si>
  <si>
    <t>DRU - 15</t>
  </si>
  <si>
    <t>Bozanxhie Reservoir</t>
  </si>
  <si>
    <t>DRU - 16</t>
  </si>
  <si>
    <t>Romanat Reservoir</t>
  </si>
  <si>
    <t>DRU - 17</t>
  </si>
  <si>
    <t>Memaj Reservoir</t>
  </si>
  <si>
    <t>DRU - 19</t>
  </si>
  <si>
    <t>Arapaj Reservoir</t>
  </si>
  <si>
    <t>DRU - 20</t>
  </si>
  <si>
    <t>Shkallnur Reservoir</t>
  </si>
  <si>
    <t>DRU - 21</t>
  </si>
  <si>
    <t>Spitall Reservoir 1</t>
  </si>
  <si>
    <t>DRU - 22</t>
  </si>
  <si>
    <t>Spitall Reservoir 2</t>
  </si>
  <si>
    <t>DRU - 23</t>
  </si>
  <si>
    <t>Ishem Reservoir</t>
  </si>
  <si>
    <t>DRU - 27</t>
  </si>
  <si>
    <t>Plepa stacion pompimi</t>
  </si>
  <si>
    <t>Stp</t>
  </si>
  <si>
    <t>DRU - 33</t>
  </si>
  <si>
    <t>Rrashbull 1</t>
  </si>
  <si>
    <t>DRU - 34</t>
  </si>
  <si>
    <t>Rrashbull 2</t>
  </si>
  <si>
    <t>DRU - 35</t>
  </si>
  <si>
    <t xml:space="preserve">Shkallnur  </t>
  </si>
  <si>
    <t>DRU - 36</t>
  </si>
  <si>
    <t>Xhafzotaj</t>
  </si>
  <si>
    <t>KRU - 8</t>
  </si>
  <si>
    <t>Bacungu - Dallake Reservoir</t>
  </si>
  <si>
    <t>KRU - 6</t>
  </si>
  <si>
    <t xml:space="preserve">Tapize </t>
  </si>
  <si>
    <t>KRU - 1</t>
  </si>
  <si>
    <t xml:space="preserve">Thumana </t>
  </si>
  <si>
    <t>KRU - 3</t>
  </si>
  <si>
    <t>Micjan - Lekaj</t>
  </si>
  <si>
    <t>KRU - 7</t>
  </si>
  <si>
    <t>Vrion</t>
  </si>
  <si>
    <t>KRU - 5</t>
  </si>
  <si>
    <t>Bubq</t>
  </si>
  <si>
    <t>KRU - 9</t>
  </si>
  <si>
    <t>Pengile 1 + 2</t>
  </si>
  <si>
    <t>KRU - 11</t>
  </si>
  <si>
    <t xml:space="preserve">Shkalle </t>
  </si>
  <si>
    <t xml:space="preserve">Fire </t>
  </si>
  <si>
    <t>KRU - 2</t>
  </si>
  <si>
    <t>Thumane me stp</t>
  </si>
  <si>
    <t>KRU - 4</t>
  </si>
  <si>
    <t>Gramez - Derven</t>
  </si>
  <si>
    <t>KRU - 10</t>
  </si>
  <si>
    <t>Bura</t>
  </si>
  <si>
    <t>KRU - 12</t>
  </si>
  <si>
    <t>Kanalet malore</t>
  </si>
  <si>
    <t>Burime</t>
  </si>
  <si>
    <t>DRU - 5</t>
  </si>
  <si>
    <t>Karpen Metalla Reservoir</t>
  </si>
  <si>
    <t>DRU - 6</t>
  </si>
  <si>
    <t>Bilalas Reservoir</t>
  </si>
  <si>
    <t>DRU - 7</t>
  </si>
  <si>
    <t>Karec Reservoir</t>
  </si>
  <si>
    <t>DRU - 24</t>
  </si>
  <si>
    <t>Koxhas Helmes</t>
  </si>
  <si>
    <t>DRU - Shet</t>
  </si>
  <si>
    <t>Shetel</t>
  </si>
  <si>
    <t>DRU - 10</t>
  </si>
  <si>
    <t>Lagje Popullore Reservoir</t>
  </si>
  <si>
    <t>DRU - 11</t>
  </si>
  <si>
    <t>Gjepale Reservoir</t>
  </si>
  <si>
    <t>DRU - 12</t>
  </si>
  <si>
    <t>Shtraze Reservoir</t>
  </si>
  <si>
    <t>DRU - 13</t>
  </si>
  <si>
    <t>Cizmeli Reservoir</t>
  </si>
  <si>
    <t>DRU - 18</t>
  </si>
  <si>
    <t>Pjeze Reservoir</t>
  </si>
  <si>
    <t>Belesh</t>
  </si>
  <si>
    <t>ELU(B) -7</t>
  </si>
  <si>
    <t xml:space="preserve">Rezervuari Trojas </t>
  </si>
  <si>
    <t>ELU(B) -12</t>
  </si>
  <si>
    <t xml:space="preserve">KU.Rezervuar Plevice </t>
  </si>
  <si>
    <t>ELU(B) - 28</t>
  </si>
  <si>
    <t xml:space="preserve">Kanal ujites  Gjuetise </t>
  </si>
  <si>
    <t>ELU(B) -17</t>
  </si>
  <si>
    <t xml:space="preserve">KU.Rez. Metaj  </t>
  </si>
  <si>
    <t>ELU(B) - 30</t>
  </si>
  <si>
    <t xml:space="preserve">Kanal ujites Mujillize </t>
  </si>
  <si>
    <t>ELU/B - 3</t>
  </si>
  <si>
    <t xml:space="preserve">Kanali ujites Marine </t>
  </si>
  <si>
    <t>Rezervuri Marine</t>
  </si>
  <si>
    <t>ELU/B - 2</t>
  </si>
  <si>
    <t>Kanali Ujites Çestie</t>
  </si>
  <si>
    <t>ELU(B) -9</t>
  </si>
  <si>
    <t>KU Stp Seferan Nr. 1</t>
  </si>
  <si>
    <t>ELU(B) -8</t>
  </si>
  <si>
    <t>KU Stp Perroi Zi Nr. 7</t>
  </si>
  <si>
    <t>ELU(B) -6</t>
  </si>
  <si>
    <t>KU Stp Belesh Nr. 2</t>
  </si>
  <si>
    <t>ELU(B) -5</t>
  </si>
  <si>
    <t>KU Stp Belesh Nr. 1</t>
  </si>
  <si>
    <t>ELU(B) -24</t>
  </si>
  <si>
    <t>KU Liqeni Cerrage</t>
  </si>
  <si>
    <t>ELU(B) -23</t>
  </si>
  <si>
    <t>KU Stp Cerrage</t>
  </si>
  <si>
    <t>ELU(B) -22</t>
  </si>
  <si>
    <t>KU Stp  Dege</t>
  </si>
  <si>
    <t>ELU(B) -21</t>
  </si>
  <si>
    <t>KU Stp Nr.16</t>
  </si>
  <si>
    <t>ELU(B) -20</t>
  </si>
  <si>
    <t>KU Stp Nr 13</t>
  </si>
  <si>
    <t>ELU(B) -19</t>
  </si>
  <si>
    <t>KU Stp  Merhoje  Nr 12</t>
  </si>
  <si>
    <t>ELU(B) -18</t>
  </si>
  <si>
    <t xml:space="preserve">KU Stp Gjaze </t>
  </si>
  <si>
    <t>ELU(B) -16</t>
  </si>
  <si>
    <t xml:space="preserve">KU Stp Pajalli </t>
  </si>
  <si>
    <t>ELU(B) -15</t>
  </si>
  <si>
    <t xml:space="preserve">KU Stp Paraske Ibez </t>
  </si>
  <si>
    <t>ELU(B) -14</t>
  </si>
  <si>
    <t xml:space="preserve">KU Stp Hysgjokaj </t>
  </si>
  <si>
    <t>Rezervuari I Hysgjokaj</t>
  </si>
  <si>
    <t>ELU(B) -13</t>
  </si>
  <si>
    <t xml:space="preserve">KU Stp GJjoI I  Kuq </t>
  </si>
  <si>
    <t>Liqen i Gjoli I Kuq</t>
  </si>
  <si>
    <t>ELU(B) -11</t>
  </si>
  <si>
    <t>KU Stp Seferan Nr.3</t>
  </si>
  <si>
    <t>ELU(B) -10</t>
  </si>
  <si>
    <t>KU Stp Seferan Nr. 2</t>
  </si>
  <si>
    <t>ELU(B) - 48</t>
  </si>
  <si>
    <t>Kanal ujites Deshiran</t>
  </si>
  <si>
    <t>Lumi Devoll</t>
  </si>
  <si>
    <t>ELU(B) - 38</t>
  </si>
  <si>
    <t xml:space="preserve">Kanal ujites Forca Turbull </t>
  </si>
  <si>
    <t>Liqen i Forca Turbull</t>
  </si>
  <si>
    <t>ELU(B) - 37</t>
  </si>
  <si>
    <t xml:space="preserve">Kanal ujites Gjoli I gjate </t>
  </si>
  <si>
    <t>Liqen Gjoli I Gjate</t>
  </si>
  <si>
    <t>ELU(B) - 36</t>
  </si>
  <si>
    <t xml:space="preserve">Kanal ujites Shtith </t>
  </si>
  <si>
    <t>ELU(B) - 35</t>
  </si>
  <si>
    <t xml:space="preserve">Kanal ujites Forca Paci </t>
  </si>
  <si>
    <t>Liqen Forca e Pacit</t>
  </si>
  <si>
    <t>ELU(B) - 34</t>
  </si>
  <si>
    <t xml:space="preserve">Kanal ujites Xhiglozi </t>
  </si>
  <si>
    <t>ELU(B) - 33</t>
  </si>
  <si>
    <t xml:space="preserve">Kanal ujites Likut </t>
  </si>
  <si>
    <t>ELU(B) - 32</t>
  </si>
  <si>
    <t xml:space="preserve">KU.Rez.Pularis </t>
  </si>
  <si>
    <t>ELU(B) - 31</t>
  </si>
  <si>
    <t xml:space="preserve">KU.Rez. Deshiran </t>
  </si>
  <si>
    <t>ELU(B) - 26</t>
  </si>
  <si>
    <t xml:space="preserve">KU Stp  Gjoli Prifti  </t>
  </si>
  <si>
    <t>ELU(B) - 25</t>
  </si>
  <si>
    <t xml:space="preserve">KU Stp  Sejmenice  </t>
  </si>
  <si>
    <t>Cerrik</t>
  </si>
  <si>
    <t xml:space="preserve">ELU 1 -3 </t>
  </si>
  <si>
    <t>Kanale Ujites Rez Shales</t>
  </si>
  <si>
    <t>ELU - 53</t>
  </si>
  <si>
    <t>Kanal Rema Shtermen</t>
  </si>
  <si>
    <t>ELU - 3</t>
  </si>
  <si>
    <t>Kanal ujites Sulove</t>
  </si>
  <si>
    <t>ELU(B) -4</t>
  </si>
  <si>
    <t xml:space="preserve">KU.Rez. Xherije </t>
  </si>
  <si>
    <t>ELU - 40</t>
  </si>
  <si>
    <t xml:space="preserve">KU.Rez. Cerrik </t>
  </si>
  <si>
    <t>ELU - 45</t>
  </si>
  <si>
    <t xml:space="preserve">Kanal ujites Gostime </t>
  </si>
  <si>
    <t>Perroi Gostime</t>
  </si>
  <si>
    <t>ELU - 54</t>
  </si>
  <si>
    <t xml:space="preserve">Kanal ujites Mollas </t>
  </si>
  <si>
    <t>ELU - 20</t>
  </si>
  <si>
    <t xml:space="preserve">KU.Rez. Shtermen </t>
  </si>
  <si>
    <t>ELU(B) - 47</t>
  </si>
  <si>
    <t>Kanal ujites Shales</t>
  </si>
  <si>
    <t>ELU(B) - 42</t>
  </si>
  <si>
    <t xml:space="preserve">Kanal ujites Bicit </t>
  </si>
  <si>
    <t>ELU(B) - 41</t>
  </si>
  <si>
    <t xml:space="preserve">Kanal ujites  Katund  </t>
  </si>
  <si>
    <t>ELU(B) - 40</t>
  </si>
  <si>
    <t xml:space="preserve">Kanal ujites  Kozhe  </t>
  </si>
  <si>
    <t>ELU(B) - 27</t>
  </si>
  <si>
    <t xml:space="preserve">Kanal ujites  Gjolit  </t>
  </si>
  <si>
    <t>ELU(B) - 39</t>
  </si>
  <si>
    <t xml:space="preserve">Kanal ujites  Kamnec  </t>
  </si>
  <si>
    <t>ELU(B) - 45</t>
  </si>
  <si>
    <t xml:space="preserve">Kanal ujites  Ulez  </t>
  </si>
  <si>
    <t>ELU(B) - 44</t>
  </si>
  <si>
    <t xml:space="preserve">Kanal ujites Gode </t>
  </si>
  <si>
    <t>ELU(B) - 29</t>
  </si>
  <si>
    <t xml:space="preserve">Kanal ujites Dorbi </t>
  </si>
  <si>
    <t>ELU - 6</t>
  </si>
  <si>
    <t xml:space="preserve">KU Stp Xibrake </t>
  </si>
  <si>
    <t>Lume ( Shkumbin )</t>
  </si>
  <si>
    <t>ELU(B) - 43</t>
  </si>
  <si>
    <t xml:space="preserve">Kanal ujites Millosh </t>
  </si>
  <si>
    <t>ELU(B) - 46</t>
  </si>
  <si>
    <t>Kanal ujites Cartalloz</t>
  </si>
  <si>
    <t>ELU - 52</t>
  </si>
  <si>
    <t xml:space="preserve">Kanal ujites Klos </t>
  </si>
  <si>
    <t>ELU - 37</t>
  </si>
  <si>
    <t xml:space="preserve">KU.Rez. Topojan    </t>
  </si>
  <si>
    <t>ELU - 18</t>
  </si>
  <si>
    <t>KU Stp Floq Nr. 2</t>
  </si>
  <si>
    <t>ELU - 16</t>
  </si>
  <si>
    <t xml:space="preserve">KU Stp Devoll  </t>
  </si>
  <si>
    <t>ELU - 15</t>
  </si>
  <si>
    <t xml:space="preserve">KU Stp  Leproz  </t>
  </si>
  <si>
    <t>ELU - 14</t>
  </si>
  <si>
    <t xml:space="preserve">KU Stp  Shtepanj    </t>
  </si>
  <si>
    <t>ELU - 13</t>
  </si>
  <si>
    <t xml:space="preserve">KU Stp  Banje  </t>
  </si>
  <si>
    <t xml:space="preserve">ELU 1 -2 </t>
  </si>
  <si>
    <t>Kanali Ujites Naun Panxhi</t>
  </si>
  <si>
    <t xml:space="preserve">Lumi Shkumbin  </t>
  </si>
  <si>
    <t xml:space="preserve">ELU 1 -1 </t>
  </si>
  <si>
    <t>Kanali Ujites Ferras</t>
  </si>
  <si>
    <t>ELU - 4</t>
  </si>
  <si>
    <t>KU.Zona Funar -Bradashesh</t>
  </si>
  <si>
    <t xml:space="preserve">Rezervuaret e  Funarit  </t>
  </si>
  <si>
    <t>ELU - 47</t>
  </si>
  <si>
    <t xml:space="preserve">Kanali ujites Shushice </t>
  </si>
  <si>
    <t>Lumi Shkumbin</t>
  </si>
  <si>
    <t>ELU - 43</t>
  </si>
  <si>
    <t>Kanali ujites Rema Qytetit</t>
  </si>
  <si>
    <t>ELU - 8</t>
  </si>
  <si>
    <t xml:space="preserve">KU Stp Broshke </t>
  </si>
  <si>
    <t>ELU - 46</t>
  </si>
  <si>
    <t xml:space="preserve">Kanal ujites  Shmil </t>
  </si>
  <si>
    <t>Perroi Lugaxhi</t>
  </si>
  <si>
    <t>ELU - 21</t>
  </si>
  <si>
    <t xml:space="preserve">KU.Rez. Mlize </t>
  </si>
  <si>
    <t>Rezervur Mlize</t>
  </si>
  <si>
    <t>ELU - 50</t>
  </si>
  <si>
    <t xml:space="preserve">Kanal ujites  Bradashesh </t>
  </si>
  <si>
    <t>Perroi Kushe</t>
  </si>
  <si>
    <t>ELU - 44</t>
  </si>
  <si>
    <t xml:space="preserve">Kanal ujites Paper </t>
  </si>
  <si>
    <t>ELU - 42</t>
  </si>
  <si>
    <t xml:space="preserve">Kanal ujites Gracen </t>
  </si>
  <si>
    <t>Perroi i  Gracenit</t>
  </si>
  <si>
    <t>ELU - 34</t>
  </si>
  <si>
    <t xml:space="preserve">KU.Rez. Mamel </t>
  </si>
  <si>
    <t>Rezervuar ( Mamel )</t>
  </si>
  <si>
    <t>ELU - 33</t>
  </si>
  <si>
    <t xml:space="preserve">KU.Rez. Plangarice  </t>
  </si>
  <si>
    <t>Rezervuar ( Plangarice )</t>
  </si>
  <si>
    <t>ELU - 22</t>
  </si>
  <si>
    <t xml:space="preserve">KU.Rez. Kryezjarr  </t>
  </si>
  <si>
    <t>Rezervuar  ( Kryezjarr )</t>
  </si>
  <si>
    <t>ELU - 24</t>
  </si>
  <si>
    <t xml:space="preserve">KU.Rez.Kollogjesh </t>
  </si>
  <si>
    <t>Rezervuar ( Kollogjesh )</t>
  </si>
  <si>
    <t>ELU - 23</t>
  </si>
  <si>
    <t xml:space="preserve">KU.Rez. Mollagjesh </t>
  </si>
  <si>
    <t>Rezervuar  ( Mollagjesh )</t>
  </si>
  <si>
    <t>ELU - 38</t>
  </si>
  <si>
    <t xml:space="preserve">KU.Rez. Balez  </t>
  </si>
  <si>
    <t>Rezervuar ( Balez )</t>
  </si>
  <si>
    <t>ELU - 29</t>
  </si>
  <si>
    <t xml:space="preserve">KU.Rez. Qerret  </t>
  </si>
  <si>
    <t>Rezervuar ( Qerret )</t>
  </si>
  <si>
    <t>ELU - 25</t>
  </si>
  <si>
    <t xml:space="preserve">KU.Rez. Guri Zi  </t>
  </si>
  <si>
    <t>Rezervuar ( Guri Zi )</t>
  </si>
  <si>
    <t>ELU - 26</t>
  </si>
  <si>
    <t xml:space="preserve">KU.Rez. Prapanike  </t>
  </si>
  <si>
    <t>Rezervuar ( Prapanike )</t>
  </si>
  <si>
    <t>ELU - 36</t>
  </si>
  <si>
    <t xml:space="preserve">KU.Rez. Valsh  </t>
  </si>
  <si>
    <t>Rezervua. ( Valsh )</t>
  </si>
  <si>
    <t>ELU - 35</t>
  </si>
  <si>
    <t xml:space="preserve">KU.Rez. Gracen  </t>
  </si>
  <si>
    <t>Rezervua. ( Gracen )</t>
  </si>
  <si>
    <t>ELU - 17</t>
  </si>
  <si>
    <t>KU Rez Mamel</t>
  </si>
  <si>
    <t>Rezervuar ( Mamlit  )</t>
  </si>
  <si>
    <t>ELU - 32</t>
  </si>
  <si>
    <t xml:space="preserve">KU.Rez. Terbac  </t>
  </si>
  <si>
    <t>Rezervuar ( Terbac )</t>
  </si>
  <si>
    <t>ELU - 28</t>
  </si>
  <si>
    <t xml:space="preserve">KU.Rez. Griqan  </t>
  </si>
  <si>
    <t>Rezervuar ( Griqan )</t>
  </si>
  <si>
    <t>ELU - 30</t>
  </si>
  <si>
    <t xml:space="preserve">KU.Rez. Lugaxhi  </t>
  </si>
  <si>
    <t>Rezervuar ( Lugaxhi )</t>
  </si>
  <si>
    <t>ELU - 27</t>
  </si>
  <si>
    <t xml:space="preserve">KU.Rez. Labinot - Mal  </t>
  </si>
  <si>
    <t>Rezervuar ( Labinot )</t>
  </si>
  <si>
    <t>ELU-5</t>
  </si>
  <si>
    <t>Polis - Tudan</t>
  </si>
  <si>
    <t>Lume ( Gostime )</t>
  </si>
  <si>
    <t>ELU - 19</t>
  </si>
  <si>
    <t xml:space="preserve">KU.Rez.Tregan  </t>
  </si>
  <si>
    <t>Rezervuar ( Tregan )</t>
  </si>
  <si>
    <t>ELU - 2</t>
  </si>
  <si>
    <t>Labinot - Elbasan - Bradashesh</t>
  </si>
  <si>
    <t>ELU - 39</t>
  </si>
  <si>
    <t xml:space="preserve">KU.Rez. Nezhan  </t>
  </si>
  <si>
    <t>Rezervuar. ( Nezhan )</t>
  </si>
  <si>
    <t>ELU - 9</t>
  </si>
  <si>
    <t xml:space="preserve">KU Stp  Valas  </t>
  </si>
  <si>
    <t>ELU - 7</t>
  </si>
  <si>
    <t xml:space="preserve">KU Stp  Murras  </t>
  </si>
  <si>
    <t>ELU - 51</t>
  </si>
  <si>
    <t xml:space="preserve">Kanal ujites Shirgjan </t>
  </si>
  <si>
    <t>Perroi Llixhe</t>
  </si>
  <si>
    <t>ELU - 49</t>
  </si>
  <si>
    <t xml:space="preserve">Kanal ujites Gjinar </t>
  </si>
  <si>
    <t>Perroi Derstile</t>
  </si>
  <si>
    <t>ELU - 48</t>
  </si>
  <si>
    <t>Zavaline Komune kanal</t>
  </si>
  <si>
    <t>Perroi  Pashtresh</t>
  </si>
  <si>
    <t>ELU - 41</t>
  </si>
  <si>
    <t xml:space="preserve">Kanal ujites Funar </t>
  </si>
  <si>
    <t>Perroi Cerrunje</t>
  </si>
  <si>
    <t>ELU - 31</t>
  </si>
  <si>
    <t xml:space="preserve">KU.Rez. Petresh  </t>
  </si>
  <si>
    <t>Rezervua. ( Petrush )</t>
  </si>
  <si>
    <t>ELU - 12</t>
  </si>
  <si>
    <t xml:space="preserve">KU Stp  Gjergjan  </t>
  </si>
  <si>
    <t>Lume ( N.Panxh )</t>
  </si>
  <si>
    <t>ELU - 11</t>
  </si>
  <si>
    <t>KU Stp Paper Nr. 3</t>
  </si>
  <si>
    <t>ELU - 10</t>
  </si>
  <si>
    <t>KU Stp Paper Nr. 1</t>
  </si>
  <si>
    <t>GRU-T</t>
  </si>
  <si>
    <t>Rezervuar Tunj</t>
  </si>
  <si>
    <t xml:space="preserve">Rezervuari Tunjes </t>
  </si>
  <si>
    <t>GRU 5/1</t>
  </si>
  <si>
    <t xml:space="preserve"> Rezervuar Posnovisht</t>
  </si>
  <si>
    <t>Rezervuar ( Posnovisht )</t>
  </si>
  <si>
    <t>GRU 10/1</t>
  </si>
  <si>
    <t xml:space="preserve"> Rezervuar Dushk</t>
  </si>
  <si>
    <t>Rezervuar (Dushk)</t>
  </si>
  <si>
    <t>GRU-F</t>
  </si>
  <si>
    <t>Rezervuar  Perrenjas</t>
  </si>
  <si>
    <t>Rezervuar Perrenjas</t>
  </si>
  <si>
    <t>GRU 1/1</t>
  </si>
  <si>
    <t>Rezervuar Dardhe 1,2</t>
  </si>
  <si>
    <t>Rezervuar ( Dardhe )</t>
  </si>
  <si>
    <t>GRU 3</t>
  </si>
  <si>
    <t>Rezervuar Galigat</t>
  </si>
  <si>
    <t>Rezervuar ( Galigat )</t>
  </si>
  <si>
    <t>GRU 9/1</t>
  </si>
  <si>
    <t>Rezervuar Bratile</t>
  </si>
  <si>
    <t>Rezervuar (Bratile )</t>
  </si>
  <si>
    <t>GRU 7</t>
  </si>
  <si>
    <t>Kanal Valamar- Grazhdan -Vidhan</t>
  </si>
  <si>
    <t>Perroi (Valamar )</t>
  </si>
  <si>
    <t>GRU-V1</t>
  </si>
  <si>
    <t>Stp.Cekin 1 + kanalin ujites</t>
  </si>
  <si>
    <t>GRU-V2</t>
  </si>
  <si>
    <t>Stp. Cekin 2 + kanalin ujites</t>
  </si>
  <si>
    <t>GRU-V3</t>
  </si>
  <si>
    <t>Stp. Nr.1 Trashovic + kanalin ujites</t>
  </si>
  <si>
    <t>GRU-V4</t>
  </si>
  <si>
    <t>Stp. Nr.2 Trashovic + kanalin ujites</t>
  </si>
  <si>
    <t>GRU-V5</t>
  </si>
  <si>
    <t>Stp. Shemerize + kanalin ujites</t>
  </si>
  <si>
    <t>GRU-V6</t>
  </si>
  <si>
    <t>Stp. Nr.1 Cerrunj + kanalin ujites</t>
  </si>
  <si>
    <t>GRU-V7</t>
  </si>
  <si>
    <t>Stp. Nr.2 Cerrunj + kanalin ujites</t>
  </si>
  <si>
    <t>GRU-V8</t>
  </si>
  <si>
    <t>Stp. Qerret + kanalin ujites</t>
  </si>
  <si>
    <t>GRU-V9</t>
  </si>
  <si>
    <t>Stp. Drize + kanalin ujites</t>
  </si>
  <si>
    <t>Lumi Holte</t>
  </si>
  <si>
    <t>GRU-V10</t>
  </si>
  <si>
    <t>Stp. Nr.1 Galigat + kanalin ujites</t>
  </si>
  <si>
    <t>GRU-V11</t>
  </si>
  <si>
    <t>Stp. Nr.2 Galigat + kanalin ujites</t>
  </si>
  <si>
    <t>GRU-V12</t>
  </si>
  <si>
    <t>Kanali ujites Kotorr</t>
  </si>
  <si>
    <t>GRU-V13</t>
  </si>
  <si>
    <t>Stp. Stror + kanalin ujites</t>
  </si>
  <si>
    <t>GRU-V14</t>
  </si>
  <si>
    <t>Stp. Liras + kanalin ujites</t>
  </si>
  <si>
    <t>GRU-V15</t>
  </si>
  <si>
    <t>Stp.Holte e re + kanalin ujites</t>
  </si>
  <si>
    <t>GRU-V16</t>
  </si>
  <si>
    <t>Stp.Gjergjovine + kanalin ujites</t>
  </si>
  <si>
    <t>GRU-V17</t>
  </si>
  <si>
    <t>Stp. Liq.Dushkut + kanalin ujites</t>
  </si>
  <si>
    <t>GRU-V18</t>
  </si>
  <si>
    <t>Stp.Mashan  + kanalin ujites</t>
  </si>
  <si>
    <t>GRU-V19</t>
  </si>
  <si>
    <t>Stp. Kodovjat Nr.1 + kanalin ujites</t>
  </si>
  <si>
    <t>GRU-V20</t>
  </si>
  <si>
    <t>Stp. Kodovjat Nr.2  + kanalin ujites</t>
  </si>
  <si>
    <t>GRU-V21</t>
  </si>
  <si>
    <t>Stp.Bersnik  + kanalin ujites</t>
  </si>
  <si>
    <t>GRU-V22</t>
  </si>
  <si>
    <t>Stp. Nr.1 Narte  + kanalin ujites</t>
  </si>
  <si>
    <t>GRU-V23</t>
  </si>
  <si>
    <t>Stp. Nr.2 Narte  + kanalin ujites</t>
  </si>
  <si>
    <t>GRU-V24</t>
  </si>
  <si>
    <t>Stp. Menkollare + kanalin ujites</t>
  </si>
  <si>
    <t>GRU-V25</t>
  </si>
  <si>
    <t>Stp.  Zenelas + kanalin ujites</t>
  </si>
  <si>
    <t>GRU-V26</t>
  </si>
  <si>
    <t>Stp. . Prrenjas + kanalin ujites</t>
  </si>
  <si>
    <t>Rezervuari Perrenjas</t>
  </si>
  <si>
    <t>GRU-V27</t>
  </si>
  <si>
    <t>Stp. .Zgjube Fushe  + kanalin ujites</t>
  </si>
  <si>
    <t>GRU-V28</t>
  </si>
  <si>
    <t>Stp. Dushkut + kanalin ujites</t>
  </si>
  <si>
    <t>GRU-V29</t>
  </si>
  <si>
    <t>Stp. Kerpice + kanalin ujites</t>
  </si>
  <si>
    <t>Perroi I Tomorrices</t>
  </si>
  <si>
    <t>GRU-V30</t>
  </si>
  <si>
    <t>Stp. Bregas + kanalin ujites</t>
  </si>
  <si>
    <t>GRU-V31</t>
  </si>
  <si>
    <t>Stp. Zadias + kanalin ujites</t>
  </si>
  <si>
    <t>GRU-V32</t>
  </si>
  <si>
    <t>Stp. Paktos + kanalin ujites</t>
  </si>
  <si>
    <t>GRU-V33</t>
  </si>
  <si>
    <t>Stp. Lleshaj + kanalin ujites</t>
  </si>
  <si>
    <t>Perroi Porocan</t>
  </si>
  <si>
    <t>GRU-V34</t>
  </si>
  <si>
    <t>Skema individuale me koperativa</t>
  </si>
  <si>
    <t>LB-XH-U - 2</t>
  </si>
  <si>
    <t xml:space="preserve">Rezervuari Vehcan </t>
  </si>
  <si>
    <t>LB-PI-U - 4</t>
  </si>
  <si>
    <t xml:space="preserve">Kanali Vilez </t>
  </si>
  <si>
    <t>LB-H-U - 12</t>
  </si>
  <si>
    <t>Hotolisht</t>
  </si>
  <si>
    <t>LB-H-U - 11</t>
  </si>
  <si>
    <t xml:space="preserve">Rezervuari Dardhe </t>
  </si>
  <si>
    <t>LB-DO-U - 9</t>
  </si>
  <si>
    <t xml:space="preserve">Rezervuari Librazhd Katund </t>
  </si>
  <si>
    <t>LB-LU-U - 9</t>
  </si>
  <si>
    <t xml:space="preserve"> kanal Polen</t>
  </si>
  <si>
    <t>Lum Shkumbin</t>
  </si>
  <si>
    <t>LB-LE-U - 1</t>
  </si>
  <si>
    <t xml:space="preserve"> kanal Letem</t>
  </si>
  <si>
    <t>LB-B- U - 6</t>
  </si>
  <si>
    <t xml:space="preserve">Kanali Vogel </t>
  </si>
  <si>
    <t>LB-PO-U - 7</t>
  </si>
  <si>
    <t xml:space="preserve">Kanali Doci </t>
  </si>
  <si>
    <t>LB-DO-U - 2</t>
  </si>
  <si>
    <t xml:space="preserve">Kanali Allani </t>
  </si>
  <si>
    <t>LB-Z-U - 6</t>
  </si>
  <si>
    <t xml:space="preserve">Kanali Gurre Mushare </t>
  </si>
  <si>
    <t>LB-O-U - 1</t>
  </si>
  <si>
    <t xml:space="preserve">Kanali Gurre Madhe </t>
  </si>
  <si>
    <t>LB-Q-U - 6</t>
  </si>
  <si>
    <t xml:space="preserve">Kanali Peshtan </t>
  </si>
  <si>
    <t>LB-H-U - 7</t>
  </si>
  <si>
    <t xml:space="preserve">Kanali Gurre </t>
  </si>
  <si>
    <t>Lume</t>
  </si>
  <si>
    <t>LB-D-U - 7</t>
  </si>
  <si>
    <t xml:space="preserve">Kanali Tjere </t>
  </si>
  <si>
    <t>LB-PO-U - 6</t>
  </si>
  <si>
    <t xml:space="preserve">Kanali Gostime Gjere </t>
  </si>
  <si>
    <t>LB-PO-U - 8</t>
  </si>
  <si>
    <t xml:space="preserve">Kanali Quksi </t>
  </si>
  <si>
    <t>Peroi I Rrajces</t>
  </si>
  <si>
    <t>LB-PO-U - 10</t>
  </si>
  <si>
    <t xml:space="preserve">Kanali Cekani </t>
  </si>
  <si>
    <t>LB-DO-U - 1</t>
  </si>
  <si>
    <t>Kanali Rine</t>
  </si>
  <si>
    <t>Perroi I Qarrishtes</t>
  </si>
  <si>
    <t>LB-DO-U - 3</t>
  </si>
  <si>
    <t xml:space="preserve">Kanali Mezi </t>
  </si>
  <si>
    <t>LB-DO-U - 6</t>
  </si>
  <si>
    <t xml:space="preserve">Kanali Madh </t>
  </si>
  <si>
    <t>LB-DO-U - 8</t>
  </si>
  <si>
    <t>Kanali Llize</t>
  </si>
  <si>
    <t>LB-LU-U - 6</t>
  </si>
  <si>
    <t xml:space="preserve">Kanali Roc </t>
  </si>
  <si>
    <t>LB-LE-U - 4</t>
  </si>
  <si>
    <t>Kanali Uljaf</t>
  </si>
  <si>
    <t>LB-LE-U - 6</t>
  </si>
  <si>
    <t>Kanali Mali</t>
  </si>
  <si>
    <t>LB-LE-U - 7</t>
  </si>
  <si>
    <t xml:space="preserve">Kanali Ligate </t>
  </si>
  <si>
    <t>LB-K-U - 1</t>
  </si>
  <si>
    <t xml:space="preserve">Kanali Kuturman </t>
  </si>
  <si>
    <t>Perroi I Gurakuqit</t>
  </si>
  <si>
    <t>LB-Z-U - 3</t>
  </si>
  <si>
    <t xml:space="preserve">Kanali Gurre Gege </t>
  </si>
  <si>
    <t>LB-H-U - 6</t>
  </si>
  <si>
    <t xml:space="preserve">Kanali Ferre </t>
  </si>
  <si>
    <t>LB-LU-U - 1</t>
  </si>
  <si>
    <t xml:space="preserve">Kanali Alimane </t>
  </si>
  <si>
    <t>LB-B- U - 7</t>
  </si>
  <si>
    <t xml:space="preserve">Kanali Pulze </t>
  </si>
  <si>
    <t>LB-ST-U - 2</t>
  </si>
  <si>
    <t>Kanali Gropa Madhe</t>
  </si>
  <si>
    <t>LB-XH-U - 3</t>
  </si>
  <si>
    <t xml:space="preserve">Kanali Kobille </t>
  </si>
  <si>
    <t>LB-H-U - 5</t>
  </si>
  <si>
    <t>Kanali Verri</t>
  </si>
  <si>
    <t>LB-H-U - 9</t>
  </si>
  <si>
    <t>LB-D- U - 4</t>
  </si>
  <si>
    <t xml:space="preserve">Kanali Spothar </t>
  </si>
  <si>
    <t>LB-D-U - 5</t>
  </si>
  <si>
    <t xml:space="preserve">Kanali Mali </t>
  </si>
  <si>
    <t>LB-D-U - 6</t>
  </si>
  <si>
    <t xml:space="preserve">Kanali Kuqes </t>
  </si>
  <si>
    <t>LB-PO-U - 5</t>
  </si>
  <si>
    <t xml:space="preserve">Kanali Zabel </t>
  </si>
  <si>
    <t>LB-G-U - 1</t>
  </si>
  <si>
    <t>Kanali Myzyr</t>
  </si>
  <si>
    <t>LB-G-U - 4</t>
  </si>
  <si>
    <t xml:space="preserve">Kanali Muzhaqi </t>
  </si>
  <si>
    <t>LB-G-U - 5</t>
  </si>
  <si>
    <t xml:space="preserve">Kanali Xhevari </t>
  </si>
  <si>
    <t>LB-LU-U - 4</t>
  </si>
  <si>
    <t xml:space="preserve">Kanali Gurre Zeze </t>
  </si>
  <si>
    <t>LB-LU-U - 8</t>
  </si>
  <si>
    <t xml:space="preserve">Kanali Isuf </t>
  </si>
  <si>
    <t>LB-LE-U - 2</t>
  </si>
  <si>
    <t xml:space="preserve">Kanali Zgosht </t>
  </si>
  <si>
    <t>LB-LE-U - 5</t>
  </si>
  <si>
    <t xml:space="preserve">Kanali Katund </t>
  </si>
  <si>
    <t>LB-K-U - 4</t>
  </si>
  <si>
    <t xml:space="preserve">Kanali Mulli </t>
  </si>
  <si>
    <t>LB-Z-U - 4</t>
  </si>
  <si>
    <t>Kanali Gurres l</t>
  </si>
  <si>
    <t>LB-Z-U - 5</t>
  </si>
  <si>
    <t>Kanali Gurre Shterpe</t>
  </si>
  <si>
    <t>LB-Z-U - 7</t>
  </si>
  <si>
    <t xml:space="preserve">Kanali Mezit  </t>
  </si>
  <si>
    <t>Perroi Rrapun</t>
  </si>
  <si>
    <t>LB-Z-U - 8</t>
  </si>
  <si>
    <t>Kanali Kace</t>
  </si>
  <si>
    <t>LB-SO-U - 1</t>
  </si>
  <si>
    <t xml:space="preserve">Kanali Gaferr </t>
  </si>
  <si>
    <t>LB-SO-U - 2</t>
  </si>
  <si>
    <t xml:space="preserve">Kanali Sopot </t>
  </si>
  <si>
    <t>LB-H-U - 2</t>
  </si>
  <si>
    <t>LB-H-U - 3</t>
  </si>
  <si>
    <t xml:space="preserve">Kanali Zall </t>
  </si>
  <si>
    <t>LB-H-U - 4</t>
  </si>
  <si>
    <t xml:space="preserve">Kanali Verbe </t>
  </si>
  <si>
    <t>LB-PO-U - 11</t>
  </si>
  <si>
    <t xml:space="preserve">Kanali Gjeres </t>
  </si>
  <si>
    <t>LB-G-U - 2</t>
  </si>
  <si>
    <t xml:space="preserve">Kanali Noni </t>
  </si>
  <si>
    <t>LB-DO-U - 4</t>
  </si>
  <si>
    <t>Kanali Rapun</t>
  </si>
  <si>
    <t>LB-DO-U - 5</t>
  </si>
  <si>
    <t xml:space="preserve">Kanali Katrafil </t>
  </si>
  <si>
    <t>LB-LU-U - 3</t>
  </si>
  <si>
    <t xml:space="preserve">Kanali Fush Mal </t>
  </si>
  <si>
    <t>LB-LU-U - 5</t>
  </si>
  <si>
    <t>Kanali Gurre Fushe</t>
  </si>
  <si>
    <t>LB-LU-U - 7</t>
  </si>
  <si>
    <t xml:space="preserve">Kanali Tusku </t>
  </si>
  <si>
    <t>LB-K-U - 2</t>
  </si>
  <si>
    <t xml:space="preserve">Kanali Ologut </t>
  </si>
  <si>
    <t>LB-K-U - 3</t>
  </si>
  <si>
    <t xml:space="preserve">Kanali Zallit </t>
  </si>
  <si>
    <t>LB-O-U - 2</t>
  </si>
  <si>
    <t xml:space="preserve">Kanali Suli </t>
  </si>
  <si>
    <t>LB-O-U - 5</t>
  </si>
  <si>
    <t xml:space="preserve">Kanali Sane </t>
  </si>
  <si>
    <t>LB-GU-U - 1</t>
  </si>
  <si>
    <t xml:space="preserve">Kanal Ballgjin </t>
  </si>
  <si>
    <t>LB-G-U - 3</t>
  </si>
  <si>
    <t xml:space="preserve">Kanali Alimete </t>
  </si>
  <si>
    <t>LB-LU-U - 2</t>
  </si>
  <si>
    <t xml:space="preserve">Kanali Ali Gjete </t>
  </si>
  <si>
    <t>LB-H-U - 8</t>
  </si>
  <si>
    <t xml:space="preserve">Kanali Stalle </t>
  </si>
  <si>
    <t>LB-PO-U - 4</t>
  </si>
  <si>
    <t xml:space="preserve">Kanali Minil </t>
  </si>
  <si>
    <t>LB-PO-U - 9</t>
  </si>
  <si>
    <t xml:space="preserve">Kanali Ballolli </t>
  </si>
  <si>
    <t>LB-DO-U - 7</t>
  </si>
  <si>
    <t xml:space="preserve">Kanali Arrze </t>
  </si>
  <si>
    <t>LB-LE-U - 3</t>
  </si>
  <si>
    <t xml:space="preserve">Kanali Mire </t>
  </si>
  <si>
    <t>LB-O-U - 4</t>
  </si>
  <si>
    <t xml:space="preserve">Kanali Gjini </t>
  </si>
  <si>
    <t>LB-GU-U - 2</t>
  </si>
  <si>
    <t xml:space="preserve">Kanali Lari </t>
  </si>
  <si>
    <t>LB-GU-U - 5</t>
  </si>
  <si>
    <t xml:space="preserve">Kanali Elezi </t>
  </si>
  <si>
    <t>LB-GU-U - 3</t>
  </si>
  <si>
    <t>Kanali Cani</t>
  </si>
  <si>
    <t>LB-GU-U - 4</t>
  </si>
  <si>
    <t xml:space="preserve">Kanali Noxhe </t>
  </si>
  <si>
    <t>LB-B-U - 2</t>
  </si>
  <si>
    <t xml:space="preserve">KU St.Gurre </t>
  </si>
  <si>
    <t>LB-XH-U - 1</t>
  </si>
  <si>
    <t xml:space="preserve">KU St.Xhyre </t>
  </si>
  <si>
    <t>LB-H-U - 10</t>
  </si>
  <si>
    <t>KU St.Hotolisht</t>
  </si>
  <si>
    <t>LB-D-U - 1</t>
  </si>
  <si>
    <t xml:space="preserve">KU St.Spathar </t>
  </si>
  <si>
    <t>LB-D-U - 2</t>
  </si>
  <si>
    <t xml:space="preserve">KU St.Librazhd </t>
  </si>
  <si>
    <t>LB-D-U - 3</t>
  </si>
  <si>
    <t xml:space="preserve">KU St.Dragostunje </t>
  </si>
  <si>
    <t>LB-PO-U - 1</t>
  </si>
  <si>
    <t>Gostime stp.</t>
  </si>
  <si>
    <t>LB-PO-U - 2</t>
  </si>
  <si>
    <t xml:space="preserve">KU St. Mirake </t>
  </si>
  <si>
    <t>LB-PO-U - 3</t>
  </si>
  <si>
    <t xml:space="preserve">KU St. Murrash </t>
  </si>
  <si>
    <t>LB-Z-U - 2</t>
  </si>
  <si>
    <t xml:space="preserve">KU St.Zdrajsh </t>
  </si>
  <si>
    <t>Kanali Lunikut- Funarz</t>
  </si>
  <si>
    <t>LB-Z-U - 1</t>
  </si>
  <si>
    <t>Funarez kanal</t>
  </si>
  <si>
    <t>LB-O-U-3</t>
  </si>
  <si>
    <t>Kanali  Gurakuq Orenje</t>
  </si>
  <si>
    <t>LB-O-U - 3</t>
  </si>
  <si>
    <t>Kanali Gurakuq-Kuturman</t>
  </si>
  <si>
    <t>PEU - 2</t>
  </si>
  <si>
    <t>Kanal  Darsi - Vashaj</t>
  </si>
  <si>
    <t>Lumi Shkumbin + Rezervuar Vashaj</t>
  </si>
  <si>
    <t>PEU - 8</t>
  </si>
  <si>
    <t xml:space="preserve">Rezervuari nr.2  Sheze </t>
  </si>
  <si>
    <t>Rezervuar  Sheze Nr.2</t>
  </si>
  <si>
    <t>PEU - 4</t>
  </si>
  <si>
    <t xml:space="preserve">Rezervuari Pekisht </t>
  </si>
  <si>
    <t>Rezervuar Pekisht</t>
  </si>
  <si>
    <t>PEU - 5</t>
  </si>
  <si>
    <t>Rezervuari Perroi Zi Nr. 3</t>
  </si>
  <si>
    <t>Rezervuar  Perroi I zi Nr.3</t>
  </si>
  <si>
    <t>PEU - 17</t>
  </si>
  <si>
    <t xml:space="preserve">Kanal  Pajove </t>
  </si>
  <si>
    <t>Perroi Pajove</t>
  </si>
  <si>
    <t>PEU - 18</t>
  </si>
  <si>
    <t xml:space="preserve">Kanal Perparim </t>
  </si>
  <si>
    <t xml:space="preserve">Rezervuar </t>
  </si>
  <si>
    <t>PEU - 7</t>
  </si>
  <si>
    <t>Rezervuar Sheze Nr. 1</t>
  </si>
  <si>
    <t>Rezervuar  Sheze Nr.1</t>
  </si>
  <si>
    <t>PEU - 19</t>
  </si>
  <si>
    <t xml:space="preserve">Kanal Karine </t>
  </si>
  <si>
    <t>Perroi Karine</t>
  </si>
  <si>
    <t>PEU - 1</t>
  </si>
  <si>
    <t xml:space="preserve">Kanal  Peqin - Kavaje </t>
  </si>
  <si>
    <t xml:space="preserve">Lumi Shkumbin </t>
  </si>
  <si>
    <t>PEU - 3</t>
  </si>
  <si>
    <t xml:space="preserve">Rezervuari Bishqem </t>
  </si>
  <si>
    <t>Rezervuar  Bishqem</t>
  </si>
  <si>
    <t>PEU - 6</t>
  </si>
  <si>
    <t>Rezervuari Perroi Zi Nr. 2</t>
  </si>
  <si>
    <t>Rezervuar  Perroi i zi Nr.2</t>
  </si>
  <si>
    <t>PEU - 9</t>
  </si>
  <si>
    <t xml:space="preserve">Rezervuari Cacabez  </t>
  </si>
  <si>
    <t>Rezervuar  Cacabez</t>
  </si>
  <si>
    <t>PEU - 10</t>
  </si>
  <si>
    <t>Stacion pompimi Bishqem  Nr.1</t>
  </si>
  <si>
    <t>PEU - 11</t>
  </si>
  <si>
    <t>Stacion pompimi Bishqem  NR.2</t>
  </si>
  <si>
    <t>PEU - 12</t>
  </si>
  <si>
    <t xml:space="preserve">Stacion pompimi Pulesh </t>
  </si>
  <si>
    <t>PEU - 13</t>
  </si>
  <si>
    <t xml:space="preserve">  Stacion pompimi  Grykesh</t>
  </si>
  <si>
    <t>PEU - 14</t>
  </si>
  <si>
    <t>Stacion pompimi Sheze Nr.1</t>
  </si>
  <si>
    <t>PEU - 15</t>
  </si>
  <si>
    <t>Stacion pompimi Sheze  Nr.2</t>
  </si>
  <si>
    <t>PEU - 16</t>
  </si>
  <si>
    <t xml:space="preserve"> Stacion pompimi Trash</t>
  </si>
  <si>
    <t>LB-PR-U - 1</t>
  </si>
  <si>
    <t>Ujitja Fushes Perrenjas</t>
  </si>
  <si>
    <t>Burim Qafthane + Rezervuar</t>
  </si>
  <si>
    <t>LB-PI-U - 1</t>
  </si>
  <si>
    <t>Lingajce kanal</t>
  </si>
  <si>
    <t>LB-PR-U - 6</t>
  </si>
  <si>
    <t xml:space="preserve">Kanal Rajce </t>
  </si>
  <si>
    <t>LB-PR-U - 2</t>
  </si>
  <si>
    <t>Letove kanal</t>
  </si>
  <si>
    <t>LB-PR-U - 3</t>
  </si>
  <si>
    <t xml:space="preserve">Kanali Katjel </t>
  </si>
  <si>
    <t>LB-PR-U - 4</t>
  </si>
  <si>
    <t xml:space="preserve">Kanali Bushtrice </t>
  </si>
  <si>
    <t>LB-PR-U - 5</t>
  </si>
  <si>
    <t xml:space="preserve">Kanali Gjashte Lis </t>
  </si>
  <si>
    <t>LB-ST-U - 3</t>
  </si>
  <si>
    <t xml:space="preserve">Kanali Liras </t>
  </si>
  <si>
    <t>Perroi Liras</t>
  </si>
  <si>
    <t>LB-XH-U - 4</t>
  </si>
  <si>
    <t xml:space="preserve">Kanali Cecan </t>
  </si>
  <si>
    <t>LB-Q-U - 5</t>
  </si>
  <si>
    <t xml:space="preserve">Kanali Q - Skenderbe </t>
  </si>
  <si>
    <t>LB-H-U - 1</t>
  </si>
  <si>
    <t xml:space="preserve">Kanali Frari </t>
  </si>
  <si>
    <t>LB-B- U - 1</t>
  </si>
  <si>
    <t xml:space="preserve">Kanali Stranik </t>
  </si>
  <si>
    <t>Perroi Stravaj</t>
  </si>
  <si>
    <t>LB-B- U - 4</t>
  </si>
  <si>
    <t xml:space="preserve">Kanali Berzeshte </t>
  </si>
  <si>
    <t>LB-B- U - 8</t>
  </si>
  <si>
    <t xml:space="preserve">Kanal Pishkash </t>
  </si>
  <si>
    <t>LB-B- U - 5</t>
  </si>
  <si>
    <t xml:space="preserve">Kanali Fanje </t>
  </si>
  <si>
    <t>LB-ST-U - 1</t>
  </si>
  <si>
    <t xml:space="preserve">Kanali Gjigjirome </t>
  </si>
  <si>
    <t>LB-SO-U - 3</t>
  </si>
  <si>
    <t xml:space="preserve">Kanali Bllamisht </t>
  </si>
  <si>
    <t>LB-Q-U - 3</t>
  </si>
  <si>
    <t>Kanali Skroske</t>
  </si>
  <si>
    <t>LB-Q-U - 4</t>
  </si>
  <si>
    <t xml:space="preserve">Kanali Q - Shkumbin </t>
  </si>
  <si>
    <t>LB-LE-U - 8</t>
  </si>
  <si>
    <t xml:space="preserve">Kanali Pocisht </t>
  </si>
  <si>
    <t>LB-Q-U - 1</t>
  </si>
  <si>
    <t xml:space="preserve">Kanali Qukes </t>
  </si>
  <si>
    <t>LB-PI-U - 2</t>
  </si>
  <si>
    <t>KU St.Pishkash Nr.1</t>
  </si>
  <si>
    <t>LB-PI-U - 3</t>
  </si>
  <si>
    <t>KU St.Pishkash Nr.2</t>
  </si>
  <si>
    <t>FRU - 13</t>
  </si>
  <si>
    <t>Visoke stacion pompimi 1</t>
  </si>
  <si>
    <t>FRU - 14</t>
  </si>
  <si>
    <t>Visoke stacion pompimi 2</t>
  </si>
  <si>
    <t>MKU - 3</t>
  </si>
  <si>
    <t>Corrushi N. 1</t>
  </si>
  <si>
    <t>MKU - 7</t>
  </si>
  <si>
    <t>Greshica</t>
  </si>
  <si>
    <t>MKU - 5</t>
  </si>
  <si>
    <t>Bejari</t>
  </si>
  <si>
    <t>MKU - 8</t>
  </si>
  <si>
    <t>Gjinoqara</t>
  </si>
  <si>
    <t>MKU - 9</t>
  </si>
  <si>
    <t>Cyceni</t>
  </si>
  <si>
    <t>MKU - 1</t>
  </si>
  <si>
    <t>Lumara 1</t>
  </si>
  <si>
    <t>MKU - 2</t>
  </si>
  <si>
    <t>Lumara N. 2</t>
  </si>
  <si>
    <t>MKU - 4</t>
  </si>
  <si>
    <t>Corrushi N. 2</t>
  </si>
  <si>
    <t>MKU - 6</t>
  </si>
  <si>
    <t>Gadurova</t>
  </si>
  <si>
    <t>MKU - 10</t>
  </si>
  <si>
    <t>Marusha</t>
  </si>
  <si>
    <t>MKU - 11</t>
  </si>
  <si>
    <t>Gjerbsi</t>
  </si>
  <si>
    <t>MKU - 12</t>
  </si>
  <si>
    <t>Aranitasi</t>
  </si>
  <si>
    <t>MKU - 13</t>
  </si>
  <si>
    <t>Ballshi</t>
  </si>
  <si>
    <t>MKU - 14</t>
  </si>
  <si>
    <t>Hekal</t>
  </si>
  <si>
    <t>stp</t>
  </si>
  <si>
    <t>MKU - 15</t>
  </si>
  <si>
    <t>Kute</t>
  </si>
  <si>
    <t>MKU - 16</t>
  </si>
  <si>
    <t>Lumare</t>
  </si>
  <si>
    <t>FRU - 1-1</t>
  </si>
  <si>
    <t>Fusha Hoxhares</t>
  </si>
  <si>
    <t>Lumi Vjose</t>
  </si>
  <si>
    <t>FRU - 1-2</t>
  </si>
  <si>
    <t xml:space="preserve">St.Selishte </t>
  </si>
  <si>
    <t>Kan.V-L-F</t>
  </si>
  <si>
    <t>FRU - 1-3</t>
  </si>
  <si>
    <t xml:space="preserve">St.Varibob </t>
  </si>
  <si>
    <t>FRU - 1-4</t>
  </si>
  <si>
    <t xml:space="preserve">St.Hambar 1 </t>
  </si>
  <si>
    <t>FRU - 1-5</t>
  </si>
  <si>
    <t>St.Hambar 2</t>
  </si>
  <si>
    <t>FRU - 1-6</t>
  </si>
  <si>
    <t xml:space="preserve">St.Vjose </t>
  </si>
  <si>
    <t>FRU - 1-7</t>
  </si>
  <si>
    <t xml:space="preserve">St.Gjonc </t>
  </si>
  <si>
    <t>FRU - 1-8</t>
  </si>
  <si>
    <t xml:space="preserve">St.Kafaraj </t>
  </si>
  <si>
    <t>FRU - 1-9</t>
  </si>
  <si>
    <t xml:space="preserve">St.Agrume </t>
  </si>
  <si>
    <t>FRU - 1-10</t>
  </si>
  <si>
    <t xml:space="preserve">St.Vadhize </t>
  </si>
  <si>
    <t>FRU - 1-11</t>
  </si>
  <si>
    <t xml:space="preserve">St.Havaleas </t>
  </si>
  <si>
    <t>FRU - 4-1</t>
  </si>
  <si>
    <t>Myzeqe</t>
  </si>
  <si>
    <t>Rez. Thane</t>
  </si>
  <si>
    <t>FRU - 32</t>
  </si>
  <si>
    <t>Kallm stacion pompimi 1</t>
  </si>
  <si>
    <t>FRU - 33</t>
  </si>
  <si>
    <t xml:space="preserve">Kallm stacion pompimi 2 </t>
  </si>
  <si>
    <t>FRU - 12</t>
  </si>
  <si>
    <t>Turbull Reservoir</t>
  </si>
  <si>
    <t>FRU - 26</t>
  </si>
  <si>
    <t>Frakull Vogel Reservoir</t>
  </si>
  <si>
    <t>FRU - 10</t>
  </si>
  <si>
    <t>Visoke Reservoir</t>
  </si>
  <si>
    <t>FRU - 9</t>
  </si>
  <si>
    <t>Libofshe Reservoir</t>
  </si>
  <si>
    <t>FRU - 11</t>
  </si>
  <si>
    <t>Lalar Reservoir</t>
  </si>
  <si>
    <t>FRU - 21</t>
  </si>
  <si>
    <t>Petove Reservoir</t>
  </si>
  <si>
    <t>FRU - 2-1</t>
  </si>
  <si>
    <t>Stp. Mujalli</t>
  </si>
  <si>
    <t>Kanali V.-L.-F.</t>
  </si>
  <si>
    <t>FRU - 2-2</t>
  </si>
  <si>
    <t>Stp. Bitaj</t>
  </si>
  <si>
    <t xml:space="preserve">Kolektori I Bitaj </t>
  </si>
  <si>
    <t>FRU - 2-3</t>
  </si>
  <si>
    <t xml:space="preserve">UFSh Metaj </t>
  </si>
  <si>
    <t xml:space="preserve">Kanali kull.Kufizuesi I Majte </t>
  </si>
  <si>
    <t>FRU - 6</t>
  </si>
  <si>
    <t>Afrim Reservoir</t>
  </si>
  <si>
    <t>FRU - 7</t>
  </si>
  <si>
    <t>Qenas Reservoir</t>
  </si>
  <si>
    <t>FRU - 8</t>
  </si>
  <si>
    <t>Drize Reservoir</t>
  </si>
  <si>
    <t>FRU - 20</t>
  </si>
  <si>
    <t>Zhupan Reservoir</t>
  </si>
  <si>
    <t>FRU - 22</t>
  </si>
  <si>
    <t>FRU - 23</t>
  </si>
  <si>
    <t>Plyk Reservoir</t>
  </si>
  <si>
    <t>FRU - 25</t>
  </si>
  <si>
    <t>Kraps Reservoir</t>
  </si>
  <si>
    <t>FRU - 27</t>
  </si>
  <si>
    <t>Frakull Madhe Reservoir</t>
  </si>
  <si>
    <t>FRU - 28</t>
  </si>
  <si>
    <t>Kraps elec. pomp 1</t>
  </si>
  <si>
    <t>Lume ( Gjanice )</t>
  </si>
  <si>
    <t>FRU - 29</t>
  </si>
  <si>
    <t>Kraps elec. pomp 2</t>
  </si>
  <si>
    <t>FRU - 30</t>
  </si>
  <si>
    <t>Belin elec. pomp</t>
  </si>
  <si>
    <t>FRU - 31</t>
  </si>
  <si>
    <t>Mbrostar stacion pompimi</t>
  </si>
  <si>
    <t>FRU - 34</t>
  </si>
  <si>
    <t xml:space="preserve">Koshovice stacion pompimi </t>
  </si>
  <si>
    <t>Lume ( Levan )</t>
  </si>
  <si>
    <t>FRU - 35</t>
  </si>
  <si>
    <t>Daullas stacion pompimi</t>
  </si>
  <si>
    <t>K - R - H</t>
  </si>
  <si>
    <t>FRU - 15</t>
  </si>
  <si>
    <t>Lalar stacion pompimi</t>
  </si>
  <si>
    <t>FRU - 19</t>
  </si>
  <si>
    <t>Koshovice Reservoir</t>
  </si>
  <si>
    <t>FRU - 36</t>
  </si>
  <si>
    <t>Zharrez Reservoir</t>
  </si>
  <si>
    <t>Lume ( Zharrez )</t>
  </si>
  <si>
    <t>FRU - 17</t>
  </si>
  <si>
    <t>Zharrez stacion pompimi</t>
  </si>
  <si>
    <t>FRU - 18</t>
  </si>
  <si>
    <t>Ruzhdie Reservoir</t>
  </si>
  <si>
    <t>FRU - 24</t>
  </si>
  <si>
    <t>Patos Reservoir</t>
  </si>
  <si>
    <t>Roskovec</t>
  </si>
  <si>
    <t>FRU - 3-1</t>
  </si>
  <si>
    <t>FRU - 3-2</t>
  </si>
  <si>
    <t xml:space="preserve">ST.Kurjanit </t>
  </si>
  <si>
    <t>Rez.Kur.V.M.K.2</t>
  </si>
  <si>
    <t>FRU - 3-3</t>
  </si>
  <si>
    <t xml:space="preserve">Stp. Vidhishte </t>
  </si>
  <si>
    <t>FRU - 3-4</t>
  </si>
  <si>
    <t xml:space="preserve">St.Gorican </t>
  </si>
  <si>
    <t xml:space="preserve">Lumi Seman </t>
  </si>
  <si>
    <t>FRU - 3-5</t>
  </si>
  <si>
    <t>Stp. Matk (Strum)</t>
  </si>
  <si>
    <t>FRU - 5</t>
  </si>
  <si>
    <t>Ngjeqar Reservoir</t>
  </si>
  <si>
    <t>FRU - 16</t>
  </si>
  <si>
    <t>Ngjeqar stacion pompimi</t>
  </si>
  <si>
    <t>GJU 1</t>
  </si>
  <si>
    <t>Dropull Poshtem R.Dofti</t>
  </si>
  <si>
    <t>ReLume + Stp.p</t>
  </si>
  <si>
    <t>GJU 3</t>
  </si>
  <si>
    <t>Dropull Siperm, Pepel</t>
  </si>
  <si>
    <t>GJU 7</t>
  </si>
  <si>
    <t>Castie</t>
  </si>
  <si>
    <t>GJU 10</t>
  </si>
  <si>
    <t>Dropull Siperm, Selo, Llongo</t>
  </si>
  <si>
    <t>R,Selo+R.Klishar</t>
  </si>
  <si>
    <t>GJU 11</t>
  </si>
  <si>
    <t>Dropull Siperm Radat, Peshkepi</t>
  </si>
  <si>
    <t>R.Radat I +R.Radat 2</t>
  </si>
  <si>
    <t>GJU 14</t>
  </si>
  <si>
    <t>Pogon - Suhe</t>
  </si>
  <si>
    <t>Prroi Kakome</t>
  </si>
  <si>
    <t>GJU 12</t>
  </si>
  <si>
    <t>Hllomo</t>
  </si>
  <si>
    <t>R.Hllomo</t>
  </si>
  <si>
    <t>GJU 4/4</t>
  </si>
  <si>
    <t xml:space="preserve">Mingul Gjat Dhoksat 
</t>
  </si>
  <si>
    <t>(R.Mingul+Gjat+R.Qesorat+Blanj)</t>
  </si>
  <si>
    <t>GJU 5</t>
  </si>
  <si>
    <t>Cepune Mashkullore</t>
  </si>
  <si>
    <t>ReLume + Stp Viroi</t>
  </si>
  <si>
    <t>GJU 4</t>
  </si>
  <si>
    <t>Lunxheri - Odrije</t>
  </si>
  <si>
    <t>Stp.p</t>
  </si>
  <si>
    <t>GJU 19</t>
  </si>
  <si>
    <t>Golem</t>
  </si>
  <si>
    <t>Stp.p Vezhisht</t>
  </si>
  <si>
    <t>GJU 20</t>
  </si>
  <si>
    <t>Fushe Bardhe</t>
  </si>
  <si>
    <t>Stp.p PIRIU</t>
  </si>
  <si>
    <t>GJU 21</t>
  </si>
  <si>
    <t>Kolonje</t>
  </si>
  <si>
    <t>Stp.p (Kacoq+Kolonje1+2)</t>
  </si>
  <si>
    <t>GJU 22</t>
  </si>
  <si>
    <t>Zhulal</t>
  </si>
  <si>
    <t>Stp.p Zhulat</t>
  </si>
  <si>
    <t>GJU 23</t>
  </si>
  <si>
    <t>Humelic - Shtepez</t>
  </si>
  <si>
    <t>Gura e Picarit+R.PICAR</t>
  </si>
  <si>
    <t>GJU 24</t>
  </si>
  <si>
    <t>Kardhiq</t>
  </si>
  <si>
    <t>Lum  + Stp.p Kardhiq</t>
  </si>
  <si>
    <t>PRU - 1</t>
  </si>
  <si>
    <t>Vinokash</t>
  </si>
  <si>
    <t>Rezervuar &amp;  Lume</t>
  </si>
  <si>
    <t>PRU - 2</t>
  </si>
  <si>
    <t>Kelcyre area</t>
  </si>
  <si>
    <t>PRU - 3</t>
  </si>
  <si>
    <t>Kuqar area</t>
  </si>
  <si>
    <t>PRU - 5</t>
  </si>
  <si>
    <t>Varibop area</t>
  </si>
  <si>
    <t>PRU - 25</t>
  </si>
  <si>
    <t>Senican area</t>
  </si>
  <si>
    <t>PRU - 26</t>
  </si>
  <si>
    <t>Fratar area</t>
  </si>
  <si>
    <t>PRU - 27</t>
  </si>
  <si>
    <t>Topojan - Delikaj area</t>
  </si>
  <si>
    <t>GJU 2</t>
  </si>
  <si>
    <t>Suhe - Gjirokaster - Valare</t>
  </si>
  <si>
    <t>Liqen. + Stp.p (R.Suhe+Cine+Dofti)</t>
  </si>
  <si>
    <t>GJU 8</t>
  </si>
  <si>
    <t>Sheper</t>
  </si>
  <si>
    <t>GJU 9</t>
  </si>
  <si>
    <t>R.Polican</t>
  </si>
  <si>
    <t>GJU 6</t>
  </si>
  <si>
    <t>Labova</t>
  </si>
  <si>
    <t>R.Labove</t>
  </si>
  <si>
    <t>GJU 18</t>
  </si>
  <si>
    <t>Suha</t>
  </si>
  <si>
    <t>Lumi Suhes</t>
  </si>
  <si>
    <t>GJU 13</t>
  </si>
  <si>
    <t>Zheje</t>
  </si>
  <si>
    <t>Stp.p(Burimi VRIZ)</t>
  </si>
  <si>
    <t>GJU 15</t>
  </si>
  <si>
    <t>Oshteve</t>
  </si>
  <si>
    <t>Stp.p Oshteve</t>
  </si>
  <si>
    <t>GJU 16</t>
  </si>
  <si>
    <t>Koncke</t>
  </si>
  <si>
    <t>Stp.p Prroi Zagorise</t>
  </si>
  <si>
    <t>TPU - V2</t>
  </si>
  <si>
    <t>Dukaj</t>
  </si>
  <si>
    <t>TPU - V1</t>
  </si>
  <si>
    <t>Krahes - Toc - Kalivac</t>
  </si>
  <si>
    <t>TPU - V3</t>
  </si>
  <si>
    <t>Qeserat - Vasjar - Mogille</t>
  </si>
  <si>
    <t>TPU - V4</t>
  </si>
  <si>
    <t>Sinanaj - Lap Martalloz - Dhembaj</t>
  </si>
  <si>
    <t>Rezervuar + Lume + St</t>
  </si>
  <si>
    <t>TPU - V5</t>
  </si>
  <si>
    <t>Kurvelesh</t>
  </si>
  <si>
    <t>TPU - V6</t>
  </si>
  <si>
    <t>Buz</t>
  </si>
  <si>
    <t>TPU - V10</t>
  </si>
  <si>
    <t>Luftinj - Levan</t>
  </si>
  <si>
    <t>Stp. + Rezervuar</t>
  </si>
  <si>
    <t>TPU - V11</t>
  </si>
  <si>
    <t>Memaliaj - Cerril</t>
  </si>
  <si>
    <t>Stp. Rezervuar</t>
  </si>
  <si>
    <t>PRU - 20</t>
  </si>
  <si>
    <t>Strembec area</t>
  </si>
  <si>
    <t>Rezervuar. &amp; Lume</t>
  </si>
  <si>
    <t>PRU - 8</t>
  </si>
  <si>
    <t>Kosine area</t>
  </si>
  <si>
    <t>Rezervuar &amp; Lume</t>
  </si>
  <si>
    <t>PRU - 14</t>
  </si>
  <si>
    <t>Qilarisht area</t>
  </si>
  <si>
    <t>PRU - 21</t>
  </si>
  <si>
    <t>Iljare area</t>
  </si>
  <si>
    <t>PRU - 4</t>
  </si>
  <si>
    <t>Grabove area</t>
  </si>
  <si>
    <t>PRU - 6</t>
  </si>
  <si>
    <t>Pacomit area</t>
  </si>
  <si>
    <t>PRU - 7</t>
  </si>
  <si>
    <t>Rapcke area</t>
  </si>
  <si>
    <t>PRU - 9</t>
  </si>
  <si>
    <t>Bual area</t>
  </si>
  <si>
    <t>PRU - 10</t>
  </si>
  <si>
    <t>Kutal area</t>
  </si>
  <si>
    <t>PRU - 11</t>
  </si>
  <si>
    <t>Bodar area</t>
  </si>
  <si>
    <t>PRU - 12</t>
  </si>
  <si>
    <t>Tremisht area</t>
  </si>
  <si>
    <t>PRU - 13</t>
  </si>
  <si>
    <t>Leshice area</t>
  </si>
  <si>
    <t>PRU - 15</t>
  </si>
  <si>
    <t>Benje area</t>
  </si>
  <si>
    <t>PRU - 16</t>
  </si>
  <si>
    <t>Badolonje area</t>
  </si>
  <si>
    <t>PRU - 17</t>
  </si>
  <si>
    <t>Gjinkar area</t>
  </si>
  <si>
    <t>PRU - 18</t>
  </si>
  <si>
    <t>Petran area</t>
  </si>
  <si>
    <t>PRU - 19</t>
  </si>
  <si>
    <t>Kaludh area</t>
  </si>
  <si>
    <t>PRU - 22</t>
  </si>
  <si>
    <t>Pellumbar - Konikal area</t>
  </si>
  <si>
    <t>PRU - 23</t>
  </si>
  <si>
    <t>Zhepe area</t>
  </si>
  <si>
    <t>PRU - 24</t>
  </si>
  <si>
    <t>Çarshove area</t>
  </si>
  <si>
    <t>PRU - 28</t>
  </si>
  <si>
    <t>Sarandopor kanal</t>
  </si>
  <si>
    <t>PRU - 29</t>
  </si>
  <si>
    <t>Carshove</t>
  </si>
  <si>
    <t>PRU - 30</t>
  </si>
  <si>
    <t>Vllahopsillotere</t>
  </si>
  <si>
    <t>PRU - 31</t>
  </si>
  <si>
    <t>Qipuri</t>
  </si>
  <si>
    <t>PRU - 32</t>
  </si>
  <si>
    <t>Lengarize</t>
  </si>
  <si>
    <t>PRU - 33</t>
  </si>
  <si>
    <t>Lumnice</t>
  </si>
  <si>
    <t>TPU - V7</t>
  </si>
  <si>
    <t>Dragot</t>
  </si>
  <si>
    <t>TPU - V8</t>
  </si>
  <si>
    <t>Dames - Kallam</t>
  </si>
  <si>
    <t>TPU - V9</t>
  </si>
  <si>
    <t>Turan - Mamaj</t>
  </si>
  <si>
    <t>Devoll</t>
  </si>
  <si>
    <t>DVU - 4</t>
  </si>
  <si>
    <t>Devoll Poshtem</t>
  </si>
  <si>
    <t>Koshnice, Dembrave</t>
  </si>
  <si>
    <t>DVU - 3</t>
  </si>
  <si>
    <t>Ujitja me reservuar</t>
  </si>
  <si>
    <t>Selce, Trestenik, Llabanice, Devoll</t>
  </si>
  <si>
    <t>DVU - 15</t>
  </si>
  <si>
    <t>Baban 1,2</t>
  </si>
  <si>
    <t>DVU - 2</t>
  </si>
  <si>
    <t>Fusha e Poshtme Devoll</t>
  </si>
  <si>
    <t>Verlen, Grace, Poloske</t>
  </si>
  <si>
    <t>DVU - 31</t>
  </si>
  <si>
    <t>Jazi Bracanj   (l.Devoll)</t>
  </si>
  <si>
    <t>DVU - 35</t>
  </si>
  <si>
    <t>Jazi Bitincke (perroi)</t>
  </si>
  <si>
    <t>DVU - 34</t>
  </si>
  <si>
    <t>Jazi Bilisht  (l.Devoll)</t>
  </si>
  <si>
    <t>DVU - 36</t>
  </si>
  <si>
    <t>Jazi Menkulas (l.Devoll)</t>
  </si>
  <si>
    <t>DVU - 32</t>
  </si>
  <si>
    <t>Jazi Dobranj   (l.Devoll)</t>
  </si>
  <si>
    <t>DVU - 33</t>
  </si>
  <si>
    <t>Jazi  Kuc   (l.Devoll)</t>
  </si>
  <si>
    <t>DVU - 39</t>
  </si>
  <si>
    <t>Jazi Menkulas (mulliri)</t>
  </si>
  <si>
    <t>DVU - 26</t>
  </si>
  <si>
    <t>Vishocice</t>
  </si>
  <si>
    <t>Lum Devoll</t>
  </si>
  <si>
    <t>DVU - 20</t>
  </si>
  <si>
    <t>Miras - Menkulas kanal</t>
  </si>
  <si>
    <t>DVU - 28</t>
  </si>
  <si>
    <t>Jazi Miras (l.Devoll)</t>
  </si>
  <si>
    <t>DVU - 27</t>
  </si>
  <si>
    <t xml:space="preserve">Arze </t>
  </si>
  <si>
    <t>DVU - 25</t>
  </si>
  <si>
    <t xml:space="preserve">Cete </t>
  </si>
  <si>
    <t>DVU - 29</t>
  </si>
  <si>
    <t>Jazi Mancurisht  (l.Devoll)</t>
  </si>
  <si>
    <t>DVU - 30</t>
  </si>
  <si>
    <t>Jazi Poncare  (l.Devoll)</t>
  </si>
  <si>
    <t>DVU - 22</t>
  </si>
  <si>
    <t>Poncare kanal</t>
  </si>
  <si>
    <t>DVU - 23</t>
  </si>
  <si>
    <t>Menkulas by H/P/S kanal</t>
  </si>
  <si>
    <t>DVU - 21</t>
  </si>
  <si>
    <t>Bracanj kanal</t>
  </si>
  <si>
    <t>DVU - 24</t>
  </si>
  <si>
    <t>Bracanj kanal ( mulliri )</t>
  </si>
  <si>
    <t>DVU - 18</t>
  </si>
  <si>
    <t>Vidohove Reservoir</t>
  </si>
  <si>
    <t>DVU - 19</t>
  </si>
  <si>
    <t>Cipan Reservoir</t>
  </si>
  <si>
    <t>DVU - 16</t>
  </si>
  <si>
    <t>Bitincke Reservoir</t>
  </si>
  <si>
    <t>DVU - 38</t>
  </si>
  <si>
    <t>Jazi Cete (l.Devoll)</t>
  </si>
  <si>
    <t>DVU - 17</t>
  </si>
  <si>
    <t>Kompesim - Dembrave ReLume</t>
  </si>
  <si>
    <t>DVU - 1</t>
  </si>
  <si>
    <t>Ujitja me Prespen e Vogel</t>
  </si>
  <si>
    <t>Liqeni Prespa Vogel</t>
  </si>
  <si>
    <t>DVU - 5</t>
  </si>
  <si>
    <t>Kurile stacion pompimi</t>
  </si>
  <si>
    <t>DVU - 6</t>
  </si>
  <si>
    <t>Poncare stacion pompimi 1 &amp; 2</t>
  </si>
  <si>
    <t>DVU - 7</t>
  </si>
  <si>
    <t>Dobranj stacion pompimi</t>
  </si>
  <si>
    <t>DVU - 8</t>
  </si>
  <si>
    <t>Miras stacion pompimi 1 &amp; 2</t>
  </si>
  <si>
    <t>DVU - 9</t>
  </si>
  <si>
    <t>Arze stacion pompimi</t>
  </si>
  <si>
    <t>DVU - 10</t>
  </si>
  <si>
    <t>Vidohove stacion pompimi</t>
  </si>
  <si>
    <t>DVU - 11</t>
  </si>
  <si>
    <t>Ceta stacion pompimi</t>
  </si>
  <si>
    <t>DVU - 12</t>
  </si>
  <si>
    <t>Proger stacion pompimi</t>
  </si>
  <si>
    <t>DVU - 13</t>
  </si>
  <si>
    <t>Mancurisht stacion pompimi</t>
  </si>
  <si>
    <t>DVU - 14</t>
  </si>
  <si>
    <t>Menkulas stacion pompimi</t>
  </si>
  <si>
    <t>DVU - 37</t>
  </si>
  <si>
    <t>Jazi Proger (Ventroku)</t>
  </si>
  <si>
    <t>Tren st.pomp</t>
  </si>
  <si>
    <t>Ventrok</t>
  </si>
  <si>
    <t>Tren st.</t>
  </si>
  <si>
    <t>DVU - 40</t>
  </si>
  <si>
    <t>Pavliq st.pomp</t>
  </si>
  <si>
    <t>DVU - 41</t>
  </si>
  <si>
    <t>Hidrovor Gryka e Ujkut</t>
  </si>
  <si>
    <t>DVU - 42</t>
  </si>
  <si>
    <t>Zagradec st.pom.</t>
  </si>
  <si>
    <t>DVU - 43</t>
  </si>
  <si>
    <t>Vishocice st.pomp</t>
  </si>
  <si>
    <t>DVU - 44</t>
  </si>
  <si>
    <t>Kapshtice (mbushje rez.Trestenik)</t>
  </si>
  <si>
    <t>DVU - 45</t>
  </si>
  <si>
    <t>Grace st.pomp</t>
  </si>
  <si>
    <t>rez. Grace</t>
  </si>
  <si>
    <t>DVU - 46</t>
  </si>
  <si>
    <t>Ecmenik st.pomp.</t>
  </si>
  <si>
    <t>DVU - 47</t>
  </si>
  <si>
    <t>Verlen st.pomp</t>
  </si>
  <si>
    <t>perroi Verlen</t>
  </si>
  <si>
    <t>DVU - 48</t>
  </si>
  <si>
    <t>Cangonj st.pomp</t>
  </si>
  <si>
    <t>DVU - 49</t>
  </si>
  <si>
    <t>Vranisht 1+2 st.pomp</t>
  </si>
  <si>
    <t>DVU - 50</t>
  </si>
  <si>
    <t>Shyec st.pomp</t>
  </si>
  <si>
    <t>DVU - 51</t>
  </si>
  <si>
    <t>Koshnice nr.1 st.pomp</t>
  </si>
  <si>
    <t>rez. Koshnica 1</t>
  </si>
  <si>
    <t>DVU - 52</t>
  </si>
  <si>
    <t>Koshnice nr.2 st.pomp</t>
  </si>
  <si>
    <t>per rez.</t>
  </si>
  <si>
    <t>DVU -kop.</t>
  </si>
  <si>
    <t xml:space="preserve">Skema individuale kooperative </t>
  </si>
  <si>
    <t>ERU - V1</t>
  </si>
  <si>
    <t>Rez. Gjonc</t>
  </si>
  <si>
    <t>ERU - V2</t>
  </si>
  <si>
    <t>Shtike</t>
  </si>
  <si>
    <t>ERU - V3</t>
  </si>
  <si>
    <t>Kabash</t>
  </si>
  <si>
    <t>ERU - V4</t>
  </si>
  <si>
    <t>Kaltanj</t>
  </si>
  <si>
    <t>ERU - V5</t>
  </si>
  <si>
    <t>Pepellash</t>
  </si>
  <si>
    <t>ERU - V6</t>
  </si>
  <si>
    <t>Piskal</t>
  </si>
  <si>
    <t>ERU - V7</t>
  </si>
  <si>
    <t>Radanj 1</t>
  </si>
  <si>
    <t>ERU - V8</t>
  </si>
  <si>
    <t>Selenice e Pishes</t>
  </si>
  <si>
    <t>ERU - V9</t>
  </si>
  <si>
    <t>Starje</t>
  </si>
  <si>
    <t>ERU - V10</t>
  </si>
  <si>
    <t>Zharkanj 1</t>
  </si>
  <si>
    <t>ERU - V11</t>
  </si>
  <si>
    <t>Orgocke</t>
  </si>
  <si>
    <t>ERU - V12</t>
  </si>
  <si>
    <t>Rez. Barmash</t>
  </si>
  <si>
    <t>ERU - V13</t>
  </si>
  <si>
    <t>Rez. Borove</t>
  </si>
  <si>
    <t>ERU - V14</t>
  </si>
  <si>
    <t>Rez. Boshanj</t>
  </si>
  <si>
    <t>ERU - V15</t>
  </si>
  <si>
    <t>Rez.Erseke</t>
  </si>
  <si>
    <t>ERU - V16</t>
  </si>
  <si>
    <t>Rez. Helmes</t>
  </si>
  <si>
    <t>ERU - V17</t>
  </si>
  <si>
    <t xml:space="preserve">Rez. Kagjinas </t>
  </si>
  <si>
    <t>ERU - V18</t>
  </si>
  <si>
    <t>Kabash Leskovik</t>
  </si>
  <si>
    <t>ERU - V19</t>
  </si>
  <si>
    <t>Rez.Leshnje</t>
  </si>
  <si>
    <t>ERU - V20</t>
  </si>
  <si>
    <t>Rez. Luaras</t>
  </si>
  <si>
    <t>ERU - V21</t>
  </si>
  <si>
    <t>Rez. Makerz</t>
  </si>
  <si>
    <t>ERU - V22</t>
  </si>
  <si>
    <t>Radanj 2</t>
  </si>
  <si>
    <t>ERU - V23</t>
  </si>
  <si>
    <t>Gostivisht</t>
  </si>
  <si>
    <t>ERU - V24</t>
  </si>
  <si>
    <t>Hollm Vodice</t>
  </si>
  <si>
    <t>ERU - V25</t>
  </si>
  <si>
    <t>Zharkanj 2</t>
  </si>
  <si>
    <t>ERU - V48-1</t>
  </si>
  <si>
    <t>Lencke</t>
  </si>
  <si>
    <t>ERU - V48-2</t>
  </si>
  <si>
    <t>Boshanj st.pomp</t>
  </si>
  <si>
    <t>ERU - V26</t>
  </si>
  <si>
    <t>Kanali ujites Kozel (perroi Kozelit)</t>
  </si>
  <si>
    <t>Perrua</t>
  </si>
  <si>
    <t>ERU - V27</t>
  </si>
  <si>
    <t>K. ujites Kagjinas</t>
  </si>
  <si>
    <t>ERU - V28</t>
  </si>
  <si>
    <t>K.Llank - Leskovik</t>
  </si>
  <si>
    <t>ERU - V29</t>
  </si>
  <si>
    <t>K. ujites Shtike</t>
  </si>
  <si>
    <t>ERU - V30</t>
  </si>
  <si>
    <t>K.perroi Qinam  (perroi Qinam)</t>
  </si>
  <si>
    <t>ERU - V31</t>
  </si>
  <si>
    <t>K.ujites Kreshove  ( lumi)</t>
  </si>
  <si>
    <t>ERU - V32</t>
  </si>
  <si>
    <t>K.Kodras- Kabash</t>
  </si>
  <si>
    <t>ERU - V33</t>
  </si>
  <si>
    <t>K.Vishanj – Tac (  perroi)</t>
  </si>
  <si>
    <t>ERU - V34</t>
  </si>
  <si>
    <t>K.ujites Lengez  (perroi)</t>
  </si>
  <si>
    <t>ERU - V35</t>
  </si>
  <si>
    <t>K.ujites Starje  (perroi)</t>
  </si>
  <si>
    <t>ERU - V36</t>
  </si>
  <si>
    <t>K.perroi Gjonc  (perroi)</t>
  </si>
  <si>
    <t>ERU - V37</t>
  </si>
  <si>
    <t>K.ujites Lashove</t>
  </si>
  <si>
    <t>ERU - V38</t>
  </si>
  <si>
    <t>K.ujites Skorovot  (perroi)</t>
  </si>
  <si>
    <t>ERU - V39</t>
  </si>
  <si>
    <t>K.ujites Qafezez   (perroi)</t>
  </si>
  <si>
    <t>ERU - V40</t>
  </si>
  <si>
    <t>Ymeline st.pomp</t>
  </si>
  <si>
    <t>ERU - V41</t>
  </si>
  <si>
    <t>Radanj st.pomp</t>
  </si>
  <si>
    <t>ERU - V42</t>
  </si>
  <si>
    <t>Erseke st.pomp</t>
  </si>
  <si>
    <t>ERU - V43</t>
  </si>
  <si>
    <t>Mesicke st.pomp</t>
  </si>
  <si>
    <t>perroi Mesicke</t>
  </si>
  <si>
    <t>ERU - V44</t>
  </si>
  <si>
    <t>Gostivisht st.pomp</t>
  </si>
  <si>
    <t>perroi Gostivisht</t>
  </si>
  <si>
    <t>ERU - V45</t>
  </si>
  <si>
    <t>Shtike st.pomp</t>
  </si>
  <si>
    <t>ERU - V46</t>
  </si>
  <si>
    <t>Helmes 1,2,3 st.pomp</t>
  </si>
  <si>
    <t>ERU - V47</t>
  </si>
  <si>
    <t>Qafzez st.pomp</t>
  </si>
  <si>
    <t>perroi Qafzezit</t>
  </si>
  <si>
    <t>ERU - V48</t>
  </si>
  <si>
    <t>ERU - V49</t>
  </si>
  <si>
    <t>Skema individuale kooperative</t>
  </si>
  <si>
    <t>KOU - 81</t>
  </si>
  <si>
    <t>Mborje st.pom</t>
  </si>
  <si>
    <t>rez.Gjanc k.djathte</t>
  </si>
  <si>
    <t>KOU - 2</t>
  </si>
  <si>
    <t>Ventrok + Zemblak</t>
  </si>
  <si>
    <t>Lum + Stp</t>
  </si>
  <si>
    <t>KOU - 13</t>
  </si>
  <si>
    <t>Lavdar Reservoir</t>
  </si>
  <si>
    <t>KOU - 14</t>
  </si>
  <si>
    <t>Voskopoje Reservoir</t>
  </si>
  <si>
    <t>KOU - 5</t>
  </si>
  <si>
    <t>Kamenice Reservoir</t>
  </si>
  <si>
    <t>KOU - 19</t>
  </si>
  <si>
    <t>Dvoran Zapet Reservoir</t>
  </si>
  <si>
    <t>KOU - 15</t>
  </si>
  <si>
    <t>Vithkuq Makerz Reservoir</t>
  </si>
  <si>
    <t>KOU - 22</t>
  </si>
  <si>
    <t>Shipske Reservoir</t>
  </si>
  <si>
    <t>KOU - 23</t>
  </si>
  <si>
    <t>Panarit Reservoir 1</t>
  </si>
  <si>
    <t>KOU - 12</t>
  </si>
  <si>
    <t>Gjonomadh Reservoir</t>
  </si>
  <si>
    <t>KOU - 21</t>
  </si>
  <si>
    <t>Gjergjevice Reservoir</t>
  </si>
  <si>
    <t>KOU - 24</t>
  </si>
  <si>
    <t>Lubonje Reservoir 1</t>
  </si>
  <si>
    <t>KOU - 16</t>
  </si>
  <si>
    <t>Vithkuq Kroi Kuq Reservoir</t>
  </si>
  <si>
    <t>KOU - 42</t>
  </si>
  <si>
    <t xml:space="preserve">Grabocke Reservoir </t>
  </si>
  <si>
    <t>KOU - 44</t>
  </si>
  <si>
    <t>Voskopoje Reservoir kampi</t>
  </si>
  <si>
    <t>KOU - 41</t>
  </si>
  <si>
    <t>Drenove Reservoir</t>
  </si>
  <si>
    <t>KOU - 6</t>
  </si>
  <si>
    <t>Cemerice Reservoir</t>
  </si>
  <si>
    <t>KOU - 17</t>
  </si>
  <si>
    <t>Opar Reservoir</t>
  </si>
  <si>
    <t>KOU - 18</t>
  </si>
  <si>
    <t>Kodra Pilaf Reservoir</t>
  </si>
  <si>
    <t>KOU - 20</t>
  </si>
  <si>
    <t>Boboshtice Reservoir</t>
  </si>
  <si>
    <t>KOU - 25</t>
  </si>
  <si>
    <t>Lubonje Reservoir 2</t>
  </si>
  <si>
    <t>KOU - 43</t>
  </si>
  <si>
    <t>Krushove Reservoir  Zhomber</t>
  </si>
  <si>
    <t>KOU - 45</t>
  </si>
  <si>
    <t>Kamenice Reservoir 5</t>
  </si>
  <si>
    <t>KOU - 46</t>
  </si>
  <si>
    <t>Floq Reservoir</t>
  </si>
  <si>
    <t>KOU - 47</t>
  </si>
  <si>
    <t>Panarit Reservoir 2</t>
  </si>
  <si>
    <t>KOU - 61</t>
  </si>
  <si>
    <t>Mazreke Reservoir</t>
  </si>
  <si>
    <t>KOU - 62</t>
  </si>
  <si>
    <t>Lekas stacion pompimi</t>
  </si>
  <si>
    <t>KOU - 63</t>
  </si>
  <si>
    <t>Shkozanj stacion pompimi</t>
  </si>
  <si>
    <t>KOU - 64</t>
  </si>
  <si>
    <t>Gjanc stacion pompimi</t>
  </si>
  <si>
    <t>KOU - 79</t>
  </si>
  <si>
    <t>Dishnice st.pomp</t>
  </si>
  <si>
    <t>KOU - 80</t>
  </si>
  <si>
    <t>Belorta st.pomp</t>
  </si>
  <si>
    <t>KOU - 1</t>
  </si>
  <si>
    <t>Gjanc Reservoir</t>
  </si>
  <si>
    <t>Res, Stp</t>
  </si>
  <si>
    <t>KOU - 75</t>
  </si>
  <si>
    <t>Krushove Reservoir 3</t>
  </si>
  <si>
    <t>KOU - 3</t>
  </si>
  <si>
    <t>Petrushe + Leminot</t>
  </si>
  <si>
    <t>KOU - 9</t>
  </si>
  <si>
    <t>Bicke Reservoir</t>
  </si>
  <si>
    <t>KOU - 10</t>
  </si>
  <si>
    <t>Caushli Reservoir</t>
  </si>
  <si>
    <t>KOU - 11</t>
  </si>
  <si>
    <t>Kloce Reservoir</t>
  </si>
  <si>
    <t>KOU - 29</t>
  </si>
  <si>
    <t>Beras Reservoir</t>
  </si>
  <si>
    <t>KOU - 26</t>
  </si>
  <si>
    <t>Kucake Reservoir 1</t>
  </si>
  <si>
    <t>KOU - 4</t>
  </si>
  <si>
    <t>Electro - Pump Stp. Maliq</t>
  </si>
  <si>
    <t>KOU - 7</t>
  </si>
  <si>
    <t>Kembetheker Reservoir</t>
  </si>
  <si>
    <t>KOU - 8</t>
  </si>
  <si>
    <t>Kolanec Reservoir</t>
  </si>
  <si>
    <t>KOU - 27</t>
  </si>
  <si>
    <t>Kakac Reservoir</t>
  </si>
  <si>
    <t>KOU - 28</t>
  </si>
  <si>
    <t>Vrepske Reservoir</t>
  </si>
  <si>
    <t>KOU - 30</t>
  </si>
  <si>
    <t>Protopape Reservoir 3</t>
  </si>
  <si>
    <t>KOU - 31</t>
  </si>
  <si>
    <t>Gopesh Reservoir 1</t>
  </si>
  <si>
    <t>KOU - 32</t>
  </si>
  <si>
    <t>Gopesh Reservoir 2</t>
  </si>
  <si>
    <t>KOU - 33</t>
  </si>
  <si>
    <t>Zerec  Reservoir</t>
  </si>
  <si>
    <t>KOU - 34</t>
  </si>
  <si>
    <t>Lirishte Reservoir</t>
  </si>
  <si>
    <t>KOU - 35</t>
  </si>
  <si>
    <t>Zvarisht Reservoir 1</t>
  </si>
  <si>
    <t>KOU - 36</t>
  </si>
  <si>
    <t>Gropa Desmire Reservoir</t>
  </si>
  <si>
    <t>KOU - 37</t>
  </si>
  <si>
    <t>Protopape Reservoir 4</t>
  </si>
  <si>
    <t>KOU - 48</t>
  </si>
  <si>
    <t>Gopesh Reservoir 3</t>
  </si>
  <si>
    <t>KOU - 49</t>
  </si>
  <si>
    <t>Protopape Reservoir 1</t>
  </si>
  <si>
    <t>KOU - 50</t>
  </si>
  <si>
    <t>Protopape Reservoir 2</t>
  </si>
  <si>
    <t>KOU - 51</t>
  </si>
  <si>
    <t>Varvare Reservoir 3</t>
  </si>
  <si>
    <t>KOU - 52</t>
  </si>
  <si>
    <t>Varvare Reservoir 1</t>
  </si>
  <si>
    <t>KOU - 53</t>
  </si>
  <si>
    <t>Peshtan Reservoir</t>
  </si>
  <si>
    <t>KOU - 54</t>
  </si>
  <si>
    <t>Varvare Reservoir 2</t>
  </si>
  <si>
    <t>KOU - 55</t>
  </si>
  <si>
    <t>Moglice Reservoir</t>
  </si>
  <si>
    <t>KOU - 56</t>
  </si>
  <si>
    <t>Kucake Reservoir 2</t>
  </si>
  <si>
    <t>KOU - 57</t>
  </si>
  <si>
    <t>Zvarisht Reservoir 2</t>
  </si>
  <si>
    <t>KOU - 59</t>
  </si>
  <si>
    <t xml:space="preserve">Tresove Reservoir  1 </t>
  </si>
  <si>
    <t>KOU - 60</t>
  </si>
  <si>
    <t xml:space="preserve">Popcisht Reservoir </t>
  </si>
  <si>
    <t>KOU - 71</t>
  </si>
  <si>
    <t>Orman stacion pompimi</t>
  </si>
  <si>
    <t>KOU - 72</t>
  </si>
  <si>
    <t>Rot stacion pompimi</t>
  </si>
  <si>
    <t>KOU - 76</t>
  </si>
  <si>
    <t>Tresove Reservoir  2</t>
  </si>
  <si>
    <t>KOU - 77</t>
  </si>
  <si>
    <t>Vreshtas st.pomp</t>
  </si>
  <si>
    <t>Kolektori Sovjan</t>
  </si>
  <si>
    <t>KOU - 78</t>
  </si>
  <si>
    <t>Lumalas st.pomp</t>
  </si>
  <si>
    <t>KOU - 82</t>
  </si>
  <si>
    <t>Gropa Desmire st.pomp</t>
  </si>
  <si>
    <t>perroi Mesmal</t>
  </si>
  <si>
    <t>KOU - 83</t>
  </si>
  <si>
    <t>Tresove st.pomp</t>
  </si>
  <si>
    <t>l.Devoll</t>
  </si>
  <si>
    <t>KOU - 84</t>
  </si>
  <si>
    <t>Kembethekre st.pomp</t>
  </si>
  <si>
    <t>rez. Kembetheker</t>
  </si>
  <si>
    <t>KOU - 85</t>
  </si>
  <si>
    <t>Zboq st.pom</t>
  </si>
  <si>
    <t>KOU - 86</t>
  </si>
  <si>
    <t>Drithas st.pomp</t>
  </si>
  <si>
    <t>KOU - 87</t>
  </si>
  <si>
    <t>Poceste st.pom</t>
  </si>
  <si>
    <t>KOU - 88</t>
  </si>
  <si>
    <t>Shengjergj st.pom</t>
  </si>
  <si>
    <t>D.Zemblak (dega e Zvezdes)</t>
  </si>
  <si>
    <t>KOU - 89</t>
  </si>
  <si>
    <t>Golloberde st.pomp</t>
  </si>
  <si>
    <t>KOU - 90</t>
  </si>
  <si>
    <t>Plase st.pomp</t>
  </si>
  <si>
    <t>KOU - 91</t>
  </si>
  <si>
    <t>Skema individuale me kooperativa</t>
  </si>
  <si>
    <t>PGU - 17</t>
  </si>
  <si>
    <t>Grunjas Reservoir</t>
  </si>
  <si>
    <t>Rezervuar ( Vercun )</t>
  </si>
  <si>
    <t>PGU - 1</t>
  </si>
  <si>
    <t>Fusha e Staroves</t>
  </si>
  <si>
    <t>ReLume Stropcke + stp</t>
  </si>
  <si>
    <t>PGU - 10</t>
  </si>
  <si>
    <t>Grabovice Reservoir</t>
  </si>
  <si>
    <t>Rezervuar ( Grabovice )</t>
  </si>
  <si>
    <t>PGU - 14</t>
  </si>
  <si>
    <t>Kori - Vakefit Reservoir</t>
  </si>
  <si>
    <t>Rezervuar ( Kori )</t>
  </si>
  <si>
    <t>PGU - 15</t>
  </si>
  <si>
    <t>Pretush Reservoir</t>
  </si>
  <si>
    <t>Rezervuar ( Petrush )</t>
  </si>
  <si>
    <t>PGU - 9</t>
  </si>
  <si>
    <t>Stropck Vjeter</t>
  </si>
  <si>
    <t>Rezervuar ( Stropck )</t>
  </si>
  <si>
    <t>PGU - 22</t>
  </si>
  <si>
    <t>Mujazave Reservoir</t>
  </si>
  <si>
    <t>Rezervuar ( Mujazave )</t>
  </si>
  <si>
    <t>PGU - 8</t>
  </si>
  <si>
    <t>Plloce Reservoir</t>
  </si>
  <si>
    <t>Rezervuar ( Plloce )</t>
  </si>
  <si>
    <t>PGU - 19</t>
  </si>
  <si>
    <t>Hykollare</t>
  </si>
  <si>
    <t>Rezervuar ( Hykollare )</t>
  </si>
  <si>
    <t>PGU - 11</t>
  </si>
  <si>
    <t>Pusi Reservoir</t>
  </si>
  <si>
    <t>Rezervuar ( Pusi )</t>
  </si>
  <si>
    <t>PGU - 20</t>
  </si>
  <si>
    <t>Vasidol</t>
  </si>
  <si>
    <t>Rezervuar. ( Vasi )</t>
  </si>
  <si>
    <t>PGU - 23</t>
  </si>
  <si>
    <t>Maline Reservoir</t>
  </si>
  <si>
    <t>Rezervuar ( Maline )</t>
  </si>
  <si>
    <t>PGU - 16</t>
  </si>
  <si>
    <t>Pretush - Fshat</t>
  </si>
  <si>
    <t>Rezervuar ( Pretush )</t>
  </si>
  <si>
    <t>PGU - 2</t>
  </si>
  <si>
    <t>Qaf - Thana Reservoir</t>
  </si>
  <si>
    <t>Rezervuar ( Thana )</t>
  </si>
  <si>
    <t>PGU - 3</t>
  </si>
  <si>
    <t>Lin stacion pompimi 1</t>
  </si>
  <si>
    <t>Lake</t>
  </si>
  <si>
    <t>PGU - 4</t>
  </si>
  <si>
    <t>Lin stacion pompimi 2</t>
  </si>
  <si>
    <t>PGU - 5</t>
  </si>
  <si>
    <t>Hudenisht stacion pompimi</t>
  </si>
  <si>
    <t>PGU - 6</t>
  </si>
  <si>
    <t>Memelisht stacion pompimi</t>
  </si>
  <si>
    <t>PGU - 12</t>
  </si>
  <si>
    <t>Pallash Reservoir</t>
  </si>
  <si>
    <t>Rezervuar ( Pallash )</t>
  </si>
  <si>
    <t>PGU - 13</t>
  </si>
  <si>
    <t>Luadhi Celo</t>
  </si>
  <si>
    <t>PGU - 21</t>
  </si>
  <si>
    <t>Jame - Omezh</t>
  </si>
  <si>
    <t>Rezervuar ( Jame )</t>
  </si>
  <si>
    <t>PGU - 24</t>
  </si>
  <si>
    <t>Verri stacion pompimi</t>
  </si>
  <si>
    <t xml:space="preserve">Lume </t>
  </si>
  <si>
    <t>PGU - 25</t>
  </si>
  <si>
    <t>Krickove stacion pompimi</t>
  </si>
  <si>
    <t>PGU - 26</t>
  </si>
  <si>
    <t>Zall Tore stacion pompimi</t>
  </si>
  <si>
    <t>PGU - 27</t>
  </si>
  <si>
    <t>Slabinje stacion pompimi</t>
  </si>
  <si>
    <t>PGU - 28</t>
  </si>
  <si>
    <t xml:space="preserve">Golik stacion pompimi </t>
  </si>
  <si>
    <t>PGU - 29</t>
  </si>
  <si>
    <t>Guri - Nikes kanal</t>
  </si>
  <si>
    <t>PGU - 30</t>
  </si>
  <si>
    <t>Katjel - Rodokal kanal</t>
  </si>
  <si>
    <t>PGU - 31</t>
  </si>
  <si>
    <t>Central kanal</t>
  </si>
  <si>
    <t>PGU - 32</t>
  </si>
  <si>
    <t>Selce e poshtme</t>
  </si>
  <si>
    <t>PGU - 33</t>
  </si>
  <si>
    <t>Grabovice St.pomp</t>
  </si>
  <si>
    <t>PGU - 34</t>
  </si>
  <si>
    <t>Blace 1+2 st.pomp</t>
  </si>
  <si>
    <t>PGU - 35</t>
  </si>
  <si>
    <t>Gurras st.pomp</t>
  </si>
  <si>
    <t>PGU - 36</t>
  </si>
  <si>
    <t>PGU - 37</t>
  </si>
  <si>
    <t>Pogradec st.pomp</t>
  </si>
  <si>
    <t>PGU - 38</t>
  </si>
  <si>
    <t>PGU - 39</t>
  </si>
  <si>
    <t>Grunjas st.pomp</t>
  </si>
  <si>
    <t>PGU - 40</t>
  </si>
  <si>
    <t>Skema individuale kooperativa</t>
  </si>
  <si>
    <t>PGU - 18</t>
  </si>
  <si>
    <t>Frangovisht</t>
  </si>
  <si>
    <t>Rezervuar ( Frangovisht )</t>
  </si>
  <si>
    <t>PGU - 7</t>
  </si>
  <si>
    <t>Stropck Re</t>
  </si>
  <si>
    <t>Kanal</t>
  </si>
  <si>
    <t>Liqen</t>
  </si>
  <si>
    <t>Klos</t>
  </si>
  <si>
    <t>Ulez</t>
  </si>
  <si>
    <t>Skema Ujitëse</t>
  </si>
  <si>
    <t>Emërtimi</t>
  </si>
  <si>
    <t>Burimi Ujor</t>
  </si>
  <si>
    <t>Kanale të Para dhe të Dyta në Km</t>
  </si>
  <si>
    <t>Skema të plota të transferuara</t>
  </si>
  <si>
    <t>Skema të pjesërisht të transferuara</t>
  </si>
  <si>
    <t>Berat-Kucove-Dimal</t>
  </si>
  <si>
    <t>Vetëm Kanale të Dyta në Km</t>
  </si>
  <si>
    <t>Total</t>
  </si>
  <si>
    <t>23 Skema</t>
  </si>
  <si>
    <t>2 Skema</t>
  </si>
  <si>
    <t>Identifikuar në Teren</t>
  </si>
  <si>
    <t>Përditësuar</t>
  </si>
  <si>
    <t>Km</t>
  </si>
  <si>
    <t>%</t>
  </si>
  <si>
    <t>Po</t>
  </si>
  <si>
    <t>Devoll + Goraj</t>
  </si>
  <si>
    <t xml:space="preserve">Lume+ stp Rezervuar </t>
  </si>
  <si>
    <t>Gege</t>
  </si>
  <si>
    <t>Kozare</t>
  </si>
  <si>
    <t>Vlaushk</t>
  </si>
  <si>
    <t>11 Skema</t>
  </si>
  <si>
    <t>16 Skema</t>
  </si>
  <si>
    <t>Panarit</t>
  </si>
  <si>
    <t>Mollas</t>
  </si>
  <si>
    <t>Liqedh</t>
  </si>
  <si>
    <t>Koprencke</t>
  </si>
  <si>
    <t>Kuc</t>
  </si>
  <si>
    <t>Rogut</t>
  </si>
  <si>
    <t>Staravecke</t>
  </si>
  <si>
    <t>Sevrani</t>
  </si>
  <si>
    <t>Nishice</t>
  </si>
  <si>
    <t>Therepel</t>
  </si>
  <si>
    <t>Muzhnecke</t>
  </si>
  <si>
    <t>Prishte</t>
  </si>
  <si>
    <t>Zhepe</t>
  </si>
  <si>
    <t>Dores</t>
  </si>
  <si>
    <t>Qeshibec</t>
  </si>
  <si>
    <t>Strenec</t>
  </si>
  <si>
    <t>Malind</t>
  </si>
  <si>
    <t>Polonice</t>
  </si>
  <si>
    <t>Kalanjas</t>
  </si>
  <si>
    <t>Qafa</t>
  </si>
  <si>
    <t>Ustinje</t>
  </si>
  <si>
    <t>Plirez</t>
  </si>
  <si>
    <t>Jaupas</t>
  </si>
  <si>
    <t xml:space="preserve">Burimet </t>
  </si>
  <si>
    <t>Ujanik</t>
  </si>
  <si>
    <t>Kakruke</t>
  </si>
  <si>
    <t>Buzuqe</t>
  </si>
  <si>
    <t>Strore</t>
  </si>
  <si>
    <t>Orizaj</t>
  </si>
  <si>
    <t>Velesh</t>
  </si>
  <si>
    <t>Corovode</t>
  </si>
  <si>
    <t>Dobrenj</t>
  </si>
  <si>
    <t>Bigas</t>
  </si>
  <si>
    <t>Blezence</t>
  </si>
  <si>
    <t>Lapan</t>
  </si>
  <si>
    <t>Kapinove</t>
  </si>
  <si>
    <t>Blerime</t>
  </si>
  <si>
    <t>Gurazez</t>
  </si>
  <si>
    <t>Potam</t>
  </si>
  <si>
    <t>Qafe Shelg</t>
  </si>
  <si>
    <t>N.B</t>
  </si>
  <si>
    <t>Velushe</t>
  </si>
  <si>
    <t>Tomorice</t>
  </si>
  <si>
    <t>48 Skema</t>
  </si>
  <si>
    <t>13 Skema</t>
  </si>
  <si>
    <t>kanal</t>
  </si>
  <si>
    <t>Gorican</t>
  </si>
  <si>
    <t xml:space="preserve">Rezervuar  P.Stp. </t>
  </si>
  <si>
    <t xml:space="preserve"> Gorican</t>
  </si>
  <si>
    <t>Manastir</t>
  </si>
  <si>
    <t>Allambrez</t>
  </si>
  <si>
    <t>Protoduar</t>
  </si>
  <si>
    <t>Mal - Thike</t>
  </si>
  <si>
    <t>Slanice</t>
  </si>
  <si>
    <t>Goriçan 2</t>
  </si>
  <si>
    <t>Sqepur</t>
  </si>
  <si>
    <t>Drenovice</t>
  </si>
  <si>
    <t>Hinge</t>
  </si>
  <si>
    <t>Kuç</t>
  </si>
  <si>
    <t>Munushtir</t>
  </si>
  <si>
    <t xml:space="preserve">Lumi, Rezervuar </t>
  </si>
  <si>
    <t>Erzen, Xhafzotaj, Likesh, Borce, Rubjeke</t>
  </si>
  <si>
    <t>1 Skemë</t>
  </si>
  <si>
    <t>19 Skema</t>
  </si>
  <si>
    <t xml:space="preserve">Rezervuar Lume  </t>
  </si>
  <si>
    <t>Tarin, Topana, Shkalle</t>
  </si>
  <si>
    <t>Rade</t>
  </si>
  <si>
    <t>Romanat</t>
  </si>
  <si>
    <t>Arapaj</t>
  </si>
  <si>
    <t>Shkallnur</t>
  </si>
  <si>
    <t>Spitall</t>
  </si>
  <si>
    <t>Plepa</t>
  </si>
  <si>
    <t>Rrashbull</t>
  </si>
  <si>
    <t>Manskuri</t>
  </si>
  <si>
    <t>Bozanxhie</t>
  </si>
  <si>
    <t>Memaj</t>
  </si>
  <si>
    <t>Ishem</t>
  </si>
  <si>
    <t>Bacung+Dallake</t>
  </si>
  <si>
    <t>Tapize</t>
  </si>
  <si>
    <t>Thumana</t>
  </si>
  <si>
    <t>Micjan + Lekaj</t>
  </si>
  <si>
    <t>Verion</t>
  </si>
  <si>
    <t>Pengile 1+2</t>
  </si>
  <si>
    <t>Shkalle</t>
  </si>
  <si>
    <t>Fire</t>
  </si>
  <si>
    <t>Thumane</t>
  </si>
  <si>
    <t>Ishem, Zeze</t>
  </si>
  <si>
    <t>Kanalet</t>
  </si>
  <si>
    <t>Karpen</t>
  </si>
  <si>
    <t>Bilalas</t>
  </si>
  <si>
    <t>Karec</t>
  </si>
  <si>
    <t>Koxhas</t>
  </si>
  <si>
    <t>Lagje</t>
  </si>
  <si>
    <t>Gjepale</t>
  </si>
  <si>
    <t>Shtraze</t>
  </si>
  <si>
    <t>Cizmeli</t>
  </si>
  <si>
    <t>Pjeze</t>
  </si>
  <si>
    <t>10 Skema</t>
  </si>
  <si>
    <t>Rezervuri</t>
  </si>
  <si>
    <t>Lum</t>
  </si>
  <si>
    <t>Gjol</t>
  </si>
  <si>
    <t>Trojas</t>
  </si>
  <si>
    <t>Plevice</t>
  </si>
  <si>
    <t xml:space="preserve">Gjuetise </t>
  </si>
  <si>
    <t>Metaj</t>
  </si>
  <si>
    <t>Mullijze</t>
  </si>
  <si>
    <t>Cestie</t>
  </si>
  <si>
    <t>Seferen</t>
  </si>
  <si>
    <t>Perroi I zi</t>
  </si>
  <si>
    <t>Cerrage</t>
  </si>
  <si>
    <t>Deges</t>
  </si>
  <si>
    <t>Fierze</t>
  </si>
  <si>
    <t>Merhojes</t>
  </si>
  <si>
    <t>Gjazes</t>
  </si>
  <si>
    <t>Gjaze</t>
  </si>
  <si>
    <t>Paraskes</t>
  </si>
  <si>
    <t>Derishan</t>
  </si>
  <si>
    <t>Seferan</t>
  </si>
  <si>
    <t>Shtith</t>
  </si>
  <si>
    <t>Xhigloz</t>
  </si>
  <si>
    <t>Liku</t>
  </si>
  <si>
    <t>Pulari</t>
  </si>
  <si>
    <t>Deshiran</t>
  </si>
  <si>
    <t>Prift</t>
  </si>
  <si>
    <t>Thane</t>
  </si>
  <si>
    <t>35 Skema</t>
  </si>
  <si>
    <t>27 Skema</t>
  </si>
  <si>
    <t>Shales</t>
  </si>
  <si>
    <t>Gostime</t>
  </si>
  <si>
    <t>Sulove</t>
  </si>
  <si>
    <t>Xherije</t>
  </si>
  <si>
    <t>Shice</t>
  </si>
  <si>
    <t>Shtermen</t>
  </si>
  <si>
    <t>Garunje</t>
  </si>
  <si>
    <t>Bic</t>
  </si>
  <si>
    <t>Katund</t>
  </si>
  <si>
    <t>Kozhe</t>
  </si>
  <si>
    <t>Kamnec</t>
  </si>
  <si>
    <t>Gode</t>
  </si>
  <si>
    <t>Dorb</t>
  </si>
  <si>
    <t>Xibrake</t>
  </si>
  <si>
    <t>Millosh</t>
  </si>
  <si>
    <t>Cartalloz</t>
  </si>
  <si>
    <t>Topojan</t>
  </si>
  <si>
    <t>Floq</t>
  </si>
  <si>
    <t>Leproz</t>
  </si>
  <si>
    <t>Shtepanj</t>
  </si>
  <si>
    <t>Banje</t>
  </si>
  <si>
    <t>Stacion Pompimi -  Bogova</t>
  </si>
  <si>
    <t>Stacion Pompimi -  Osum</t>
  </si>
  <si>
    <t>Lume  - Vokopole</t>
  </si>
  <si>
    <t>Lume - Lybeshe</t>
  </si>
  <si>
    <t>Lume - Osum</t>
  </si>
  <si>
    <t>Rezervuar - Paraspuar</t>
  </si>
  <si>
    <t>Stacion Pompimi -  Bove</t>
  </si>
  <si>
    <t>Rezervuar - Vokopole</t>
  </si>
  <si>
    <t>Rezervuar -  Terpan</t>
  </si>
  <si>
    <t>Rezervuar Bilçe</t>
  </si>
  <si>
    <t>Lume Osum</t>
  </si>
  <si>
    <t>Rezervuar Sadovice</t>
  </si>
  <si>
    <t>Rezervuar Duhanas</t>
  </si>
  <si>
    <t>Rezervuar Ullinjas</t>
  </si>
  <si>
    <t>Rezervuar Mbreshtan</t>
  </si>
  <si>
    <t>Rezervuar Mbjeshove</t>
  </si>
  <si>
    <t>Rezervuar Roshnik</t>
  </si>
  <si>
    <t>Rezervuar Belesove</t>
  </si>
  <si>
    <t>Rezervuar Mbolan</t>
  </si>
  <si>
    <t>Rezervuar Uznove</t>
  </si>
  <si>
    <t>Rezervuar Lapardhica</t>
  </si>
  <si>
    <t>Rezervuar Gushtove</t>
  </si>
  <si>
    <t>Rezervuar Parangoi</t>
  </si>
  <si>
    <t>Rezervuar Starove</t>
  </si>
  <si>
    <t>Rezervuar Lumare</t>
  </si>
  <si>
    <t>Rezervuar Zagora</t>
  </si>
  <si>
    <t>Rezervuar Sinec</t>
  </si>
  <si>
    <t xml:space="preserve">Rezervuar Belesove </t>
  </si>
  <si>
    <t>39 Skema</t>
  </si>
  <si>
    <t>42 Skema</t>
  </si>
  <si>
    <t>93 Skema</t>
  </si>
  <si>
    <t xml:space="preserve">Burime Vehcan </t>
  </si>
  <si>
    <t xml:space="preserve">Burime Vilez </t>
  </si>
  <si>
    <t>Burime Hotolisht</t>
  </si>
  <si>
    <t xml:space="preserve">Burime Dardhe </t>
  </si>
  <si>
    <t xml:space="preserve">Burime  Katund </t>
  </si>
  <si>
    <t>Burime Letem</t>
  </si>
  <si>
    <t xml:space="preserve">Burime Vogel </t>
  </si>
  <si>
    <t xml:space="preserve">Burime Gurre Mushare </t>
  </si>
  <si>
    <t xml:space="preserve">Burime  Gurre Madhe </t>
  </si>
  <si>
    <t xml:space="preserve">Burime  Peshtan </t>
  </si>
  <si>
    <t xml:space="preserve">Lume  Gurre </t>
  </si>
  <si>
    <t xml:space="preserve">Burime Cekani </t>
  </si>
  <si>
    <t>Burime  Llize</t>
  </si>
  <si>
    <t xml:space="preserve">Lume Roc </t>
  </si>
  <si>
    <t>Lume Uljaf</t>
  </si>
  <si>
    <t>Burime Mali</t>
  </si>
  <si>
    <t xml:space="preserve">Burime Ligate </t>
  </si>
  <si>
    <t xml:space="preserve">Burime Gurre Gege </t>
  </si>
  <si>
    <t xml:space="preserve">Burime Ferre </t>
  </si>
  <si>
    <t xml:space="preserve">Lume Alimane </t>
  </si>
  <si>
    <t xml:space="preserve">Burime Pulze </t>
  </si>
  <si>
    <t>Burime Gropa Madhe</t>
  </si>
  <si>
    <t xml:space="preserve">Lume Kobille </t>
  </si>
  <si>
    <t>Burime Verri</t>
  </si>
  <si>
    <t xml:space="preserve">Burime Tjere </t>
  </si>
  <si>
    <t xml:space="preserve">Burime Spothar </t>
  </si>
  <si>
    <t>Burime Kuqes</t>
  </si>
  <si>
    <t>Burime Zabel</t>
  </si>
  <si>
    <t>Burime Myzyr</t>
  </si>
  <si>
    <t xml:space="preserve">Burime Muzhaqi </t>
  </si>
  <si>
    <t xml:space="preserve">Burime  Xhevari </t>
  </si>
  <si>
    <t xml:space="preserve">Burime Gurre Zeze </t>
  </si>
  <si>
    <t>Lume Isuf</t>
  </si>
  <si>
    <t>Burime Zgosht</t>
  </si>
  <si>
    <t>Burime Katund</t>
  </si>
  <si>
    <t>Lume Mulli</t>
  </si>
  <si>
    <t>Lume Gurres l</t>
  </si>
  <si>
    <t>Burime  Gurre Shterpe</t>
  </si>
  <si>
    <t>Burime Kace</t>
  </si>
  <si>
    <t xml:space="preserve">Lume Gaferr </t>
  </si>
  <si>
    <t>Burime Sopot</t>
  </si>
  <si>
    <t>Burime Roc</t>
  </si>
  <si>
    <t>Lume Zall</t>
  </si>
  <si>
    <t>Burime Verbe</t>
  </si>
  <si>
    <t>Lume Gjeres</t>
  </si>
  <si>
    <t>Burime Noni</t>
  </si>
  <si>
    <t>Lume Rapun</t>
  </si>
  <si>
    <t>Burime Katrafil</t>
  </si>
  <si>
    <t>Burime Fush Mal</t>
  </si>
  <si>
    <t>Burime Gurre Fushe</t>
  </si>
  <si>
    <t>Lume Tusku</t>
  </si>
  <si>
    <t>Burime Ologut</t>
  </si>
  <si>
    <t>Lume Zallit</t>
  </si>
  <si>
    <t>Burime Suli</t>
  </si>
  <si>
    <t>Lume Sane</t>
  </si>
  <si>
    <t>Burime Ballgjin</t>
  </si>
  <si>
    <t>Lume Alimete</t>
  </si>
  <si>
    <t xml:space="preserve">Burime Ali Gjete </t>
  </si>
  <si>
    <t xml:space="preserve">Burime Stalle </t>
  </si>
  <si>
    <t xml:space="preserve">Burime Minil </t>
  </si>
  <si>
    <t xml:space="preserve">Lume Ballolli </t>
  </si>
  <si>
    <t xml:space="preserve">Burime  Arrze </t>
  </si>
  <si>
    <t>Lume Mire</t>
  </si>
  <si>
    <t xml:space="preserve">Burime Gjini </t>
  </si>
  <si>
    <t xml:space="preserve">Burime Lari </t>
  </si>
  <si>
    <t xml:space="preserve">Lume Elezi </t>
  </si>
  <si>
    <t>Burime Cani</t>
  </si>
  <si>
    <t>Burime Noxhe</t>
  </si>
  <si>
    <t>Burime Spathar</t>
  </si>
  <si>
    <t>Lume Funarez</t>
  </si>
  <si>
    <t>18 Skema</t>
  </si>
  <si>
    <t>Rezervuar Visoke</t>
  </si>
  <si>
    <t>Reservuar Corrushi</t>
  </si>
  <si>
    <t>Reservuar Greshica</t>
  </si>
  <si>
    <t>Reservuar Bejari</t>
  </si>
  <si>
    <t>Reservuar Gjinoqara</t>
  </si>
  <si>
    <t>Reservuar Cyceni</t>
  </si>
  <si>
    <t>Reservuar Lumara</t>
  </si>
  <si>
    <t>Reservuar Gadurova</t>
  </si>
  <si>
    <t>Reservuar Marusha</t>
  </si>
  <si>
    <t>Reservuar Gjerbsi</t>
  </si>
  <si>
    <t>Reservuar Aranitasi</t>
  </si>
  <si>
    <t>Reservuar Ballshi</t>
  </si>
  <si>
    <t>stp Hekal</t>
  </si>
  <si>
    <t>stp Kute</t>
  </si>
  <si>
    <t>stp Lumare</t>
  </si>
  <si>
    <t>38 Skema</t>
  </si>
  <si>
    <t>1 Skeme</t>
  </si>
  <si>
    <t>4 Skema</t>
  </si>
  <si>
    <t>7 Skema</t>
  </si>
  <si>
    <t>6 Skema</t>
  </si>
  <si>
    <t>9 Skema</t>
  </si>
  <si>
    <t>8 Skema</t>
  </si>
  <si>
    <t>26 Skema</t>
  </si>
  <si>
    <t>Stp. Dragot</t>
  </si>
  <si>
    <t>Stp. Kallam</t>
  </si>
  <si>
    <t>Rezervuar Mamaj</t>
  </si>
  <si>
    <t>3 Skema</t>
  </si>
  <si>
    <t>55 Skema</t>
  </si>
  <si>
    <t>51 Skema</t>
  </si>
  <si>
    <t>31 Skema</t>
  </si>
  <si>
    <t>46 Skema</t>
  </si>
  <si>
    <t>40 Skema</t>
  </si>
  <si>
    <t>HSU - 2</t>
  </si>
  <si>
    <t>Fajza</t>
  </si>
  <si>
    <t>HSU - 1</t>
  </si>
  <si>
    <t>Fusha Golaj</t>
  </si>
  <si>
    <t>ReLume Letaj, Golaj, Qarr, Dobrune</t>
  </si>
  <si>
    <t>HSU - 3</t>
  </si>
  <si>
    <t>Llakaj</t>
  </si>
  <si>
    <t>HSU - 5</t>
  </si>
  <si>
    <t>Tobli</t>
  </si>
  <si>
    <t>HSU - 11</t>
  </si>
  <si>
    <t>Helshan 4</t>
  </si>
  <si>
    <t>HSU - 12</t>
  </si>
  <si>
    <t>Kostur</t>
  </si>
  <si>
    <t>HSU - 6</t>
  </si>
  <si>
    <t>Nikoliq 1</t>
  </si>
  <si>
    <t>HSU - 7</t>
  </si>
  <si>
    <t>Nikoliq 2</t>
  </si>
  <si>
    <t>HSU - 9</t>
  </si>
  <si>
    <t>Helshan 2</t>
  </si>
  <si>
    <t>HSU - 13</t>
  </si>
  <si>
    <t>Rosman</t>
  </si>
  <si>
    <t>HSU - 4</t>
  </si>
  <si>
    <t>Bera</t>
  </si>
  <si>
    <t>HSU - 8</t>
  </si>
  <si>
    <t>Helshan 1</t>
  </si>
  <si>
    <t>HSU - 10</t>
  </si>
  <si>
    <t>Helshan 3</t>
  </si>
  <si>
    <t>HSU - 14</t>
  </si>
  <si>
    <t>Krume</t>
  </si>
  <si>
    <t>HSU - 15</t>
  </si>
  <si>
    <t>Krume shore</t>
  </si>
  <si>
    <t>HSU - 16</t>
  </si>
  <si>
    <t>Ferizoll</t>
  </si>
  <si>
    <t>HSU - 17</t>
  </si>
  <si>
    <t>Mazrrek</t>
  </si>
  <si>
    <t>HSU - 18</t>
  </si>
  <si>
    <t>Shtufe</t>
  </si>
  <si>
    <t>HSU-V1</t>
  </si>
  <si>
    <t>Tregtan nr.1</t>
  </si>
  <si>
    <t>HSU-V2</t>
  </si>
  <si>
    <t>Tregtan nr.2</t>
  </si>
  <si>
    <t>HSU-V3</t>
  </si>
  <si>
    <t>Tregtan nr.3</t>
  </si>
  <si>
    <t>HSU-V4</t>
  </si>
  <si>
    <t>Vranisht nr.2</t>
  </si>
  <si>
    <t>HSU-V5</t>
  </si>
  <si>
    <t>Dobrune</t>
  </si>
  <si>
    <t>KUU - 1</t>
  </si>
  <si>
    <t>Kanali Uzines</t>
  </si>
  <si>
    <t>Lume Lumes</t>
  </si>
  <si>
    <t>KUU - 2</t>
  </si>
  <si>
    <t>Shishtavec reservoir</t>
  </si>
  <si>
    <t>KUU - 12</t>
  </si>
  <si>
    <t>Shtiqni kanal</t>
  </si>
  <si>
    <t>KUU - 4</t>
  </si>
  <si>
    <t>Kolsh reservoir</t>
  </si>
  <si>
    <t>KUU - 17</t>
  </si>
  <si>
    <t>Sheje kanal</t>
  </si>
  <si>
    <t>KUU - 20</t>
  </si>
  <si>
    <t>Qinamake kanal</t>
  </si>
  <si>
    <t>KUU - 24</t>
  </si>
  <si>
    <t>Cernaleves kanal</t>
  </si>
  <si>
    <t>KUU - Pob</t>
  </si>
  <si>
    <t>Pobreg</t>
  </si>
  <si>
    <t>KUU - Bardh</t>
  </si>
  <si>
    <t>Bardhoc 1,2</t>
  </si>
  <si>
    <t>KUU - 3</t>
  </si>
  <si>
    <t>Voren reservoir</t>
  </si>
  <si>
    <t>KUU - 5</t>
  </si>
  <si>
    <t>Shtane reservoir</t>
  </si>
  <si>
    <t>KUU - 6</t>
  </si>
  <si>
    <t>Shtraze stacion pompimi</t>
  </si>
  <si>
    <t>KUU - 7</t>
  </si>
  <si>
    <t>Borje stacion pompimi</t>
  </si>
  <si>
    <t>KUU - 8</t>
  </si>
  <si>
    <t>Perbreg stacion pompimi</t>
  </si>
  <si>
    <t>KUU - 9</t>
  </si>
  <si>
    <t>Dukagjin stacion pompimi</t>
  </si>
  <si>
    <t>KUU - 10</t>
  </si>
  <si>
    <t>Surraj stacion pompimi</t>
  </si>
  <si>
    <t>KUU - 11</t>
  </si>
  <si>
    <t>Caj - Vile kanal</t>
  </si>
  <si>
    <t>KUU - 13</t>
  </si>
  <si>
    <t>Perbreg - Morin kanal</t>
  </si>
  <si>
    <t>KUU - 14</t>
  </si>
  <si>
    <t>Fshat Resk kanal</t>
  </si>
  <si>
    <t>KUU - 15</t>
  </si>
  <si>
    <t>Borje - Orgjost kanal</t>
  </si>
  <si>
    <t>KUU - 16</t>
  </si>
  <si>
    <t>Koder Pece kanal</t>
  </si>
  <si>
    <t>KUU - 18</t>
  </si>
  <si>
    <t>Nange - Bushat kanal</t>
  </si>
  <si>
    <t>KUU - 19</t>
  </si>
  <si>
    <t>Borje Nimce kanal</t>
  </si>
  <si>
    <t>KUU - 21</t>
  </si>
  <si>
    <t>Surraj kanal</t>
  </si>
  <si>
    <t>KUU - 22</t>
  </si>
  <si>
    <t>Aliaj kanal</t>
  </si>
  <si>
    <t>KUU - 23</t>
  </si>
  <si>
    <t>Shtane kanal</t>
  </si>
  <si>
    <t>KUU - 25</t>
  </si>
  <si>
    <t>Radomire - Kalise kanal</t>
  </si>
  <si>
    <t>Bugova</t>
  </si>
  <si>
    <t>TPU - V12</t>
  </si>
  <si>
    <t>Llugaj</t>
  </si>
  <si>
    <t>Rez.Vladit</t>
  </si>
  <si>
    <t>TPU - V13</t>
  </si>
  <si>
    <t>Ahmataj - Sopot</t>
  </si>
  <si>
    <t>Rez.Deges</t>
  </si>
  <si>
    <t>Rez.Kasaje</t>
  </si>
  <si>
    <t>Rez. Zherkes nr.1</t>
  </si>
  <si>
    <t>Rez.Berishes nr.2</t>
  </si>
  <si>
    <t>Rez.Tropojes</t>
  </si>
  <si>
    <t>Rez.Zherkes nr.2</t>
  </si>
  <si>
    <t>Rez.Berishes nr.1</t>
  </si>
  <si>
    <t>Kanali ujites Krasniqe</t>
  </si>
  <si>
    <t>Lume Valbone</t>
  </si>
  <si>
    <t>Kanale ujites Pacit - Zogaj</t>
  </si>
  <si>
    <t xml:space="preserve">Lume  </t>
  </si>
  <si>
    <t>TPU - V14</t>
  </si>
  <si>
    <t>Kanali ujites  Begaj</t>
  </si>
  <si>
    <t>TPU - V15</t>
  </si>
  <si>
    <t>Rez.T'planit</t>
  </si>
  <si>
    <t>TPU - V16</t>
  </si>
  <si>
    <t>Stacioni  I  pompave  Cerrnice</t>
  </si>
  <si>
    <t>TPU - V17</t>
  </si>
  <si>
    <t>Stacioni  I  pompave  Bujan</t>
  </si>
  <si>
    <t>TPU - V18</t>
  </si>
  <si>
    <t>Stacioni  I  pompave  Kasaj</t>
  </si>
  <si>
    <t>TPU - V19</t>
  </si>
  <si>
    <t>Stacioni  I  pomave    Llugaj</t>
  </si>
  <si>
    <t>TPU - V20</t>
  </si>
  <si>
    <t>Stacioni  I  pompave  Kocanaj</t>
  </si>
  <si>
    <t>TPU - V21</t>
  </si>
  <si>
    <t>Stacioni  I  pomave    Zan/Arvej</t>
  </si>
  <si>
    <t>TPU - V22</t>
  </si>
  <si>
    <t>Stacioni  I  pompave  Dushaj-Eper</t>
  </si>
  <si>
    <t>TPU - V23</t>
  </si>
  <si>
    <t>Stacioni  I  pompave  Dege</t>
  </si>
  <si>
    <t>TPU - V24</t>
  </si>
  <si>
    <t>Stacioni  I  pompave  Corraj</t>
  </si>
  <si>
    <t>TPU - V25</t>
  </si>
  <si>
    <t>Stacioni  I  pompave  Kepenek</t>
  </si>
  <si>
    <t>TPU - V26</t>
  </si>
  <si>
    <t xml:space="preserve">Stacioni  I  pompave  Zogaj </t>
  </si>
  <si>
    <t>TPU - V27</t>
  </si>
  <si>
    <t>Stacioni  I  pompave  Visoce</t>
  </si>
  <si>
    <t>TPU - V28</t>
  </si>
  <si>
    <t>Stacioni  I  pompave  Kucane</t>
  </si>
  <si>
    <t>TPU - V29</t>
  </si>
  <si>
    <t>Stacioni  I  pompave  Qender Tpla</t>
  </si>
  <si>
    <t>TPU - V30</t>
  </si>
  <si>
    <t>Stacioni  I  pompave  Kryekand</t>
  </si>
  <si>
    <t>TPU - V31</t>
  </si>
  <si>
    <t>Stacioni  I  pompave  Rrogam</t>
  </si>
  <si>
    <t>TPU - V32</t>
  </si>
  <si>
    <t>Stacioni  I  pompave  Kame</t>
  </si>
  <si>
    <t>TPU - V33</t>
  </si>
  <si>
    <t>Stacioni  I  pompave  Prifce</t>
  </si>
  <si>
    <t>TPU - V34</t>
  </si>
  <si>
    <t>Stacioni  I  pompave  Begaje</t>
  </si>
  <si>
    <t>TPU - V35</t>
  </si>
  <si>
    <t>Stacioni  I  pompave  Tropoje</t>
  </si>
  <si>
    <t>TPU - V36</t>
  </si>
  <si>
    <t>Stacioni  I  pompave  Shengjergje</t>
  </si>
  <si>
    <t>TPU - V37</t>
  </si>
  <si>
    <t>Stacioni  I  pompave  Deges</t>
  </si>
  <si>
    <t>37 Skema</t>
  </si>
  <si>
    <t>LAU - 1</t>
  </si>
  <si>
    <t>Thumana, Droje, Shllinza</t>
  </si>
  <si>
    <t>Lumi Mat, stp</t>
  </si>
  <si>
    <t>LAU - 2</t>
  </si>
  <si>
    <t xml:space="preserve">Zheje </t>
  </si>
  <si>
    <t>LAU - 6</t>
  </si>
  <si>
    <t>Zheje Pst</t>
  </si>
  <si>
    <t>kanal ( U - 1 )</t>
  </si>
  <si>
    <t>LAU - 3</t>
  </si>
  <si>
    <t>Mamurras Pst</t>
  </si>
  <si>
    <t>LAU - 4</t>
  </si>
  <si>
    <t>Lac pst</t>
  </si>
  <si>
    <t>LAU - 5</t>
  </si>
  <si>
    <t>Gjonem Pst</t>
  </si>
  <si>
    <t>LAU - 7</t>
  </si>
  <si>
    <t>Vinjolle 3</t>
  </si>
  <si>
    <t>LAU - 8</t>
  </si>
  <si>
    <t>Gallate 3</t>
  </si>
  <si>
    <t>LAU - 9</t>
  </si>
  <si>
    <t>Gernac 3</t>
  </si>
  <si>
    <t>LAU - 10</t>
  </si>
  <si>
    <t>Skuraj</t>
  </si>
  <si>
    <t>LAU - 11</t>
  </si>
  <si>
    <t>LAU - 12</t>
  </si>
  <si>
    <t>Burime hauze</t>
  </si>
  <si>
    <t>LAU - 13</t>
  </si>
  <si>
    <t xml:space="preserve">Gallate </t>
  </si>
  <si>
    <t>12 Skema</t>
  </si>
  <si>
    <t>LEU - 1</t>
  </si>
  <si>
    <t>Mat - Lezhe</t>
  </si>
  <si>
    <t>Lumi. ( Mat )</t>
  </si>
  <si>
    <t>LEU - 3</t>
  </si>
  <si>
    <t>Zadrime</t>
  </si>
  <si>
    <t>Lumi Drin, stp</t>
  </si>
  <si>
    <t>LEU - 5</t>
  </si>
  <si>
    <t>Res Kallmet, Fishte, Troshan</t>
  </si>
  <si>
    <t>LEU - 28/1</t>
  </si>
  <si>
    <t>Bilisht vija</t>
  </si>
  <si>
    <t>kanal 1</t>
  </si>
  <si>
    <t>LEU - 6</t>
  </si>
  <si>
    <t>Fishte Reservoir</t>
  </si>
  <si>
    <t>LEU - 41</t>
  </si>
  <si>
    <t>Vijat Ungrej</t>
  </si>
  <si>
    <t xml:space="preserve">Lumi Dibrit </t>
  </si>
  <si>
    <t>LEU - 9</t>
  </si>
  <si>
    <t>Kashnjet reservoir</t>
  </si>
  <si>
    <t>LEU - 7</t>
  </si>
  <si>
    <t>Troshan Reservoir</t>
  </si>
  <si>
    <t>LEU - 42</t>
  </si>
  <si>
    <t>Vija Kallmet</t>
  </si>
  <si>
    <t>Perrenj</t>
  </si>
  <si>
    <t>LEU - 34</t>
  </si>
  <si>
    <t>Vija Madhe</t>
  </si>
  <si>
    <t>Lumi Gjader)</t>
  </si>
  <si>
    <t>LEU - 36</t>
  </si>
  <si>
    <t>Vija Kalivaç</t>
  </si>
  <si>
    <t>LEU - 40</t>
  </si>
  <si>
    <t>Vija Kalor</t>
  </si>
  <si>
    <t>LEU - 37</t>
  </si>
  <si>
    <t>Vija Zimaj</t>
  </si>
  <si>
    <t>LEU - 39</t>
  </si>
  <si>
    <t>Vija Gjazuve</t>
  </si>
  <si>
    <t>Lumi Gjazuve</t>
  </si>
  <si>
    <t>LEU - 38</t>
  </si>
  <si>
    <t>Vija Kashnjet</t>
  </si>
  <si>
    <t>Rezervuar ( kashnjet )</t>
  </si>
  <si>
    <t>LEU - 43</t>
  </si>
  <si>
    <t>Vija Fregen</t>
  </si>
  <si>
    <t>LEU - 44</t>
  </si>
  <si>
    <t>Vija Qershise</t>
  </si>
  <si>
    <t xml:space="preserve">Perroi Qershise </t>
  </si>
  <si>
    <t>LEU - 46</t>
  </si>
  <si>
    <t>Vija Troshan</t>
  </si>
  <si>
    <t>Perroi Troshan</t>
  </si>
  <si>
    <t>LEU - 47</t>
  </si>
  <si>
    <t>Vija Krajnit</t>
  </si>
  <si>
    <t>Perroi Krajn</t>
  </si>
  <si>
    <t>LEU - 45</t>
  </si>
  <si>
    <t>Vija Mulleze</t>
  </si>
  <si>
    <t>Perroi Mulleze</t>
  </si>
  <si>
    <t>LEU - 10</t>
  </si>
  <si>
    <t>Berzane stacion pompimi</t>
  </si>
  <si>
    <t>Lume ( Mat )</t>
  </si>
  <si>
    <t>LEU - 11</t>
  </si>
  <si>
    <t>Rrile</t>
  </si>
  <si>
    <t>LEU - 12</t>
  </si>
  <si>
    <t>Shengjin Island</t>
  </si>
  <si>
    <t>Stp. ( Drin )</t>
  </si>
  <si>
    <t>LEU - 13</t>
  </si>
  <si>
    <t>Island stacion pompimi 1</t>
  </si>
  <si>
    <t>LEU - 14</t>
  </si>
  <si>
    <t>Island stacion pompimi 3</t>
  </si>
  <si>
    <t>LEU - 15</t>
  </si>
  <si>
    <t>Hotelit stacion pompimi</t>
  </si>
  <si>
    <t>Puse</t>
  </si>
  <si>
    <t>LEU - 17</t>
  </si>
  <si>
    <t>Gryke Zeze stacion pompimi</t>
  </si>
  <si>
    <t>kanal ( Zadrime )</t>
  </si>
  <si>
    <t>LEU - 18</t>
  </si>
  <si>
    <t>Ulliri stacion pompimi</t>
  </si>
  <si>
    <t>LEU - 2</t>
  </si>
  <si>
    <t>Rrile UFSH</t>
  </si>
  <si>
    <t>LEU - 21</t>
  </si>
  <si>
    <t>Raboshte stacion pompimi</t>
  </si>
  <si>
    <t>LEU - 22</t>
  </si>
  <si>
    <t>Koter stacion pompimi</t>
  </si>
  <si>
    <t>Stp. ( Gjader )</t>
  </si>
  <si>
    <t>LEU - 24</t>
  </si>
  <si>
    <t>Dajç stacion pompimi 1</t>
  </si>
  <si>
    <t>LEU - 28</t>
  </si>
  <si>
    <t>Bilisht stacion pompimi</t>
  </si>
  <si>
    <t>LEU - 29</t>
  </si>
  <si>
    <t>Kalorit stacion pompimi</t>
  </si>
  <si>
    <t>Stp. ( Dibrit )</t>
  </si>
  <si>
    <t>LEU - 35</t>
  </si>
  <si>
    <t>Vija Kaftalle</t>
  </si>
  <si>
    <t>LEU - 4</t>
  </si>
  <si>
    <t>UFSH Kakariq</t>
  </si>
  <si>
    <t>LEU - 8</t>
  </si>
  <si>
    <t>Patalej reservoir</t>
  </si>
  <si>
    <t>Rezrvuar</t>
  </si>
  <si>
    <t>36 Skema</t>
  </si>
  <si>
    <t>1 Skema</t>
  </si>
  <si>
    <t>MRU - 2</t>
  </si>
  <si>
    <t>Malaj 1</t>
  </si>
  <si>
    <t>MRU - 6</t>
  </si>
  <si>
    <t>Sheshaj</t>
  </si>
  <si>
    <t>MRU - 3</t>
  </si>
  <si>
    <t xml:space="preserve">Malaj 2 </t>
  </si>
  <si>
    <t>MRU - 1</t>
  </si>
  <si>
    <t>Geziq</t>
  </si>
  <si>
    <t>MRU - 5</t>
  </si>
  <si>
    <t>Perlat</t>
  </si>
  <si>
    <t>MRU - 8</t>
  </si>
  <si>
    <t>Tarazh</t>
  </si>
  <si>
    <t>MRU - 4</t>
  </si>
  <si>
    <t>Prosek(Trojza)</t>
  </si>
  <si>
    <t>MRU - 7</t>
  </si>
  <si>
    <t>Sheshi Kumone</t>
  </si>
  <si>
    <t>MRU - 9</t>
  </si>
  <si>
    <t>Shengjergj</t>
  </si>
  <si>
    <t>MRU - 10</t>
  </si>
  <si>
    <t>Rreshen Fan Vogel</t>
  </si>
  <si>
    <t>Lum Fan</t>
  </si>
  <si>
    <t xml:space="preserve">Ujtje skema te vogla </t>
  </si>
  <si>
    <t>stp. 44 cope</t>
  </si>
  <si>
    <t>MRU -V1</t>
  </si>
  <si>
    <t>LUU 3-1</t>
  </si>
  <si>
    <t>STP Rrogozhine</t>
  </si>
  <si>
    <t xml:space="preserve">Lumi </t>
  </si>
  <si>
    <t>LUU 3-2</t>
  </si>
  <si>
    <t>STP Cerme</t>
  </si>
  <si>
    <t>LUU 3-3</t>
  </si>
  <si>
    <t>STP Cerm Shkumbin</t>
  </si>
  <si>
    <t>LUU 1 -3</t>
  </si>
  <si>
    <t>UFSH Bedat nr.1</t>
  </si>
  <si>
    <t>Emisari Myzeqese</t>
  </si>
  <si>
    <t>LUU 1 -4</t>
  </si>
  <si>
    <t>UFSH Bedat nr.2</t>
  </si>
  <si>
    <t>LUU 1 -5</t>
  </si>
  <si>
    <t>UFSH Terbuf</t>
  </si>
  <si>
    <t>Kolektori Dushk</t>
  </si>
  <si>
    <t>LUU 1 -6</t>
  </si>
  <si>
    <t>UFSH Grabian</t>
  </si>
  <si>
    <t>K 10/2</t>
  </si>
  <si>
    <t>LUU 1 -7</t>
  </si>
  <si>
    <t>STP K4 Bedat</t>
  </si>
  <si>
    <t>LUK 3-4</t>
  </si>
  <si>
    <t>LUU 2-1</t>
  </si>
  <si>
    <t>Rezervuari Divjakes</t>
  </si>
  <si>
    <t>LUU 2-2</t>
  </si>
  <si>
    <t>Rezervuari Xeng 1</t>
  </si>
  <si>
    <t>LUU 2-3</t>
  </si>
  <si>
    <t>Rezervuari Xeng 2</t>
  </si>
  <si>
    <t>LUU 2-4</t>
  </si>
  <si>
    <t>Rezervuari Mizes</t>
  </si>
  <si>
    <t>LUU 2-5</t>
  </si>
  <si>
    <t>STP Divjake</t>
  </si>
  <si>
    <t>Emisari Terbufit</t>
  </si>
  <si>
    <t>LUU 2-6</t>
  </si>
  <si>
    <t>STP Pulari Divjake</t>
  </si>
  <si>
    <t>LUU 2-7</t>
  </si>
  <si>
    <t>UFSH Mize</t>
  </si>
  <si>
    <t>Rezervuari Xeng</t>
  </si>
  <si>
    <t>LUU 5-1</t>
  </si>
  <si>
    <t>Rezervuari I Kryekuqit Nr.1</t>
  </si>
  <si>
    <t>LUU 5-2</t>
  </si>
  <si>
    <t>Rezervuari I Kryekuqit Nr.2</t>
  </si>
  <si>
    <t>LUU 5-3</t>
  </si>
  <si>
    <t>Rezervuari Spolate Nr.1</t>
  </si>
  <si>
    <t>LUU 5-4</t>
  </si>
  <si>
    <t>Rezervuari Spolate Nr.2</t>
  </si>
  <si>
    <t>LUU 5-5</t>
  </si>
  <si>
    <t>Rezervuari Spolate Nr.3</t>
  </si>
  <si>
    <t>LUU 5-6</t>
  </si>
  <si>
    <t>Rezervuari Plemaj</t>
  </si>
  <si>
    <t>LUU 5-7</t>
  </si>
  <si>
    <t>Rezervuari Shenkollas Nr.1</t>
  </si>
  <si>
    <t>LUU 5-8</t>
  </si>
  <si>
    <t>Rezervuari Shenkollas Nr.2</t>
  </si>
  <si>
    <t>LUU 5-9</t>
  </si>
  <si>
    <t>Rezervuari Grabian Nr.1</t>
  </si>
  <si>
    <t>LUU 5-10</t>
  </si>
  <si>
    <t>Rezervuari Grabian Nr.2</t>
  </si>
  <si>
    <t>LUU 5-11</t>
  </si>
  <si>
    <t>Rezervuari Ardenice</t>
  </si>
  <si>
    <t>LUU 5-12</t>
  </si>
  <si>
    <t>Rezervuari Kolonje</t>
  </si>
  <si>
    <t>LUU 5-13</t>
  </si>
  <si>
    <t>Rezervuari Fierseman</t>
  </si>
  <si>
    <t>LUU 5-14</t>
  </si>
  <si>
    <t>Rezervuari Bicukas</t>
  </si>
  <si>
    <t>LUU 5-15</t>
  </si>
  <si>
    <t>Rezervuari Germenj</t>
  </si>
  <si>
    <t>LUU 5-16</t>
  </si>
  <si>
    <t>Rezervuari Dushk Can</t>
  </si>
  <si>
    <t>LUU 5-17</t>
  </si>
  <si>
    <t>STP Bicukas</t>
  </si>
  <si>
    <t>LUU 5-18</t>
  </si>
  <si>
    <t>STP Sulzotaj</t>
  </si>
  <si>
    <t>LUU 5-19</t>
  </si>
  <si>
    <t>STP Shenepremte</t>
  </si>
  <si>
    <t>LUU 5-20</t>
  </si>
  <si>
    <t>STP 105 Grabian</t>
  </si>
  <si>
    <t>K 10/1</t>
  </si>
  <si>
    <t>LUU 5-21</t>
  </si>
  <si>
    <t>STP Spolat</t>
  </si>
  <si>
    <t>Dega Terbuf</t>
  </si>
  <si>
    <t>LUU 5-22</t>
  </si>
  <si>
    <t>STP Gradisht</t>
  </si>
  <si>
    <t>LUU 5-23</t>
  </si>
  <si>
    <t>STP Korie</t>
  </si>
  <si>
    <t>Dega e Krutjes</t>
  </si>
  <si>
    <t>LUU 5-24</t>
  </si>
  <si>
    <t>STP Ardenice</t>
  </si>
  <si>
    <t>Kolektori Bitaj</t>
  </si>
  <si>
    <t>LUU 5-25</t>
  </si>
  <si>
    <t>STP Kolonje</t>
  </si>
  <si>
    <t>LUU 5-26</t>
  </si>
  <si>
    <t>STP Gure</t>
  </si>
  <si>
    <t>V2 Dega e Krutjes</t>
  </si>
  <si>
    <t>41 Skema</t>
  </si>
  <si>
    <t>LUU 1 -1</t>
  </si>
  <si>
    <t>Murriz Thana</t>
  </si>
  <si>
    <t>Rezervuar. &amp;  Lume</t>
  </si>
  <si>
    <t>LUU 1 -2</t>
  </si>
  <si>
    <t>Rezervuari Kasharajt</t>
  </si>
  <si>
    <t>LUU 4-1</t>
  </si>
  <si>
    <t>Rezervuari I Pajallise</t>
  </si>
  <si>
    <t>LUU 4-2</t>
  </si>
  <si>
    <t>Rezervuari I Manasufajt</t>
  </si>
  <si>
    <t>LUU 4-3</t>
  </si>
  <si>
    <t>Rezervuari I Shegasit</t>
  </si>
  <si>
    <t>LUU 4-4</t>
  </si>
  <si>
    <t>Rezervuari Dushkut</t>
  </si>
  <si>
    <t>LUU 4-5</t>
  </si>
  <si>
    <t>Rezervuari Ballaj</t>
  </si>
  <si>
    <t>LUU 4-6</t>
  </si>
  <si>
    <t>Rezervuari Gramsh</t>
  </si>
  <si>
    <t>LUU 4-7</t>
  </si>
  <si>
    <t>Rezervuari Golem I Vogel</t>
  </si>
  <si>
    <t>LUU 4-8</t>
  </si>
  <si>
    <t>Rezervuari I Garunjasit</t>
  </si>
  <si>
    <t>LUU 4-9</t>
  </si>
  <si>
    <t>Rezervuari Canakaj</t>
  </si>
  <si>
    <t>LUU 4-10</t>
  </si>
  <si>
    <t>Rezervuari Lekaj</t>
  </si>
  <si>
    <t>LUU 4-11</t>
  </si>
  <si>
    <t>Rezervuari Skilaj</t>
  </si>
  <si>
    <t>LUU 4-12</t>
  </si>
  <si>
    <t>Rezervuari Tatajt</t>
  </si>
  <si>
    <t>LUU 4-13</t>
  </si>
  <si>
    <t>Rezervuari Gjuzaj</t>
  </si>
  <si>
    <t>LUU 4-14</t>
  </si>
  <si>
    <t>Rezervuari Kurtin Nr.1</t>
  </si>
  <si>
    <t>LUU 4-15</t>
  </si>
  <si>
    <t>Rezervuari Kurtin Nr.2</t>
  </si>
  <si>
    <t>LUU 4-16</t>
  </si>
  <si>
    <t>STP Murriz-Peqin Nr.1</t>
  </si>
  <si>
    <t>Rezervuari Pajalli</t>
  </si>
  <si>
    <t>LUU 4-17</t>
  </si>
  <si>
    <t>STP Murriz-Peqin Nr.2</t>
  </si>
  <si>
    <t>LUU 4-18</t>
  </si>
  <si>
    <t>STP Golem</t>
  </si>
  <si>
    <t>Rezervuari Golem</t>
  </si>
  <si>
    <t>LUU 4-19</t>
  </si>
  <si>
    <t>STP Dushk</t>
  </si>
  <si>
    <t>Dega V4</t>
  </si>
  <si>
    <t>LUU 4-20</t>
  </si>
  <si>
    <t>STP Manasufaj</t>
  </si>
  <si>
    <t>Rezervuari Manasufaj</t>
  </si>
  <si>
    <t>LUU 4-21</t>
  </si>
  <si>
    <t>STP Ballaj</t>
  </si>
  <si>
    <t>LUU 4-22</t>
  </si>
  <si>
    <t>LUU 4-23</t>
  </si>
  <si>
    <t>STP Tataj</t>
  </si>
  <si>
    <t>Rezervuari Tataj</t>
  </si>
  <si>
    <t>LUU 4-24</t>
  </si>
  <si>
    <t>STP Sejmenez</t>
  </si>
  <si>
    <t>Kolektori Sejmenez</t>
  </si>
  <si>
    <t>LUU 4-25</t>
  </si>
  <si>
    <t>STP Pajalli</t>
  </si>
  <si>
    <t>LUU 4-26</t>
  </si>
  <si>
    <t>STP Ciflig</t>
  </si>
  <si>
    <t>Dega e Lushnjes</t>
  </si>
  <si>
    <t>DIU (J) - 1</t>
  </si>
  <si>
    <t>Bllace - Maqellare</t>
  </si>
  <si>
    <t>Rezervuar  + Burime</t>
  </si>
  <si>
    <t>DIU(N) - 65</t>
  </si>
  <si>
    <t>Rezervuari Valit</t>
  </si>
  <si>
    <t>DIU(N) - 61</t>
  </si>
  <si>
    <t>Rezervuari Ballenje</t>
  </si>
  <si>
    <t>BZU - V20</t>
  </si>
  <si>
    <t>Kanali Ujites Shupenze</t>
  </si>
  <si>
    <t>Bllace Maqellare</t>
  </si>
  <si>
    <t>Rezervuari Bllaces</t>
  </si>
  <si>
    <t>BZU - V11</t>
  </si>
  <si>
    <t>Kanali Ujites Ura e Qytetit Krajke</t>
  </si>
  <si>
    <t>BZU - V10</t>
  </si>
  <si>
    <t>kanali ujites Liqeni i zi Gollobord (okshtun)</t>
  </si>
  <si>
    <t>Liqen i Zi</t>
  </si>
  <si>
    <t>BZU - V30</t>
  </si>
  <si>
    <t>Kanali Ujites Reduç - Klenje</t>
  </si>
  <si>
    <t>BZU - V15</t>
  </si>
  <si>
    <t>Kanali Ujites Priftak</t>
  </si>
  <si>
    <t>BZU - V6</t>
  </si>
  <si>
    <t>Kanali Ujites Pjesa Tuçep</t>
  </si>
  <si>
    <t>BZU - V2</t>
  </si>
  <si>
    <t>Kanali Ujites Ternove e madhe</t>
  </si>
  <si>
    <t>BZU - V8</t>
  </si>
  <si>
    <t>Kanali Ujites Fushe Okshatine</t>
  </si>
  <si>
    <t>BZU - V5</t>
  </si>
  <si>
    <t>Kanali Ujites Vajkal</t>
  </si>
  <si>
    <t>BZU - V35</t>
  </si>
  <si>
    <t>Kanali Ujites Pacnik</t>
  </si>
  <si>
    <t>BZU - V3</t>
  </si>
  <si>
    <t>Kanali Ujites  Dragua</t>
  </si>
  <si>
    <t>BZU - V25</t>
  </si>
  <si>
    <t>Kanali Ujites Strickan</t>
  </si>
  <si>
    <t>BZU - V27</t>
  </si>
  <si>
    <t>Kanali Ujites Viçisht</t>
  </si>
  <si>
    <t>Kanali Ujites Tuçep - Çerenec</t>
  </si>
  <si>
    <t>BZU - V7</t>
  </si>
  <si>
    <t>Kanali Ujites Gotvi</t>
  </si>
  <si>
    <t>BZU - V12</t>
  </si>
  <si>
    <t>Kanali Ujites Sofraçan</t>
  </si>
  <si>
    <t>BZU - V13</t>
  </si>
  <si>
    <t>Kanali Ujites Ternove e Vogel</t>
  </si>
  <si>
    <t>BZU - V14</t>
  </si>
  <si>
    <t>Kanali Ujites Majmej</t>
  </si>
  <si>
    <t>BZU - V16</t>
  </si>
  <si>
    <t>Kanali Ujites Gjorice e Siperme</t>
  </si>
  <si>
    <t>BZU - V17</t>
  </si>
  <si>
    <t>Kanali Ujites Gjorice e Poshtme</t>
  </si>
  <si>
    <t>BZU - V18</t>
  </si>
  <si>
    <t>Kanali Ujites Varret e Vrame - Strikçan</t>
  </si>
  <si>
    <t>BZU - V19</t>
  </si>
  <si>
    <t>Kanali Ujitesi Pishave Drague</t>
  </si>
  <si>
    <t>BZU - V21</t>
  </si>
  <si>
    <t>Kanali Ujites Qafe - Gjon</t>
  </si>
  <si>
    <t>BZU - V22</t>
  </si>
  <si>
    <t>Kanali Ujites i pishave Lagje Kice</t>
  </si>
  <si>
    <t>BZU - V23</t>
  </si>
  <si>
    <t>kanali ujites liqeni i Zi Gollobord (Ostren)</t>
  </si>
  <si>
    <t>Liqeni i Zi</t>
  </si>
  <si>
    <t>BZU - V24</t>
  </si>
  <si>
    <t>Kanali Ujites i Telit</t>
  </si>
  <si>
    <t>BZU - V26</t>
  </si>
  <si>
    <t>Kanali Ujites Terbaç</t>
  </si>
  <si>
    <t>BZU - V28</t>
  </si>
  <si>
    <t>Kanali Ujites Ruse - Homesh</t>
  </si>
  <si>
    <t>BZU - V29</t>
  </si>
  <si>
    <t>Kanali Ujites pjesa Fushe Ozhanen</t>
  </si>
  <si>
    <t>BZU - V31</t>
  </si>
  <si>
    <t>Kanali Ujites Gjon</t>
  </si>
  <si>
    <t>BZU - V32</t>
  </si>
  <si>
    <t>Kanali Ujites Polemicel Tuçep</t>
  </si>
  <si>
    <t>BZU - V33</t>
  </si>
  <si>
    <t>Kanali Ujites Hotishan Maqedon</t>
  </si>
  <si>
    <t>BZU - V34</t>
  </si>
  <si>
    <t>Kanali Ujites Pjesa Lladomerice</t>
  </si>
  <si>
    <t>BZU - V36</t>
  </si>
  <si>
    <t>K.U.Stp.Pompe Ostren i Vogel</t>
  </si>
  <si>
    <t>Stacion pompimi</t>
  </si>
  <si>
    <t>BZU - V37</t>
  </si>
  <si>
    <t>K.U.Stp.pompe Laçjan</t>
  </si>
  <si>
    <t>BZU - V38</t>
  </si>
  <si>
    <t>Dragun</t>
  </si>
  <si>
    <t>Stacion pompimi Fushe Bulqize</t>
  </si>
  <si>
    <t>BZU - V39</t>
  </si>
  <si>
    <t>Vajkal</t>
  </si>
  <si>
    <t>BZU - V40</t>
  </si>
  <si>
    <t>Hidrovori Vajkal</t>
  </si>
  <si>
    <t>BZU - V41</t>
  </si>
  <si>
    <t>Kanali Ujites Ostren i Voge - Vernice</t>
  </si>
  <si>
    <t>BZU - V4</t>
  </si>
  <si>
    <t>BZU - V1</t>
  </si>
  <si>
    <t>DIU(J) - 11</t>
  </si>
  <si>
    <t>Kanali Qëndrës</t>
  </si>
  <si>
    <t>Lume ( Llixha )</t>
  </si>
  <si>
    <t>DIU(N) - 10</t>
  </si>
  <si>
    <t>Kanali Sete - Fushe Alije - Kander</t>
  </si>
  <si>
    <t>Lume ( Sete ) + Burime</t>
  </si>
  <si>
    <t>DIU(N) - 12</t>
  </si>
  <si>
    <t>Kanali Grame - Sohodoll</t>
  </si>
  <si>
    <t>Perrua ( Grame ) + Rezervuar</t>
  </si>
  <si>
    <t>DIU (J) - 2</t>
  </si>
  <si>
    <t>Liqejte e Kacnise</t>
  </si>
  <si>
    <t>Lume ( Osum )</t>
  </si>
  <si>
    <t>DIU(N) - 8</t>
  </si>
  <si>
    <t>Cernjev - Shumbat kanal</t>
  </si>
  <si>
    <t>Lume ( Veleshnice )</t>
  </si>
  <si>
    <t>DIU (V) - 1</t>
  </si>
  <si>
    <t>Kanali Sete - Dardhe - Sine</t>
  </si>
  <si>
    <t>Burim Gur Lure</t>
  </si>
  <si>
    <t>DIU(J) - 10</t>
  </si>
  <si>
    <t>Kanali Kovashices</t>
  </si>
  <si>
    <t>Lum ( Zogje)</t>
  </si>
  <si>
    <t>DIU(N) -13/0</t>
  </si>
  <si>
    <t>Kanali Muhur - Brezhdan</t>
  </si>
  <si>
    <t>Lume ( Murres )</t>
  </si>
  <si>
    <t>DIU(N) - 11</t>
  </si>
  <si>
    <t>Kanali Sete - Arras Lacas</t>
  </si>
  <si>
    <t>Lume ( Sete )</t>
  </si>
  <si>
    <t>DIU (J) - 3</t>
  </si>
  <si>
    <t>Rezervuari i Qenokut</t>
  </si>
  <si>
    <t>Perroi Melan</t>
  </si>
  <si>
    <t>DIU(N) - 9</t>
  </si>
  <si>
    <t>Kanali Vlesh - Shumbat</t>
  </si>
  <si>
    <t>Lume ( Vleshe )</t>
  </si>
  <si>
    <t>DIU (V) - 3</t>
  </si>
  <si>
    <t>Rezervuari Shumbat</t>
  </si>
  <si>
    <t xml:space="preserve">Rezervuar   </t>
  </si>
  <si>
    <t>DIU(N) - 15</t>
  </si>
  <si>
    <t>Kanali Fushe Muhur</t>
  </si>
  <si>
    <t>DIU(N) - 35</t>
  </si>
  <si>
    <t>Kanali Vija e Mullirit</t>
  </si>
  <si>
    <t>Lume ( Grames )</t>
  </si>
  <si>
    <t>DIU(N) - 37</t>
  </si>
  <si>
    <t>Kanali Vija Madhe</t>
  </si>
  <si>
    <t>DIU(S) - 44</t>
  </si>
  <si>
    <t>Kanali Trepce Pejke</t>
  </si>
  <si>
    <t>DIU (J) - 6</t>
  </si>
  <si>
    <t>Rezervuari Grezhdan</t>
  </si>
  <si>
    <t>Burime Bjeshke</t>
  </si>
  <si>
    <t>DIU(S) - 32</t>
  </si>
  <si>
    <t>Kanali Drini i Ri</t>
  </si>
  <si>
    <t>Lume Drin</t>
  </si>
  <si>
    <t>DIU (J) - 4</t>
  </si>
  <si>
    <t>Rezervuari Kuplane</t>
  </si>
  <si>
    <t>DIU(S) - 37</t>
  </si>
  <si>
    <t>Rezervuari Lukan</t>
  </si>
  <si>
    <t>DIU (J) - 5</t>
  </si>
  <si>
    <t>Rezervuari Melan</t>
  </si>
  <si>
    <t>Perrua ( Melan)</t>
  </si>
  <si>
    <t>DIU(S) - 55</t>
  </si>
  <si>
    <t>Kanali Vija e Madhe Dohoshisht</t>
  </si>
  <si>
    <t>DIU(N) - 19</t>
  </si>
  <si>
    <t>Kanali Zhuri Brezhdan</t>
  </si>
  <si>
    <t>DIU(N) - 62</t>
  </si>
  <si>
    <t>Liqeni Sopeve</t>
  </si>
  <si>
    <t>DIU (J) - 9</t>
  </si>
  <si>
    <t>Rezervuari Greve</t>
  </si>
  <si>
    <t>Perrua (Greve)</t>
  </si>
  <si>
    <t>DIU(S) - 56</t>
  </si>
  <si>
    <t>Kanali Varen - Dohoshisht</t>
  </si>
  <si>
    <t>DIU(N) - 64</t>
  </si>
  <si>
    <t>Kanali Mazhic - Hotesh</t>
  </si>
  <si>
    <t>Burim</t>
  </si>
  <si>
    <t>DIU(S) - 45</t>
  </si>
  <si>
    <t>Kanali Mulliri Melan</t>
  </si>
  <si>
    <t>Perrua (Melan)</t>
  </si>
  <si>
    <t>DIU (V) - 2</t>
  </si>
  <si>
    <t>Rezervuari i Brestit</t>
  </si>
  <si>
    <t>DIU(S) - 51</t>
  </si>
  <si>
    <t>Kanali Kambere Zimur</t>
  </si>
  <si>
    <t>DIU(N) - 63</t>
  </si>
  <si>
    <t>Rezervuari Qaf Murr</t>
  </si>
  <si>
    <t>DIU(S) - 36</t>
  </si>
  <si>
    <t>Kanali Varosh - Qaf Murre</t>
  </si>
  <si>
    <t>DIU (J) - 7</t>
  </si>
  <si>
    <t>Maqellare stacion pompimi</t>
  </si>
  <si>
    <t>Lume (Drin)</t>
  </si>
  <si>
    <t>DIU (J) - 8</t>
  </si>
  <si>
    <t>Luzni stacion pompimi</t>
  </si>
  <si>
    <t>DIU (J) - 10</t>
  </si>
  <si>
    <t>Rec</t>
  </si>
  <si>
    <t>Stacion Pompimi</t>
  </si>
  <si>
    <t>DIU (J) - 11</t>
  </si>
  <si>
    <t>Grican Muhur</t>
  </si>
  <si>
    <t>DIU (J) - 12</t>
  </si>
  <si>
    <t>Pasmar Muhur</t>
  </si>
  <si>
    <t>DIU (J) - 13</t>
  </si>
  <si>
    <t>Kllopcisht</t>
  </si>
  <si>
    <t>DIU (V) - 4</t>
  </si>
  <si>
    <t>Rezervuari i Brezhdanit</t>
  </si>
  <si>
    <t>Kanali Muhurr-Brezhdan</t>
  </si>
  <si>
    <t>DIU (V) - 5</t>
  </si>
  <si>
    <t>Rezervuari Hotit</t>
  </si>
  <si>
    <t>DIU (V) - 6</t>
  </si>
  <si>
    <t>Reç stacion pompimi 1</t>
  </si>
  <si>
    <t>DIU (V) - 7</t>
  </si>
  <si>
    <t>Reç stacion pompimi 2</t>
  </si>
  <si>
    <t>DIU(J) - 12</t>
  </si>
  <si>
    <t>Kanali Gjuras - Arapaj</t>
  </si>
  <si>
    <t>Lume ( Gjuras )</t>
  </si>
  <si>
    <t>DIU(J) - 13</t>
  </si>
  <si>
    <t>Kanali Bukavec - Dovolan</t>
  </si>
  <si>
    <t>Lume ( Bukavec )</t>
  </si>
  <si>
    <t>DIU(J) - 14</t>
  </si>
  <si>
    <t>Kanali Katund - Grezhdan</t>
  </si>
  <si>
    <t>Lume ( Grazhdan )</t>
  </si>
  <si>
    <t>DIU(J) - 15</t>
  </si>
  <si>
    <t>Kanali Katund - Gradec</t>
  </si>
  <si>
    <t>DIU(J) - 16</t>
  </si>
  <si>
    <t>Kanali Katund - Prostavec</t>
  </si>
  <si>
    <t>DIU(J) - 17</t>
  </si>
  <si>
    <t>Kanali Vija e re Kovashice</t>
  </si>
  <si>
    <t>DIU(J) - 18</t>
  </si>
  <si>
    <t>Kanali Vija e Suloves Herbel</t>
  </si>
  <si>
    <t>DIU(J) - 19</t>
  </si>
  <si>
    <t>Kanali Kercisht i poshtem</t>
  </si>
  <si>
    <t>DIU(J) - 20</t>
  </si>
  <si>
    <t>Kanali Jazi Pocest</t>
  </si>
  <si>
    <t>DIU(J) - 21</t>
  </si>
  <si>
    <t>Kanali Lagjia e siperme Hobok</t>
  </si>
  <si>
    <t>DIU(J) - 22</t>
  </si>
  <si>
    <t>Kanali Drin Potgorce</t>
  </si>
  <si>
    <t>Lume ( Drin )</t>
  </si>
  <si>
    <t>DIU(J) - 23</t>
  </si>
  <si>
    <t>Kanali Katund - Vojnike</t>
  </si>
  <si>
    <t>DIU(J) - 24</t>
  </si>
  <si>
    <t>Kanali Katund  Majtare</t>
  </si>
  <si>
    <t>DIU(J) - 25</t>
  </si>
  <si>
    <t>Kanali Jabelli Burim</t>
  </si>
  <si>
    <t>DIU(J) - 26</t>
  </si>
  <si>
    <t>Tanasia Bllate</t>
  </si>
  <si>
    <t>DIU(J) - 27</t>
  </si>
  <si>
    <t>Kanali Fushe Pesjake</t>
  </si>
  <si>
    <t>DIU(J) - 28</t>
  </si>
  <si>
    <t>Kanali Trepce Dovolan</t>
  </si>
  <si>
    <t>DIU(J) - 29</t>
  </si>
  <si>
    <t>Kanali Izvori Bllate</t>
  </si>
  <si>
    <t>DIU(J) - 30</t>
  </si>
  <si>
    <t>Kanali Delaj Arap i Poshtem</t>
  </si>
  <si>
    <t>DIU(S) - 31</t>
  </si>
  <si>
    <t>Kanali Mere Arap i Eper</t>
  </si>
  <si>
    <t>DIU(S) - 33</t>
  </si>
  <si>
    <t>Kanali Gjurra e Re</t>
  </si>
  <si>
    <t>DIU(S) - 34</t>
  </si>
  <si>
    <t>DIU(S) - 35</t>
  </si>
  <si>
    <t>Kanali Znac Selishte</t>
  </si>
  <si>
    <t>Rezervuar (Kacni)</t>
  </si>
  <si>
    <t>DIU(S) - 38</t>
  </si>
  <si>
    <t>Kanali Kodras - Murre</t>
  </si>
  <si>
    <t>DIU(S) - 39</t>
  </si>
  <si>
    <t>Kanali Lunar - Selishte</t>
  </si>
  <si>
    <t>DIU(S) - 40</t>
  </si>
  <si>
    <t>Kanali Katund - Kacni</t>
  </si>
  <si>
    <t>DIU(S) - 41</t>
  </si>
  <si>
    <t>Kanali Katund - Greve</t>
  </si>
  <si>
    <t>Rezervuar (Greve)</t>
  </si>
  <si>
    <t>DIU(S) - 42</t>
  </si>
  <si>
    <t>Kanali Uji i Hidhte</t>
  </si>
  <si>
    <t>DIU(S) - 43</t>
  </si>
  <si>
    <t>Kanali Banja - Begjunec</t>
  </si>
  <si>
    <t>DIU(S) - 46</t>
  </si>
  <si>
    <t>Kanali Mulliri - Trepce</t>
  </si>
  <si>
    <t>DIU(S) - 47</t>
  </si>
  <si>
    <t>Kanali Tomin - Pollozhan</t>
  </si>
  <si>
    <t>Kanali Llixha-Brezhdan</t>
  </si>
  <si>
    <t>DIU(S) - 48</t>
  </si>
  <si>
    <t>Kanali Somalice Domoshisht</t>
  </si>
  <si>
    <t>DIU(S) - 49</t>
  </si>
  <si>
    <t>Kanali Tomin - Zdojan</t>
  </si>
  <si>
    <t>DIU(S) - 50</t>
  </si>
  <si>
    <t>Kanali Tomin - Pilafe</t>
  </si>
  <si>
    <t>DIU(S) - 52</t>
  </si>
  <si>
    <t>Kanali Tomin - Ushtelence</t>
  </si>
  <si>
    <t>DIU(S) - 53</t>
  </si>
  <si>
    <t>Kanali Grykes - Shimcan</t>
  </si>
  <si>
    <t>DIU(S) - 54</t>
  </si>
  <si>
    <t>kanali Aravende - Staravec</t>
  </si>
  <si>
    <t>DIU(S) - 57</t>
  </si>
  <si>
    <t>Kanali Kreste - Staravec</t>
  </si>
  <si>
    <t>DIU(S) - 58</t>
  </si>
  <si>
    <t>Kanali Guri i Zi - Staravec</t>
  </si>
  <si>
    <t>DIU(S) - 59</t>
  </si>
  <si>
    <t>Kanali Barake - Cetush</t>
  </si>
  <si>
    <t>DIU(S) - 60</t>
  </si>
  <si>
    <t>Kanali Trene - Selane</t>
  </si>
  <si>
    <t>DIU(S) - 61</t>
  </si>
  <si>
    <t>Kanali Perroi Bahute</t>
  </si>
  <si>
    <t>DIU(N) -12/1</t>
  </si>
  <si>
    <t>Kanali Kastriot - Kukej</t>
  </si>
  <si>
    <t>Kanali Grames</t>
  </si>
  <si>
    <t>DIU(N) -12/2</t>
  </si>
  <si>
    <t>Kanali Makisht - Fushe Sohodoll</t>
  </si>
  <si>
    <t>DIU(N) -13/1</t>
  </si>
  <si>
    <t>Kanali Muhur - Rehan</t>
  </si>
  <si>
    <t>Kanali Muhurr - Brezhdan</t>
  </si>
  <si>
    <t>DIU(N) -13/2</t>
  </si>
  <si>
    <t>Kanali Hoxhe - Muhurr</t>
  </si>
  <si>
    <t>DIU(N) -13/3</t>
  </si>
  <si>
    <t>Kanali Gur Kuq - Hoxhe</t>
  </si>
  <si>
    <t>DIU(N) -13/4</t>
  </si>
  <si>
    <t>Kanali Vakuf - Rreth Kale</t>
  </si>
  <si>
    <t>DIU(N) -13/5</t>
  </si>
  <si>
    <t>Degezime Kanali Brezhdan</t>
  </si>
  <si>
    <t>DIU(N) -13/6</t>
  </si>
  <si>
    <t>Degezime Kanali Gjaraja</t>
  </si>
  <si>
    <t>DIU(N) - 14</t>
  </si>
  <si>
    <t>Kanali Sheh - Vajmadh</t>
  </si>
  <si>
    <t>Lume Sine</t>
  </si>
  <si>
    <t>DIU(N) - 16</t>
  </si>
  <si>
    <t>Kanali Dy Vija - Rreth Kale</t>
  </si>
  <si>
    <t>Lumi Lleshit</t>
  </si>
  <si>
    <t>DIU(N) - 17</t>
  </si>
  <si>
    <t>Kanali Muze - Renxe</t>
  </si>
  <si>
    <t>DIU(N) - 18</t>
  </si>
  <si>
    <t>Kanali Fushe Cetush</t>
  </si>
  <si>
    <t>Lumi Izvure</t>
  </si>
  <si>
    <t>DIU(N) - 20</t>
  </si>
  <si>
    <t>Kanali Has - Kander</t>
  </si>
  <si>
    <t>DIU(N) - 21</t>
  </si>
  <si>
    <t>Kanali Kosov - Gjelagj</t>
  </si>
  <si>
    <t>DIU(N) - 22</t>
  </si>
  <si>
    <t>Kanali Stanes - Vrenjt</t>
  </si>
  <si>
    <t>DIU(N) - 23</t>
  </si>
  <si>
    <t>Kanali Zall Kalis - Lugje</t>
  </si>
  <si>
    <t>Lume ( Veleshic )</t>
  </si>
  <si>
    <t>DIU(N) - 24</t>
  </si>
  <si>
    <t>Kanali Gurra Dipjake</t>
  </si>
  <si>
    <t>Lume ( Dipjake )</t>
  </si>
  <si>
    <t>DIU(N) - 25</t>
  </si>
  <si>
    <t>Kanali Gurra Sllatine</t>
  </si>
  <si>
    <t>Lume ( Sllatine )</t>
  </si>
  <si>
    <t>DIU(N) - 26</t>
  </si>
  <si>
    <t>Kanali Gurra Venish 1</t>
  </si>
  <si>
    <t>kanal ( Venisht )</t>
  </si>
  <si>
    <t>DIU(N) - 27</t>
  </si>
  <si>
    <t>Kanali Gurra Venish 2</t>
  </si>
  <si>
    <t>DIU(N) - 28</t>
  </si>
  <si>
    <t>Kanali Kullas - Izvir</t>
  </si>
  <si>
    <t>Lume ( Izvir )</t>
  </si>
  <si>
    <t>DIU(N) - 29</t>
  </si>
  <si>
    <t>Kanali Sorokol - Ceren</t>
  </si>
  <si>
    <t>Lume ( Sorokol )</t>
  </si>
  <si>
    <t>DIU(N) - 30</t>
  </si>
  <si>
    <t>Kanali Bralica - Shulla</t>
  </si>
  <si>
    <t>Lume ( Bralice )</t>
  </si>
  <si>
    <t>DIU(N) - 31</t>
  </si>
  <si>
    <t>Kanali Xhorllaka - Like</t>
  </si>
  <si>
    <t>Lume ( Xhorllaka )</t>
  </si>
  <si>
    <t>DIU(N) - 32</t>
  </si>
  <si>
    <t>Kanali Bralica - Dode</t>
  </si>
  <si>
    <t>Lume ( Bralica )</t>
  </si>
  <si>
    <t>DIU(N) - 33</t>
  </si>
  <si>
    <t>Kanali Drin - Ushtelenxe</t>
  </si>
  <si>
    <t>DIU(N) - 34</t>
  </si>
  <si>
    <t>Kanali Vija Dajcel</t>
  </si>
  <si>
    <t>DIU(N) - 36</t>
  </si>
  <si>
    <t>Kanali Kronx - Mam</t>
  </si>
  <si>
    <t>DIU(N) - 38</t>
  </si>
  <si>
    <t>Kanali Vija Holle</t>
  </si>
  <si>
    <t>Lume. ( Grames )</t>
  </si>
  <si>
    <t>DIU(N) - 39</t>
  </si>
  <si>
    <t>Kanali Vija Mal - Renxe</t>
  </si>
  <si>
    <t>DIU(N) - 40</t>
  </si>
  <si>
    <t>Kanali Kronx - Pergjegj</t>
  </si>
  <si>
    <t>DIU(N) - 41</t>
  </si>
  <si>
    <t>Kanali Vija Mullirit</t>
  </si>
  <si>
    <t>DIU(N) - 42</t>
  </si>
  <si>
    <t>Kanali Vija Zoge</t>
  </si>
  <si>
    <t>Lume ( Sine )</t>
  </si>
  <si>
    <t>DIU(N) - 43</t>
  </si>
  <si>
    <t>Kanali burimet Gjelogj - Zhgjerdh</t>
  </si>
  <si>
    <t>Lume ( Gjelogj )</t>
  </si>
  <si>
    <t>DIU(N) - 44</t>
  </si>
  <si>
    <t>Kanali Murlnaj - Sht. I. Loke</t>
  </si>
  <si>
    <t>DIU(N) - 45</t>
  </si>
  <si>
    <t>Kanali Mulliri Vjeter - Zoge</t>
  </si>
  <si>
    <t>DIU(N) - 46</t>
  </si>
  <si>
    <t>Kanali Gura Mzeze - Sine e poshtme</t>
  </si>
  <si>
    <t>Lume ( Gura Mzeze )</t>
  </si>
  <si>
    <t>DIU(N) - 47</t>
  </si>
  <si>
    <t>Vija Gurra Noke</t>
  </si>
  <si>
    <t>Lume ( Noke )</t>
  </si>
  <si>
    <t>DIU(N) - 48</t>
  </si>
  <si>
    <t>Kanali Arras i Poshtem</t>
  </si>
  <si>
    <t>Lume ( Shehu )</t>
  </si>
  <si>
    <t>DIU(N) - 49</t>
  </si>
  <si>
    <t>Kanali Vija Poshnjare</t>
  </si>
  <si>
    <t>Lume ( Ruse )</t>
  </si>
  <si>
    <t>DIU(N) - 50</t>
  </si>
  <si>
    <t>Kanali Lashkize - Xhedike</t>
  </si>
  <si>
    <t>Lume ( Lashkize )</t>
  </si>
  <si>
    <t>DIU(N) - 51</t>
  </si>
  <si>
    <t>Kanalo Krej Lure</t>
  </si>
  <si>
    <t>Lume ( Molle )</t>
  </si>
  <si>
    <t>DIU(N) - 52</t>
  </si>
  <si>
    <t>Kanali Armolle</t>
  </si>
  <si>
    <t>DIU(N) - 53</t>
  </si>
  <si>
    <t>Kanali Armolle e Poshteme</t>
  </si>
  <si>
    <t>DIU(N) - 54</t>
  </si>
  <si>
    <t>Kanali Pregj - Lure</t>
  </si>
  <si>
    <t>DIU(N) - 55</t>
  </si>
  <si>
    <t>Rezervuari Ndershene</t>
  </si>
  <si>
    <t>Lume ( Gurre Kuq )</t>
  </si>
  <si>
    <t>DIU(N) - 56</t>
  </si>
  <si>
    <t>Kanali Gur - Reç</t>
  </si>
  <si>
    <t>DIU(N) - 57</t>
  </si>
  <si>
    <t>Kanali Gurre Vile</t>
  </si>
  <si>
    <t>Lume ( Gurre Vile )</t>
  </si>
  <si>
    <t>DIU(N) - 58</t>
  </si>
  <si>
    <t>Kanali Zall - Dardhe</t>
  </si>
  <si>
    <t>DIU(N) - 59</t>
  </si>
  <si>
    <t>Kanali Lugje te Poshtem</t>
  </si>
  <si>
    <t>Lume ( Veleshice )</t>
  </si>
  <si>
    <t>DIU(N) - 60</t>
  </si>
  <si>
    <t>Kanali Gure Tarte</t>
  </si>
  <si>
    <t>Lume ( Gurre tarte )</t>
  </si>
  <si>
    <t>DIU(N) - 66</t>
  </si>
  <si>
    <t>Kanali Drin - Zall Reç</t>
  </si>
  <si>
    <t>136 Skema</t>
  </si>
  <si>
    <t>MTU - V34</t>
  </si>
  <si>
    <t>Kanali ujites Guri i Bardhe</t>
  </si>
  <si>
    <t>MTU - V21</t>
  </si>
  <si>
    <t>Rezervuari Kurdari</t>
  </si>
  <si>
    <t>Kurdari</t>
  </si>
  <si>
    <t>MTU - V40</t>
  </si>
  <si>
    <t>Kanali Ujites Kurdari</t>
  </si>
  <si>
    <t>MTU - V41</t>
  </si>
  <si>
    <t>Kanali Ujites Kurqelaj</t>
  </si>
  <si>
    <t>MTU - V43</t>
  </si>
  <si>
    <t>Kanali ujites Patin</t>
  </si>
  <si>
    <t>MTU - V44</t>
  </si>
  <si>
    <t>Kanali ujites Fullqet</t>
  </si>
  <si>
    <t>MTU - V45</t>
  </si>
  <si>
    <t>Kanali Ujites Dars</t>
  </si>
  <si>
    <t>MTU - V47</t>
  </si>
  <si>
    <t>Rezervuari  Balgjaj Nr 2</t>
  </si>
  <si>
    <t>Balgjaj Nr 2</t>
  </si>
  <si>
    <t>MTU - V48</t>
  </si>
  <si>
    <t>Kanali Ujites Pleshe</t>
  </si>
  <si>
    <t>MTU - V22</t>
  </si>
  <si>
    <t>Rezervuari Xheres Suç</t>
  </si>
  <si>
    <t>Xheres Suç</t>
  </si>
  <si>
    <t>MTU - V51</t>
  </si>
  <si>
    <t>Kanali Ujites Havale Ceruje</t>
  </si>
  <si>
    <t>MTU - V52</t>
  </si>
  <si>
    <t>Kanali ujites fshati Fshat</t>
  </si>
  <si>
    <t>MTU - V53</t>
  </si>
  <si>
    <t>Kanali Ujites Gurrat e Kaqulit</t>
  </si>
  <si>
    <t>MTU - V14</t>
  </si>
  <si>
    <t>Rezervuari Berrshi</t>
  </si>
  <si>
    <t>Berrshi</t>
  </si>
  <si>
    <t>MTU - V55</t>
  </si>
  <si>
    <t>Kanali Ujites Lagjia Rrase Ceruje</t>
  </si>
  <si>
    <t>MTU - V56</t>
  </si>
  <si>
    <t>Kanali Ujites i Ballazhit</t>
  </si>
  <si>
    <t>MTU - V8</t>
  </si>
  <si>
    <t>Rezervuari i Rripes</t>
  </si>
  <si>
    <t>Rripe</t>
  </si>
  <si>
    <t>MTU - V6</t>
  </si>
  <si>
    <t>Rezervuari Bejne Nr 2</t>
  </si>
  <si>
    <t>Bejne Nr 2</t>
  </si>
  <si>
    <t>MTU - V9</t>
  </si>
  <si>
    <t>Rezervuari Bejne Nr 1</t>
  </si>
  <si>
    <t>Bejne Nr 1</t>
  </si>
  <si>
    <t>MTU - V11</t>
  </si>
  <si>
    <t>Rezervuari Balgjaj Nr 3</t>
  </si>
  <si>
    <t>Balgjaj Nr 3</t>
  </si>
  <si>
    <t>MTU - V71</t>
  </si>
  <si>
    <t>Pleshe</t>
  </si>
  <si>
    <t>MTU - V72</t>
  </si>
  <si>
    <t>Mazrek Klos</t>
  </si>
  <si>
    <t>Mat</t>
  </si>
  <si>
    <t>MTU - V73</t>
  </si>
  <si>
    <t>Dars Klos</t>
  </si>
  <si>
    <t>MTU - V74</t>
  </si>
  <si>
    <t>Fshati  Fshat</t>
  </si>
  <si>
    <t>MTU - V75</t>
  </si>
  <si>
    <t>Bershi</t>
  </si>
  <si>
    <t>Rezervuari Bershi</t>
  </si>
  <si>
    <t>MTU - V76</t>
  </si>
  <si>
    <t>Shengjun nr.1</t>
  </si>
  <si>
    <t>Traverbangu</t>
  </si>
  <si>
    <t>MTU - V77</t>
  </si>
  <si>
    <t>Shengjun nr.2</t>
  </si>
  <si>
    <t>MTU - V78</t>
  </si>
  <si>
    <t>Suç</t>
  </si>
  <si>
    <t>MTU - V79</t>
  </si>
  <si>
    <t>Dom</t>
  </si>
  <si>
    <t>MTU - V80</t>
  </si>
  <si>
    <t>Shulbater</t>
  </si>
  <si>
    <t>MTU - V81</t>
  </si>
  <si>
    <t>Grekaj Suç</t>
  </si>
  <si>
    <t>Kanali Klos</t>
  </si>
  <si>
    <t>Rezervuari Midhe nr.2</t>
  </si>
  <si>
    <t>Midhe nr.2</t>
  </si>
  <si>
    <t>MTU - V1</t>
  </si>
  <si>
    <t>Kanali ujites Klos</t>
  </si>
  <si>
    <t>Lum Mat</t>
  </si>
  <si>
    <t>MTU - V27</t>
  </si>
  <si>
    <t>Kanali ujites i Sekes</t>
  </si>
  <si>
    <t>MTU - V33</t>
  </si>
  <si>
    <t>Rezervuari Balgjaj 1</t>
  </si>
  <si>
    <t>Balgjaj 1</t>
  </si>
  <si>
    <t>MTU - V35</t>
  </si>
  <si>
    <t>Rezeruari Baz Nr 1</t>
  </si>
  <si>
    <t>Baz Nr 1</t>
  </si>
  <si>
    <r>
      <t>MTU -</t>
    </r>
    <r>
      <rPr>
        <b/>
        <sz val="10"/>
        <color indexed="8"/>
        <rFont val="Arial"/>
        <family val="2"/>
      </rPr>
      <t xml:space="preserve"> V2</t>
    </r>
  </si>
  <si>
    <t>Rezervuari Shqefen</t>
  </si>
  <si>
    <t>Shqefen</t>
  </si>
  <si>
    <t>MTU - V36</t>
  </si>
  <si>
    <t>Kanali ujites Frankth</t>
  </si>
  <si>
    <t>MTU - V37</t>
  </si>
  <si>
    <t>Kanali ujites Baterr e Vogel</t>
  </si>
  <si>
    <t>MTU - V38</t>
  </si>
  <si>
    <t>Kanali Ujites Gjalish</t>
  </si>
  <si>
    <t>MTU - V39</t>
  </si>
  <si>
    <t>Kanali Ujites Vigut</t>
  </si>
  <si>
    <t>MTU - V42</t>
  </si>
  <si>
    <t>Kanali Ujites Bushkash</t>
  </si>
  <si>
    <t>MTU - V46</t>
  </si>
  <si>
    <t>Kanali Ujites German</t>
  </si>
  <si>
    <t>MTU - V10</t>
  </si>
  <si>
    <t>Kanali Ujites Urake</t>
  </si>
  <si>
    <t>MTU - V49</t>
  </si>
  <si>
    <t>Kanali Ujites Fushe Baz</t>
  </si>
  <si>
    <t>MTU - V50</t>
  </si>
  <si>
    <t>Kanali Ujites Baterr e Madhe</t>
  </si>
  <si>
    <t>MTU - V3</t>
  </si>
  <si>
    <t>Rezervuari Baz Nr 2</t>
  </si>
  <si>
    <t>Baz Nr 2</t>
  </si>
  <si>
    <t>MTU - V5</t>
  </si>
  <si>
    <t>Rezervuari Laç Nr 1</t>
  </si>
  <si>
    <t>Laç Nr 1</t>
  </si>
  <si>
    <t>MTU - V13</t>
  </si>
  <si>
    <t>Kanali Ujites Karice</t>
  </si>
  <si>
    <t>MTU - V17</t>
  </si>
  <si>
    <t>Kanali Ujites Komsi</t>
  </si>
  <si>
    <t>MTU - V54</t>
  </si>
  <si>
    <t>Kanali Ujites Shoshaj</t>
  </si>
  <si>
    <t>MTU - V57</t>
  </si>
  <si>
    <t>Kanali Ujites Madhesh</t>
  </si>
  <si>
    <t>MTU - V20</t>
  </si>
  <si>
    <t>Kanali Ujites Muzhake</t>
  </si>
  <si>
    <t>MTU - V58</t>
  </si>
  <si>
    <t>Kanali Ujites Pjeze</t>
  </si>
  <si>
    <t>MTU - V25</t>
  </si>
  <si>
    <t>Kanali Ujites Bruç</t>
  </si>
  <si>
    <t>MTU - V59</t>
  </si>
  <si>
    <t>Rezervuari Mallunxe</t>
  </si>
  <si>
    <t>Mallunxe</t>
  </si>
  <si>
    <t>MTU - V26</t>
  </si>
  <si>
    <t>Kanali Ujites Zall Prell</t>
  </si>
  <si>
    <t>MTU - V29</t>
  </si>
  <si>
    <t>Rezervuari Macukull</t>
  </si>
  <si>
    <t>Macukull</t>
  </si>
  <si>
    <t>MTU - V30</t>
  </si>
  <si>
    <t>Rezervuari Midhe Nr 1</t>
  </si>
  <si>
    <t>Midhe Nr 1</t>
  </si>
  <si>
    <t>MTU - V31</t>
  </si>
  <si>
    <t>Rezervuari ish-Ndermarja Bujqesore</t>
  </si>
  <si>
    <t>Rezervuari ish-N.B.</t>
  </si>
  <si>
    <t>MTU - V24</t>
  </si>
  <si>
    <t>Rezervuari Laç Nr 2</t>
  </si>
  <si>
    <t>Laç Nr 2</t>
  </si>
  <si>
    <t>MTU - V7</t>
  </si>
  <si>
    <t>Kanali Ujites Baz</t>
  </si>
  <si>
    <t>MTU - V12</t>
  </si>
  <si>
    <t>Rezervuari Shoshaj</t>
  </si>
  <si>
    <t>Shoshaj</t>
  </si>
  <si>
    <t>MTU - V15</t>
  </si>
  <si>
    <t>Rezervuari Derjan Nr 2</t>
  </si>
  <si>
    <t>Derjan Nr 2</t>
  </si>
  <si>
    <t>MTU - V16</t>
  </si>
  <si>
    <t>Rezervuari Sukbull</t>
  </si>
  <si>
    <t>Sukbull</t>
  </si>
  <si>
    <t>MTU - V18</t>
  </si>
  <si>
    <t>Rezervuari Derjan Nr 1</t>
  </si>
  <si>
    <t>Derjan Nr 1</t>
  </si>
  <si>
    <t>MTU - V19</t>
  </si>
  <si>
    <t>Rezervuari Burrel Nr 1</t>
  </si>
  <si>
    <t>Burrel Nr 1</t>
  </si>
  <si>
    <t>MTU - V23</t>
  </si>
  <si>
    <t>Rezervuari Blatit</t>
  </si>
  <si>
    <t>Blatit</t>
  </si>
  <si>
    <t>MTU - V28</t>
  </si>
  <si>
    <t>Rezervuari Derjan Nr 3</t>
  </si>
  <si>
    <t>Derjan Nr 3</t>
  </si>
  <si>
    <t>MTU - V32</t>
  </si>
  <si>
    <t>Rezervuari Fires</t>
  </si>
  <si>
    <t>Fires</t>
  </si>
  <si>
    <t>MTU - V60</t>
  </si>
  <si>
    <t>Stp. i Rezervuarit Midhe Nr 2</t>
  </si>
  <si>
    <t>Rezervuari Midhe 2</t>
  </si>
  <si>
    <t>MTU - V61</t>
  </si>
  <si>
    <t>MTU - V62</t>
  </si>
  <si>
    <t>Bater e vogel</t>
  </si>
  <si>
    <t>Bater Vogel</t>
  </si>
  <si>
    <t>MTU - V63</t>
  </si>
  <si>
    <t>Bater e madhe</t>
  </si>
  <si>
    <t>Bater Madhe</t>
  </si>
  <si>
    <t>MTU - V64</t>
  </si>
  <si>
    <t>Shkembi i Zi</t>
  </si>
  <si>
    <t>MTU - V65</t>
  </si>
  <si>
    <t>Kolaj Burrel</t>
  </si>
  <si>
    <t>Lumi Mat</t>
  </si>
  <si>
    <t>MTU - V66</t>
  </si>
  <si>
    <t>Qershize Laç Bruç</t>
  </si>
  <si>
    <t>Perroi i Urakes</t>
  </si>
  <si>
    <t>MTU - V67</t>
  </si>
  <si>
    <t>Prell Nr 1</t>
  </si>
  <si>
    <t>Zall Prell</t>
  </si>
  <si>
    <t>MTU - V68</t>
  </si>
  <si>
    <t>Prell Nr 2</t>
  </si>
  <si>
    <t>MTU - V69</t>
  </si>
  <si>
    <t>Urake Laç Bruç</t>
  </si>
  <si>
    <t>MTU - V70</t>
  </si>
  <si>
    <t>MTU - V82</t>
  </si>
  <si>
    <t>Rrethe Baz</t>
  </si>
  <si>
    <t>MTU - V83</t>
  </si>
  <si>
    <t>Bushkash</t>
  </si>
  <si>
    <t>MTU - V84</t>
  </si>
  <si>
    <t xml:space="preserve">Karice </t>
  </si>
  <si>
    <t>Kanali Rez Baz Nr 2</t>
  </si>
  <si>
    <t>MTU - V85</t>
  </si>
  <si>
    <t>Qender Baz</t>
  </si>
  <si>
    <t>MTU - V86</t>
  </si>
  <si>
    <t>Lis</t>
  </si>
  <si>
    <t>Perroi Lis</t>
  </si>
  <si>
    <t>MTU - V87</t>
  </si>
  <si>
    <t>MTU - V4</t>
  </si>
  <si>
    <t>PIU - V3</t>
  </si>
  <si>
    <t>Iballe</t>
  </si>
  <si>
    <t>PIU - V4</t>
  </si>
  <si>
    <t>Mezi</t>
  </si>
  <si>
    <t xml:space="preserve">Burim </t>
  </si>
  <si>
    <t>PIU - V5</t>
  </si>
  <si>
    <t>Porave</t>
  </si>
  <si>
    <t>MAU - 3</t>
  </si>
  <si>
    <t>MAU - 4</t>
  </si>
  <si>
    <t xml:space="preserve">Zagore </t>
  </si>
  <si>
    <t>MAU - 5</t>
  </si>
  <si>
    <t xml:space="preserve">Rapshe </t>
  </si>
  <si>
    <t>MAU - 2</t>
  </si>
  <si>
    <t>Hot Vukpapaj</t>
  </si>
  <si>
    <t>MAU - 6</t>
  </si>
  <si>
    <t xml:space="preserve">Vukpalaj </t>
  </si>
  <si>
    <t>MAU - 7</t>
  </si>
  <si>
    <t>UFSH Vermosh</t>
  </si>
  <si>
    <t>Puke</t>
  </si>
  <si>
    <t>PIU - V1</t>
  </si>
  <si>
    <t>Kukaj</t>
  </si>
  <si>
    <t>PIU - V2</t>
  </si>
  <si>
    <t>Gjegjan</t>
  </si>
  <si>
    <t>PIU - V6</t>
  </si>
  <si>
    <t>PIU - V7</t>
  </si>
  <si>
    <t>Pezhve</t>
  </si>
  <si>
    <t>PIU - V7-kop</t>
  </si>
  <si>
    <t>5 Skema</t>
  </si>
  <si>
    <t>SHU - 4</t>
  </si>
  <si>
    <t>Nen Shkoder</t>
  </si>
  <si>
    <t>HEC Vau Deje</t>
  </si>
  <si>
    <t>SHU - 1</t>
  </si>
  <si>
    <t>Mbi Shkodra me Vau Deje</t>
  </si>
  <si>
    <t>HEC Vau Deje + Rezervuar Shtoder</t>
  </si>
  <si>
    <t>SHU - 2</t>
  </si>
  <si>
    <t>Juban - Gur Zi</t>
  </si>
  <si>
    <t>Lumi Drin</t>
  </si>
  <si>
    <t>SHU - 3</t>
  </si>
  <si>
    <t>Ana e Malit</t>
  </si>
  <si>
    <t>Stp Lum Buna</t>
  </si>
  <si>
    <t>SHU - 5</t>
  </si>
  <si>
    <t>Fusha Bregu Bune</t>
  </si>
  <si>
    <t>SHU - 6</t>
  </si>
  <si>
    <t>Ujitja Velipoje</t>
  </si>
  <si>
    <t xml:space="preserve">Stp </t>
  </si>
  <si>
    <t>SHU - 6-kop</t>
  </si>
  <si>
    <t>MAU - 1</t>
  </si>
  <si>
    <t>Mbi Shkodra</t>
  </si>
  <si>
    <t>Vau Deje, stp</t>
  </si>
  <si>
    <t>SHU - BVU</t>
  </si>
  <si>
    <t>Bashkia Vau Deje</t>
  </si>
  <si>
    <t>Burimet e hidrocentralit</t>
  </si>
  <si>
    <t>TRU - 1-2</t>
  </si>
  <si>
    <t>Rez Cerkeze</t>
  </si>
  <si>
    <t>TRU - 1-3</t>
  </si>
  <si>
    <t>Rez Tapize</t>
  </si>
  <si>
    <t>TRU - 1-6</t>
  </si>
  <si>
    <t>STP Paskuqan 1</t>
  </si>
  <si>
    <t>TRU - 1-7</t>
  </si>
  <si>
    <t>STP Cerkeze</t>
  </si>
  <si>
    <t>TRU - 1-8</t>
  </si>
  <si>
    <t>Stp Tapiza 2</t>
  </si>
  <si>
    <t>TRU - 1-13</t>
  </si>
  <si>
    <t>Ku 2/1 Kamez</t>
  </si>
  <si>
    <t>TRU - 1-14</t>
  </si>
  <si>
    <t>Ku 2/2 Kamez</t>
  </si>
  <si>
    <t>TRU - 1-15</t>
  </si>
  <si>
    <t>Ku 2/3 Kamez</t>
  </si>
  <si>
    <t>TRU - 1-16</t>
  </si>
  <si>
    <t>Ku 2/6</t>
  </si>
  <si>
    <t>TRU - 6-1</t>
  </si>
  <si>
    <t>Rez. Paskuqan</t>
  </si>
  <si>
    <t>TRU - 13</t>
  </si>
  <si>
    <t>Laknas</t>
  </si>
  <si>
    <t>KJU - 26</t>
  </si>
  <si>
    <t>Golem - Aganas - Kanapare</t>
  </si>
  <si>
    <t>KJU - 25</t>
  </si>
  <si>
    <t>Kanaparaj</t>
  </si>
  <si>
    <t>KJU - 12</t>
  </si>
  <si>
    <t>Cete</t>
  </si>
  <si>
    <t>KJU - 6</t>
  </si>
  <si>
    <t>Hajdaraj</t>
  </si>
  <si>
    <t>KJU - 13</t>
  </si>
  <si>
    <t>Seferaj</t>
  </si>
  <si>
    <t>KJU - 14</t>
  </si>
  <si>
    <t>Liz 1</t>
  </si>
  <si>
    <t>KJU - 24</t>
  </si>
  <si>
    <t>Kazaz</t>
  </si>
  <si>
    <t>KJU - 10</t>
  </si>
  <si>
    <t>Beden</t>
  </si>
  <si>
    <t>KJU - 15</t>
  </si>
  <si>
    <t>Liz 2</t>
  </si>
  <si>
    <t>KJU - 16</t>
  </si>
  <si>
    <t>Nasuf</t>
  </si>
  <si>
    <t>KJU - 17</t>
  </si>
  <si>
    <t>Tilaj</t>
  </si>
  <si>
    <t>KJU - 18</t>
  </si>
  <si>
    <t>Zikulare</t>
  </si>
  <si>
    <t>KJU - 19</t>
  </si>
  <si>
    <t>Habilaj 1</t>
  </si>
  <si>
    <t>KJU - 20</t>
  </si>
  <si>
    <t>Habilaj 2</t>
  </si>
  <si>
    <t>KJU - 21</t>
  </si>
  <si>
    <t>Gjinaj</t>
  </si>
  <si>
    <t>KJU - 23</t>
  </si>
  <si>
    <t>Kryemedhenj</t>
  </si>
  <si>
    <t>KUJ - 27</t>
  </si>
  <si>
    <t xml:space="preserve">Momel </t>
  </si>
  <si>
    <t>KUJ - 28</t>
  </si>
  <si>
    <t>Sineballe</t>
  </si>
  <si>
    <t>KJU - 1</t>
  </si>
  <si>
    <t>Kanali Peqin - Kavaje</t>
  </si>
  <si>
    <t>KUJ - 29</t>
  </si>
  <si>
    <t xml:space="preserve">Ballaj-Spille  ( I pa shprehur )  </t>
  </si>
  <si>
    <t>Kanali Kullues K.Ujrave Mesme  (Stryma)</t>
  </si>
  <si>
    <t>KJU - 2</t>
  </si>
  <si>
    <t>Okstun</t>
  </si>
  <si>
    <t>Reservuar + stp</t>
  </si>
  <si>
    <t>KJU - 7</t>
  </si>
  <si>
    <t>Domen</t>
  </si>
  <si>
    <t>KJU - 5</t>
  </si>
  <si>
    <t>Patku 2</t>
  </si>
  <si>
    <t>KJU - 8</t>
  </si>
  <si>
    <t>Zhabjak</t>
  </si>
  <si>
    <t>KJU - 9</t>
  </si>
  <si>
    <t>Vile</t>
  </si>
  <si>
    <t>KJU - 22</t>
  </si>
  <si>
    <t>Zambish</t>
  </si>
  <si>
    <t>KJU - 3</t>
  </si>
  <si>
    <t>Shardushk</t>
  </si>
  <si>
    <t>KJU - 4</t>
  </si>
  <si>
    <t>Sterbeg</t>
  </si>
  <si>
    <t>KJU - 11</t>
  </si>
  <si>
    <t>Patku 1</t>
  </si>
  <si>
    <t>TRU - 1-1</t>
  </si>
  <si>
    <t xml:space="preserve">Boville  </t>
  </si>
  <si>
    <t>TRU - 1-4</t>
  </si>
  <si>
    <t>STP Zall- Herr 1</t>
  </si>
  <si>
    <t>TRU - 1-5</t>
  </si>
  <si>
    <t>STP Zall- Herr 2</t>
  </si>
  <si>
    <t>TRU - 1-9</t>
  </si>
  <si>
    <t>STP Pinar</t>
  </si>
  <si>
    <t>TRU - 1-10</t>
  </si>
  <si>
    <t>Rez Xingere</t>
  </si>
  <si>
    <t>TRU - 1-11</t>
  </si>
  <si>
    <t>Rez Zall Herr 1</t>
  </si>
  <si>
    <t>TRU - 1-12</t>
  </si>
  <si>
    <t>Rez Zall Herr 2</t>
  </si>
  <si>
    <t>TRU - 1-17</t>
  </si>
  <si>
    <t>Ku 3 Boville Zall  herr</t>
  </si>
  <si>
    <t>TRU - 17-11</t>
  </si>
  <si>
    <t>S .T .P . Kus</t>
  </si>
  <si>
    <t>TRU - 17-12</t>
  </si>
  <si>
    <t>S .T .P . Mazrek</t>
  </si>
  <si>
    <t>TRU - 17-13</t>
  </si>
  <si>
    <t>S .T .P . Paskuqan 3</t>
  </si>
  <si>
    <t>TRU - 17-14</t>
  </si>
  <si>
    <t>S .T .P . Kashar</t>
  </si>
  <si>
    <t>TRU - 17-15</t>
  </si>
  <si>
    <t>S .T .P .Paskuqan 6</t>
  </si>
  <si>
    <t>TRU - 21-1</t>
  </si>
  <si>
    <t>Rezervuari  Rov</t>
  </si>
  <si>
    <t>TRU - 21-2</t>
  </si>
  <si>
    <t>Rezervuari  Veski</t>
  </si>
  <si>
    <t>TRU - 21-3</t>
  </si>
  <si>
    <t>Reervuari Balhaxhias</t>
  </si>
  <si>
    <t>TRU - 21-4</t>
  </si>
  <si>
    <t>Rezervuari Alltate</t>
  </si>
  <si>
    <t>TRU - 21-5</t>
  </si>
  <si>
    <t>Rezervuari Mustafa Koc</t>
  </si>
  <si>
    <t>TRU - 21-6</t>
  </si>
  <si>
    <t>Rezervuari Zelaj</t>
  </si>
  <si>
    <t>TRU - 21-7</t>
  </si>
  <si>
    <t>S .T .P. Rov</t>
  </si>
  <si>
    <t>TRU - 21-8</t>
  </si>
  <si>
    <t>S .T .P. Baldushk Qender</t>
  </si>
  <si>
    <t>TRU - 21-9</t>
  </si>
  <si>
    <t>S .T .P . Mumajes</t>
  </si>
  <si>
    <t>TRU - 21-10</t>
  </si>
  <si>
    <t>S .T .P.  Balshaban</t>
  </si>
  <si>
    <t>TRU - 21-11</t>
  </si>
  <si>
    <t>S .T .P .Parret</t>
  </si>
  <si>
    <t>TRU - 21-12</t>
  </si>
  <si>
    <t>S .T .P .Kocaj 1</t>
  </si>
  <si>
    <t>TRU - 21-13</t>
  </si>
  <si>
    <t>S .P .P .Kocaj 2</t>
  </si>
  <si>
    <t>TRU - 21-14</t>
  </si>
  <si>
    <t xml:space="preserve">S .T .P . Vrap  Qender </t>
  </si>
  <si>
    <t>TRU - 21-15</t>
  </si>
  <si>
    <t xml:space="preserve">S .T .P . Vrap  Shpat </t>
  </si>
  <si>
    <t>TRU - 21-16</t>
  </si>
  <si>
    <t>Rezervuari  Vrap   Ku dhe KF</t>
  </si>
  <si>
    <t>TRU - 21-17</t>
  </si>
  <si>
    <t xml:space="preserve">Rezervuari Shpat  </t>
  </si>
  <si>
    <t>TRU - 21-18</t>
  </si>
  <si>
    <t>Rezervuari Parret</t>
  </si>
  <si>
    <t>TRU - 21-19</t>
  </si>
  <si>
    <t xml:space="preserve">Kf Rez ROV </t>
  </si>
  <si>
    <t>TRU - 18-1</t>
  </si>
  <si>
    <t>Rezervuari  Skorane</t>
  </si>
  <si>
    <t>TRU - 18-2</t>
  </si>
  <si>
    <t>Rezervuari Gurre</t>
  </si>
  <si>
    <t>TRU - 18-3</t>
  </si>
  <si>
    <t>Rezervuari Stermas</t>
  </si>
  <si>
    <t>TRU - 18-4</t>
  </si>
  <si>
    <t>S .T .P . Fikas</t>
  </si>
  <si>
    <t>TRU - 18-5</t>
  </si>
  <si>
    <t>S .T .P . Gurre</t>
  </si>
  <si>
    <t>TRU - 18-6</t>
  </si>
  <si>
    <t>S .T .P . Hekal</t>
  </si>
  <si>
    <t>TRU - 18-7</t>
  </si>
  <si>
    <t>S .T .P . Stermas</t>
  </si>
  <si>
    <t>TRU - 18-8</t>
  </si>
  <si>
    <t>S .T .P . Ibe</t>
  </si>
  <si>
    <t>TRU - 18-9</t>
  </si>
  <si>
    <t>S .T .P . Pellumbas</t>
  </si>
  <si>
    <t>TRU - 18-10</t>
  </si>
  <si>
    <t>KU Ibe</t>
  </si>
  <si>
    <t>TRU - 18-11</t>
  </si>
  <si>
    <t>Ku Daias - Stermas</t>
  </si>
  <si>
    <t>TRU - 18-12</t>
  </si>
  <si>
    <t>Ku Skorane - Barbas   - Fikas</t>
  </si>
  <si>
    <t>TRU - 18-13</t>
  </si>
  <si>
    <t>Rez Mihajes</t>
  </si>
  <si>
    <t>TRU - 18-14</t>
  </si>
  <si>
    <t>Rez Lepri</t>
  </si>
  <si>
    <t>TRU - 18-15</t>
  </si>
  <si>
    <t>Rez Sauk</t>
  </si>
  <si>
    <t>TRU - 20-1</t>
  </si>
  <si>
    <t>Ku Arbane</t>
  </si>
  <si>
    <t>TRU - 20-2</t>
  </si>
  <si>
    <t>S .T .P . Paskuqan 4</t>
  </si>
  <si>
    <t>TRU - 20-3</t>
  </si>
  <si>
    <t>S .T .P . Vishaj</t>
  </si>
  <si>
    <t>TRU - 20-4</t>
  </si>
  <si>
    <t>S .T .P . Prush</t>
  </si>
  <si>
    <t>TRU - 20-5</t>
  </si>
  <si>
    <t>S .T .P . Bultice</t>
  </si>
  <si>
    <t>TRU - 20-6</t>
  </si>
  <si>
    <t>S .T .P . Vaqar 1</t>
  </si>
  <si>
    <t>TRU - 20-7</t>
  </si>
  <si>
    <t>S .T .P . Vaqar 2</t>
  </si>
  <si>
    <t>TRU - 20-8</t>
  </si>
  <si>
    <t>Rezervuari Allgjate</t>
  </si>
  <si>
    <t>TRU - 20-9</t>
  </si>
  <si>
    <t>Rezervuari  Sharre</t>
  </si>
  <si>
    <t>TRU - 20-10</t>
  </si>
  <si>
    <t>Rezervuari   Prush</t>
  </si>
  <si>
    <t>TRU - 20-11</t>
  </si>
  <si>
    <t>Ku Farke-       Vaqarr-Sharre</t>
  </si>
  <si>
    <t>TRU - 20-12</t>
  </si>
  <si>
    <t>Rez.  Fortuzaj</t>
  </si>
  <si>
    <t>TRU - 29-1</t>
  </si>
  <si>
    <t>Rezervuari Peze - Helmes</t>
  </si>
  <si>
    <t>TRU - 29-2</t>
  </si>
  <si>
    <t>Rezervuari Fjolle</t>
  </si>
  <si>
    <t>TRU - 29-3</t>
  </si>
  <si>
    <t>S .T .P . Ura e Beshirit</t>
  </si>
  <si>
    <t>TRU - 29-4</t>
  </si>
  <si>
    <t>S .T .P . Kurora 1</t>
  </si>
  <si>
    <t>TRU - 29-5</t>
  </si>
  <si>
    <t>S .T .P . Cevaze</t>
  </si>
  <si>
    <t>TRU - 29-6</t>
  </si>
  <si>
    <t>S .T .P . Maknor 1</t>
  </si>
  <si>
    <t>TRU - 29-7</t>
  </si>
  <si>
    <t>S .T .P . Maknor 2</t>
  </si>
  <si>
    <t>TRU - 29-8</t>
  </si>
  <si>
    <t>Rezervuari Perroi i Arave</t>
  </si>
  <si>
    <t>TRU - 29-9</t>
  </si>
  <si>
    <t>Rezervuari Gjyslikane    dhe KU</t>
  </si>
  <si>
    <t>TRU - 30-1</t>
  </si>
  <si>
    <t>Rezervuari Bozanxhias</t>
  </si>
  <si>
    <t>TRU - 30-2</t>
  </si>
  <si>
    <t>S .T .P .Butac</t>
  </si>
  <si>
    <t>TRU - 30-3</t>
  </si>
  <si>
    <t>S .T .P .Shesh</t>
  </si>
  <si>
    <t>TRU - 30-4</t>
  </si>
  <si>
    <t>S .T .P .Celje</t>
  </si>
  <si>
    <t>TRU - 30-5</t>
  </si>
  <si>
    <t>S .T .P . Lagjia e Re</t>
  </si>
  <si>
    <t>TRU - 30-6</t>
  </si>
  <si>
    <t>S .T .P . Pinet</t>
  </si>
  <si>
    <t>TRU - 30-7</t>
  </si>
  <si>
    <t>S .T .P . Menik</t>
  </si>
  <si>
    <t>TRU - 30-8</t>
  </si>
  <si>
    <t xml:space="preserve"> Rezervuari Pinet 1</t>
  </si>
  <si>
    <t>TRU - 30-9</t>
  </si>
  <si>
    <t>Rezervuari Pinet 2</t>
  </si>
  <si>
    <t>TRU - 2</t>
  </si>
  <si>
    <t>TRU - 2-1</t>
  </si>
  <si>
    <t>Rina  1</t>
  </si>
  <si>
    <t>TRU - 2-2</t>
  </si>
  <si>
    <t>Rina  2</t>
  </si>
  <si>
    <t>TRU - 3</t>
  </si>
  <si>
    <t xml:space="preserve">Kutreq </t>
  </si>
  <si>
    <t>TRU - 3-1</t>
  </si>
  <si>
    <t>TRU - 4</t>
  </si>
  <si>
    <t xml:space="preserve">Shupal </t>
  </si>
  <si>
    <t>TRU - 4-1</t>
  </si>
  <si>
    <t>Kurth ( Shupal )</t>
  </si>
  <si>
    <t>TRU - 5</t>
  </si>
  <si>
    <t xml:space="preserve">Shupal - Koder </t>
  </si>
  <si>
    <t>TRU - 5-1</t>
  </si>
  <si>
    <t xml:space="preserve">Shupal    - Koder </t>
  </si>
  <si>
    <t>TRU - 5-2</t>
  </si>
  <si>
    <t>Ku  Shupal - Legjinaj</t>
  </si>
  <si>
    <t>KU</t>
  </si>
  <si>
    <t>TRU - 8</t>
  </si>
  <si>
    <t>Besh Reservoir</t>
  </si>
  <si>
    <t>TRU - 8-1</t>
  </si>
  <si>
    <t xml:space="preserve">Besh </t>
  </si>
  <si>
    <t>TRU - 9</t>
  </si>
  <si>
    <t>Shtepaze</t>
  </si>
  <si>
    <t>TRU - 10</t>
  </si>
  <si>
    <t>Linxe</t>
  </si>
  <si>
    <t>TRU - 11</t>
  </si>
  <si>
    <t xml:space="preserve">Tufine </t>
  </si>
  <si>
    <t>TRU - 12</t>
  </si>
  <si>
    <t xml:space="preserve">Lanabregas </t>
  </si>
  <si>
    <t>TRU - 14</t>
  </si>
  <si>
    <t xml:space="preserve">Murataj </t>
  </si>
  <si>
    <t>TRU - 15</t>
  </si>
  <si>
    <t xml:space="preserve">Priske </t>
  </si>
  <si>
    <t>TRU - 16</t>
  </si>
  <si>
    <t>Zaranika 1 &amp; 2</t>
  </si>
  <si>
    <t>TRU - 19</t>
  </si>
  <si>
    <t>Farka</t>
  </si>
  <si>
    <t>Reservuar Farke, Sauk</t>
  </si>
  <si>
    <t>TRU - 22</t>
  </si>
  <si>
    <t>Kollogjesh</t>
  </si>
  <si>
    <t>Reservuar edhe KU</t>
  </si>
  <si>
    <t>TRU - 23</t>
  </si>
  <si>
    <t xml:space="preserve">Façesh </t>
  </si>
  <si>
    <t>TRU - 24</t>
  </si>
  <si>
    <t>TRU - 25</t>
  </si>
  <si>
    <t xml:space="preserve">Paret </t>
  </si>
  <si>
    <t>TRU - 26</t>
  </si>
  <si>
    <t>Vrap</t>
  </si>
  <si>
    <t>TRU - 27</t>
  </si>
  <si>
    <t xml:space="preserve">Shpat </t>
  </si>
  <si>
    <t>TRU - 28</t>
  </si>
  <si>
    <t xml:space="preserve">Allgjate </t>
  </si>
  <si>
    <t>TRU - 31</t>
  </si>
  <si>
    <t xml:space="preserve">Parpunje </t>
  </si>
  <si>
    <t>TRU - 32</t>
  </si>
  <si>
    <t xml:space="preserve">Darshen </t>
  </si>
  <si>
    <t>TRU - 33</t>
  </si>
  <si>
    <t xml:space="preserve">Bize </t>
  </si>
  <si>
    <t>TRU - 34</t>
  </si>
  <si>
    <t>Brare kanal</t>
  </si>
  <si>
    <t>TRU - 35</t>
  </si>
  <si>
    <t>Berzhite - Ibe kanal</t>
  </si>
  <si>
    <t>TRU - 36</t>
  </si>
  <si>
    <t xml:space="preserve">Fikas &amp; kanal </t>
  </si>
  <si>
    <t>TRU - 37</t>
  </si>
  <si>
    <t>Hallias kanal</t>
  </si>
  <si>
    <t>TRU - 38</t>
  </si>
  <si>
    <t>Kokli 2 stp</t>
  </si>
  <si>
    <t>TRU - 39</t>
  </si>
  <si>
    <t>Priske e vogel stp</t>
  </si>
  <si>
    <t>TRU - 40</t>
  </si>
  <si>
    <t>Qaf molle stp</t>
  </si>
  <si>
    <t>112 Skema</t>
  </si>
  <si>
    <t>TRU - 17-1</t>
  </si>
  <si>
    <t>Rez. Kashar</t>
  </si>
  <si>
    <t>TRU - 17-2</t>
  </si>
  <si>
    <t>Rez Gjokaj 1</t>
  </si>
  <si>
    <t>TRU - 17-3</t>
  </si>
  <si>
    <t>Rez Gjokaj 2</t>
  </si>
  <si>
    <t>TRU - 17-4</t>
  </si>
  <si>
    <t>Rez Sharge</t>
  </si>
  <si>
    <t>TRU - 17-5</t>
  </si>
  <si>
    <t>Rez Purrez</t>
  </si>
  <si>
    <t>TRU - 17-6</t>
  </si>
  <si>
    <t>S .T .P . Gjokaj 1</t>
  </si>
  <si>
    <t>TRU - 17-7</t>
  </si>
  <si>
    <t>S .T .P . Gjokaj 3</t>
  </si>
  <si>
    <t>TRU - 17-8</t>
  </si>
  <si>
    <t>S . T .P . Gjokaj 2</t>
  </si>
  <si>
    <t>TRU - 17-9</t>
  </si>
  <si>
    <t>S . T. P . Vore</t>
  </si>
  <si>
    <t>TRU - 17-10</t>
  </si>
  <si>
    <t>Rez Marikaj</t>
  </si>
  <si>
    <t>TRU - 17-16</t>
  </si>
  <si>
    <t>Rez Berxull   Ku  dhe KF</t>
  </si>
  <si>
    <t>TRU - 17-17</t>
  </si>
  <si>
    <t>Stp Berxull</t>
  </si>
  <si>
    <t>TRU - 17-18</t>
  </si>
  <si>
    <t>Ku Lana</t>
  </si>
  <si>
    <t>TRU - 17-19</t>
  </si>
  <si>
    <t>Rez. Sarkoze</t>
  </si>
  <si>
    <t>TRU - 6-2</t>
  </si>
  <si>
    <t>Sharge</t>
  </si>
  <si>
    <t>TRU - 6-3</t>
  </si>
  <si>
    <t>Stp Preza 1</t>
  </si>
  <si>
    <t>TRU - 6-4</t>
  </si>
  <si>
    <t>Stp Preza 2</t>
  </si>
  <si>
    <t>TRU - 6-5</t>
  </si>
  <si>
    <t>Stp Preza 3</t>
  </si>
  <si>
    <t>TRU - 6-6</t>
  </si>
  <si>
    <t>Stp  Rreze</t>
  </si>
  <si>
    <t>TRU - 6-7</t>
  </si>
  <si>
    <t>Stp Ndermjetese</t>
  </si>
  <si>
    <t>TRU - 6-8</t>
  </si>
  <si>
    <t>Stp Breg Shkoze</t>
  </si>
  <si>
    <t>TRU - 6-9</t>
  </si>
  <si>
    <t>Rez Shelgjiste</t>
  </si>
  <si>
    <t>TRU - 7</t>
  </si>
  <si>
    <t>Palaq Reservoir</t>
  </si>
  <si>
    <t>DLU - 1</t>
  </si>
  <si>
    <t xml:space="preserve">Lume U. B. - 1 </t>
  </si>
  <si>
    <t>Lume ( Bistrice )</t>
  </si>
  <si>
    <t>DLU - 13</t>
  </si>
  <si>
    <t>Fusha Trush</t>
  </si>
  <si>
    <t>Lume ( Kalase )</t>
  </si>
  <si>
    <t>DLU - 9</t>
  </si>
  <si>
    <t>Vergo stacion pompimi</t>
  </si>
  <si>
    <t>DLU - 5</t>
  </si>
  <si>
    <t>Kardhikaq stacion pompimi</t>
  </si>
  <si>
    <t>Lume ( Kardhikaq )</t>
  </si>
  <si>
    <t>SRU - 3</t>
  </si>
  <si>
    <t>Burimet Merko, Pandalejmon</t>
  </si>
  <si>
    <t>Burimet e Merkos + Rez.Pandalejmon</t>
  </si>
  <si>
    <t>SRU - 6</t>
  </si>
  <si>
    <t>Partizan &amp; Burim Reservoir</t>
  </si>
  <si>
    <t xml:space="preserve">Rezervuar  </t>
  </si>
  <si>
    <t>SRU - 7</t>
  </si>
  <si>
    <t>Naravice Reservoir</t>
  </si>
  <si>
    <t>SRU - 8</t>
  </si>
  <si>
    <t>Sulle Reservoir</t>
  </si>
  <si>
    <t>SRU - 9</t>
  </si>
  <si>
    <t>Grava Reservoir 1</t>
  </si>
  <si>
    <t>SRU - 10</t>
  </si>
  <si>
    <t>Grava Reservoir 2</t>
  </si>
  <si>
    <t>SRU - 11</t>
  </si>
  <si>
    <t>Dhivri Reservoir</t>
  </si>
  <si>
    <t>SRU - 13</t>
  </si>
  <si>
    <t>Karroq Reservoir</t>
  </si>
  <si>
    <t>SRU - 17</t>
  </si>
  <si>
    <t>Vagalat stacion pompimi</t>
  </si>
  <si>
    <t>SRU - 19</t>
  </si>
  <si>
    <t>Pavell</t>
  </si>
  <si>
    <t>Lum (V.M.+Kuj.Vilajet+Velimuz)</t>
  </si>
  <si>
    <t>SRU - 20</t>
  </si>
  <si>
    <t>Lum (V.M+K.Ujites Makrigjen)</t>
  </si>
  <si>
    <t>DLU - 4</t>
  </si>
  <si>
    <t>LumeU.B. - 4</t>
  </si>
  <si>
    <t>DLU - 3</t>
  </si>
  <si>
    <t>LumeU.B. - 3</t>
  </si>
  <si>
    <t>DLU - 6</t>
  </si>
  <si>
    <t>Blerimas stacion pompimi</t>
  </si>
  <si>
    <t>DLU - 7</t>
  </si>
  <si>
    <t>Bregas stacion pompimi</t>
  </si>
  <si>
    <t>DLU - 8</t>
  </si>
  <si>
    <t>Krongj stacion pompimi</t>
  </si>
  <si>
    <t>Burimet e Krongjit</t>
  </si>
  <si>
    <t>DLU - 2</t>
  </si>
  <si>
    <t>Lume U. B - 2</t>
  </si>
  <si>
    <t>17 Skema</t>
  </si>
  <si>
    <t>VLU - 20</t>
  </si>
  <si>
    <t>Hore kanal</t>
  </si>
  <si>
    <t>Lume ( Shushice )</t>
  </si>
  <si>
    <t>VLU - 16</t>
  </si>
  <si>
    <t>Vuno reservoir</t>
  </si>
  <si>
    <t>Rezervuar ( Vuno )</t>
  </si>
  <si>
    <t>VLU - 18</t>
  </si>
  <si>
    <t>Himare stacion pompimi</t>
  </si>
  <si>
    <t>Lume ( Potam )</t>
  </si>
  <si>
    <t>VLU - 26</t>
  </si>
  <si>
    <t>Terbaç stacion pompimi</t>
  </si>
  <si>
    <t>VLU - 27</t>
  </si>
  <si>
    <t>Alltin stacion pompimi KUC</t>
  </si>
  <si>
    <t>VLU - 28</t>
  </si>
  <si>
    <t>Stefan stacion pompimi KUC</t>
  </si>
  <si>
    <t>VLU - 29</t>
  </si>
  <si>
    <t>Luadh stacion pompimi terbac</t>
  </si>
  <si>
    <t>VLU - 30</t>
  </si>
  <si>
    <t>Povel stacion pompimi kallarat</t>
  </si>
  <si>
    <t>VLU - 31</t>
  </si>
  <si>
    <t>Hore stacion pompimi</t>
  </si>
  <si>
    <t>VLU - 32</t>
  </si>
  <si>
    <t>Kaur stacion pompimi</t>
  </si>
  <si>
    <t>Lume ( Kaur )</t>
  </si>
  <si>
    <t>VLU - 33</t>
  </si>
  <si>
    <t>Lis Zi stacion pompimi</t>
  </si>
  <si>
    <t>VLU - 34</t>
  </si>
  <si>
    <t>Fushe Vesht stacion pompimi</t>
  </si>
  <si>
    <t>VLU - 35</t>
  </si>
  <si>
    <t>Qafe Elemit stacion pompimi</t>
  </si>
  <si>
    <t>VLU - 36</t>
  </si>
  <si>
    <t>Smajth stacion pompimi</t>
  </si>
  <si>
    <t>VLU - 42</t>
  </si>
  <si>
    <t>Gjimuf stacion pompimi kallarat</t>
  </si>
  <si>
    <t>VLU -V2</t>
  </si>
  <si>
    <t>KU Bashkia Himara</t>
  </si>
  <si>
    <t>VLU -V3</t>
  </si>
  <si>
    <t>KU Vuno</t>
  </si>
  <si>
    <t>SRU - 5</t>
  </si>
  <si>
    <t>Burimet e Tatzatit</t>
  </si>
  <si>
    <t>Lume Kalasa</t>
  </si>
  <si>
    <t>SRU - 14</t>
  </si>
  <si>
    <t>Nivic Reservoir</t>
  </si>
  <si>
    <t>SRU - 18</t>
  </si>
  <si>
    <t>Bregu det (Borshi)</t>
  </si>
  <si>
    <t>20 Skema</t>
  </si>
  <si>
    <t>SRU - 1</t>
  </si>
  <si>
    <t>Janjari</t>
  </si>
  <si>
    <t>Rezervuar + Stp</t>
  </si>
  <si>
    <t>SRU - 2</t>
  </si>
  <si>
    <t>Bezhani</t>
  </si>
  <si>
    <t>Lume Pavlla</t>
  </si>
  <si>
    <t>SRU - 12</t>
  </si>
  <si>
    <t>Verves Reservoir</t>
  </si>
  <si>
    <t>SRU - 15</t>
  </si>
  <si>
    <t>Ciflik stacion pompimi 1 &amp; 2</t>
  </si>
  <si>
    <t>SRU - 16</t>
  </si>
  <si>
    <t>Shkalle stacion pompimi</t>
  </si>
  <si>
    <t>SRU - 4</t>
  </si>
  <si>
    <t>Burimet Ksamil + KK-2 Çaush</t>
  </si>
  <si>
    <t>Lumi Bistrica e madhe</t>
  </si>
  <si>
    <t>VLU - 4</t>
  </si>
  <si>
    <t>Pete - Vllahine</t>
  </si>
  <si>
    <t>VLU - 7</t>
  </si>
  <si>
    <t>Hasomat reservoir</t>
  </si>
  <si>
    <t>Rezervuar ( Hasomat )</t>
  </si>
  <si>
    <t>VLU - 5</t>
  </si>
  <si>
    <t>Harvala</t>
  </si>
  <si>
    <t>VLU - 19</t>
  </si>
  <si>
    <t>Mesaplik kanal</t>
  </si>
  <si>
    <t>VLU - 21</t>
  </si>
  <si>
    <t>Brat kanal</t>
  </si>
  <si>
    <t>Lume ( Smokth )</t>
  </si>
  <si>
    <t>VLU - 13</t>
  </si>
  <si>
    <t>Peshkat reservoir</t>
  </si>
  <si>
    <t>Rezervuar KOCUL ( Peshkat )</t>
  </si>
  <si>
    <t>VLU - 14</t>
  </si>
  <si>
    <t>Peta reservoir 2</t>
  </si>
  <si>
    <t>Rezervuar ( Peta 2 )</t>
  </si>
  <si>
    <t>VLU - 15</t>
  </si>
  <si>
    <t>Mallekeq reservoir</t>
  </si>
  <si>
    <t>Rezervuar ( Mallekeq )</t>
  </si>
  <si>
    <t>VLU - 22</t>
  </si>
  <si>
    <t>Gumenic stacion pompimi</t>
  </si>
  <si>
    <t>VLU - 23</t>
  </si>
  <si>
    <t>Dushk station</t>
  </si>
  <si>
    <t>VLU - 24</t>
  </si>
  <si>
    <t>Lepenice stacion pompimi</t>
  </si>
  <si>
    <t>VLU - 25</t>
  </si>
  <si>
    <t>Mesaplik stacion pompimi</t>
  </si>
  <si>
    <t>VLU - 37</t>
  </si>
  <si>
    <t>Gurre Zote stacion pompimi</t>
  </si>
  <si>
    <t>Lume ( Vermikut )</t>
  </si>
  <si>
    <t>VLU - 38</t>
  </si>
  <si>
    <t>Gjorm stacion pompimi</t>
  </si>
  <si>
    <t>VLU - 39</t>
  </si>
  <si>
    <t>Ure Gjorm stacion pompimi</t>
  </si>
  <si>
    <t>VLU - 40</t>
  </si>
  <si>
    <t>Murres stacion pompimi</t>
  </si>
  <si>
    <t>VLU - 41</t>
  </si>
  <si>
    <t>Gjorm Spring stacion pompimi</t>
  </si>
  <si>
    <t>VLU - 43</t>
  </si>
  <si>
    <t>Kriçke stacion pompimi GJORM</t>
  </si>
  <si>
    <t>VLU - 44</t>
  </si>
  <si>
    <t>Rubjeke stacion pompimi</t>
  </si>
  <si>
    <t>VLU - 45</t>
  </si>
  <si>
    <t>Sirokeme stacion pompimi</t>
  </si>
  <si>
    <t>VLU - 46</t>
  </si>
  <si>
    <t>Vodice stacion pompimi 1</t>
  </si>
  <si>
    <t>VLU - 47</t>
  </si>
  <si>
    <t>Vodice stacion pompimi 2</t>
  </si>
  <si>
    <t>VLU - 50</t>
  </si>
  <si>
    <t>Trubull stacion pompimi</t>
  </si>
  <si>
    <t>Lume ( Shushice)</t>
  </si>
  <si>
    <t>VLU - 51</t>
  </si>
  <si>
    <t>Bogdan stacion pompimi</t>
  </si>
  <si>
    <t>VLU - 54</t>
  </si>
  <si>
    <t>Shkoze stacion pompimi</t>
  </si>
  <si>
    <t>Lume ( Vjose )</t>
  </si>
  <si>
    <t>VLU - 55</t>
  </si>
  <si>
    <t>Dushkarak stacion pompimi</t>
  </si>
  <si>
    <t>VLU - 56</t>
  </si>
  <si>
    <t>Karbunar stacion pompimi</t>
  </si>
  <si>
    <t>VLU - 58</t>
  </si>
  <si>
    <t>Golimbas stacion pompimi</t>
  </si>
  <si>
    <t>PStp.. ( Shkoze )</t>
  </si>
  <si>
    <t>VLU - 59</t>
  </si>
  <si>
    <t>Breg Dash stacion pompimi</t>
  </si>
  <si>
    <t>VLU -V1</t>
  </si>
  <si>
    <t>KU Bashkia Selenice</t>
  </si>
  <si>
    <t>30 Skema</t>
  </si>
  <si>
    <t>VLU - 3</t>
  </si>
  <si>
    <t>Llakatund - Selenice</t>
  </si>
  <si>
    <t>Lume Shushica + stp</t>
  </si>
  <si>
    <t>VLU - 10</t>
  </si>
  <si>
    <t>Kallafet reservoir</t>
  </si>
  <si>
    <t>Rezervuar ( Kallafet )</t>
  </si>
  <si>
    <t>VLU - 9</t>
  </si>
  <si>
    <t>Babice reservoir</t>
  </si>
  <si>
    <t>Rezervuar ( Babice )</t>
  </si>
  <si>
    <t>VLU - 2</t>
  </si>
  <si>
    <t>Myzeqe e Vlores</t>
  </si>
  <si>
    <t>Stp. Mifol Nr.2, Panaja, Zvernec, Bestrove</t>
  </si>
  <si>
    <t>VLU - 57</t>
  </si>
  <si>
    <t>Jonufer kanal</t>
  </si>
  <si>
    <t>Lume ( Izvor )</t>
  </si>
  <si>
    <t>VLU - 1</t>
  </si>
  <si>
    <t>Stp. Mifol Nr.1</t>
  </si>
  <si>
    <t>VLU - 6</t>
  </si>
  <si>
    <t>Dukat - Tragjas</t>
  </si>
  <si>
    <t>Lum + stp</t>
  </si>
  <si>
    <t>VLU - 8</t>
  </si>
  <si>
    <t>Bunavis reservoir</t>
  </si>
  <si>
    <t>Rezervuar ( Bunavis )</t>
  </si>
  <si>
    <t>VLU - 11</t>
  </si>
  <si>
    <t>Kanine reservoir 1</t>
  </si>
  <si>
    <t>Rezervuar ( Kanine 1 )</t>
  </si>
  <si>
    <t>VLU - 12</t>
  </si>
  <si>
    <t>Kanine reservoir 2</t>
  </si>
  <si>
    <t>Rezervuar. ( Kanine 2 )</t>
  </si>
  <si>
    <t>VLU - 17</t>
  </si>
  <si>
    <t>Bestrove</t>
  </si>
  <si>
    <t>VLU - 48</t>
  </si>
  <si>
    <t>Sherisht stacion pompimi</t>
  </si>
  <si>
    <t>Lume ( Kallafet )</t>
  </si>
  <si>
    <t>VLU - 49</t>
  </si>
  <si>
    <t>Risili  stacion pompimi</t>
  </si>
  <si>
    <t>Kanal. ( Penkov )</t>
  </si>
  <si>
    <t>VLU - 52</t>
  </si>
  <si>
    <t>Izvor stacion pompimi</t>
  </si>
  <si>
    <t>VLU - 53</t>
  </si>
  <si>
    <t>Jonufer stacion pompimi 4</t>
  </si>
  <si>
    <t>Kanal. ( Jonufer )</t>
  </si>
  <si>
    <t>VLU -V4</t>
  </si>
  <si>
    <t xml:space="preserve">Ekonomite </t>
  </si>
  <si>
    <t>15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</si>
</sst>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.00&quot; &quot;;&quot; (&quot;#,##0.00&quot;)&quot;;&quot; -&quot;00&quot; &quot;;&quot; &quot;@&quot; &quot;"/>
  </numFmts>
  <fonts count="13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1"/>
      <color rgb="FFC00000"/>
      <name val="Century Gothic"/>
      <family val="2"/>
    </font>
    <font>
      <b/>
      <sz val="12"/>
      <color rgb="FFC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alibr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Border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5" fillId="0" borderId="4" xfId="2" applyBorder="1" applyAlignment="1">
      <alignment horizontal="center" vertical="center" wrapText="1"/>
    </xf>
    <xf numFmtId="0" fontId="5" fillId="0" borderId="4" xfId="2" applyBorder="1" applyAlignment="1">
      <alignment vertical="center" wrapText="1"/>
    </xf>
    <xf numFmtId="1" fontId="5" fillId="0" borderId="4" xfId="2" applyNumberForma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2" applyFont="1" applyBorder="1" applyAlignment="1">
      <alignment vertical="center" wrapText="1"/>
    </xf>
    <xf numFmtId="0" fontId="6" fillId="0" borderId="1" xfId="2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2" applyFont="1" applyBorder="1" applyAlignment="1">
      <alignment wrapText="1"/>
    </xf>
    <xf numFmtId="0" fontId="6" fillId="0" borderId="1" xfId="2" applyFont="1" applyBorder="1" applyAlignment="1">
      <alignment horizontal="center" wrapText="1"/>
    </xf>
    <xf numFmtId="1" fontId="6" fillId="0" borderId="1" xfId="2" applyNumberFormat="1" applyFont="1" applyBorder="1" applyAlignment="1">
      <alignment horizontal="center" wrapText="1"/>
    </xf>
    <xf numFmtId="0" fontId="9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10" fontId="8" fillId="2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2" applyFont="1" applyBorder="1" applyAlignment="1">
      <alignment horizontal="left" vertical="center" wrapText="1"/>
    </xf>
    <xf numFmtId="10" fontId="7" fillId="0" borderId="1" xfId="1" applyNumberFormat="1" applyFont="1" applyBorder="1"/>
    <xf numFmtId="0" fontId="6" fillId="0" borderId="1" xfId="2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" fontId="6" fillId="0" borderId="1" xfId="2" applyNumberFormat="1" applyFont="1" applyBorder="1" applyAlignment="1">
      <alignment horizontal="left" wrapText="1"/>
    </xf>
    <xf numFmtId="10" fontId="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0" fontId="8" fillId="3" borderId="1" xfId="0" applyNumberFormat="1" applyFont="1" applyFill="1" applyBorder="1" applyAlignment="1">
      <alignment horizontal="center" vertical="center" wrapText="1"/>
    </xf>
    <xf numFmtId="10" fontId="7" fillId="0" borderId="1" xfId="3" applyNumberFormat="1" applyFont="1" applyBorder="1"/>
    <xf numFmtId="10" fontId="8" fillId="2" borderId="1" xfId="3" applyNumberFormat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/>
    </xf>
    <xf numFmtId="10" fontId="7" fillId="0" borderId="1" xfId="4" applyNumberFormat="1" applyFont="1" applyBorder="1"/>
    <xf numFmtId="10" fontId="8" fillId="2" borderId="1" xfId="4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0" borderId="9" xfId="2" applyFont="1" applyBorder="1" applyAlignment="1">
      <alignment horizontal="center" wrapText="1"/>
    </xf>
    <xf numFmtId="0" fontId="6" fillId="0" borderId="10" xfId="2" applyFont="1" applyBorder="1" applyAlignment="1">
      <alignment horizont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10" fontId="7" fillId="0" borderId="1" xfId="6" applyNumberFormat="1" applyFont="1" applyBorder="1"/>
    <xf numFmtId="10" fontId="8" fillId="2" borderId="1" xfId="6" applyNumberFormat="1" applyFont="1" applyFill="1" applyBorder="1" applyAlignment="1">
      <alignment horizontal="center" vertical="center" wrapText="1"/>
    </xf>
  </cellXfs>
  <cellStyles count="7">
    <cellStyle name="Comma 2" xfId="5" xr:uid="{F84332D8-35AC-410E-B04F-AE3E106194E4}"/>
    <cellStyle name="Normal" xfId="0" builtinId="0"/>
    <cellStyle name="Normal 2" xfId="2" xr:uid="{2CE948CB-D659-4AE9-AE2F-B27B31CB22A3}"/>
    <cellStyle name="Percent" xfId="1" builtinId="5"/>
    <cellStyle name="Percent 2" xfId="3" xr:uid="{998B8720-AB32-4DFA-9457-4BCEBF3CD808}"/>
    <cellStyle name="Percent 3" xfId="4" xr:uid="{1E2279CF-F31F-4EFB-9636-1FAF433C94F7}"/>
    <cellStyle name="Percent 4" xfId="6" xr:uid="{EC84A449-00A6-4C0E-AA24-8C2582A46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14B9-6E81-4B30-AAC3-1DCE5F8C0D41}">
  <sheetPr codeName="Sheet2"/>
  <dimension ref="A1:I36"/>
  <sheetViews>
    <sheetView zoomScaleNormal="100" workbookViewId="0">
      <selection activeCell="D3" sqref="D3:E4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</v>
      </c>
      <c r="C5" s="14" t="s">
        <v>4</v>
      </c>
      <c r="D5" s="46" t="s">
        <v>1941</v>
      </c>
      <c r="E5" s="47"/>
      <c r="F5" s="15">
        <v>31</v>
      </c>
      <c r="G5" s="19" t="s">
        <v>1776</v>
      </c>
      <c r="H5" s="19">
        <v>15</v>
      </c>
      <c r="I5" s="24">
        <f>H5/F5</f>
        <v>0.4838709677419355</v>
      </c>
    </row>
    <row r="6" spans="1:9" ht="15.6" customHeight="1" x14ac:dyDescent="0.25">
      <c r="A6" s="13">
        <v>2</v>
      </c>
      <c r="B6" s="14" t="s">
        <v>5</v>
      </c>
      <c r="C6" s="14" t="s">
        <v>6</v>
      </c>
      <c r="D6" s="46" t="s">
        <v>1942</v>
      </c>
      <c r="E6" s="47"/>
      <c r="F6" s="15">
        <v>7</v>
      </c>
      <c r="G6" s="19"/>
      <c r="H6" s="19"/>
      <c r="I6" s="24">
        <f t="shared" ref="I6:I28" si="0">H6/F6</f>
        <v>0</v>
      </c>
    </row>
    <row r="7" spans="1:9" ht="15.6" customHeight="1" x14ac:dyDescent="0.25">
      <c r="A7" s="13">
        <v>3</v>
      </c>
      <c r="B7" s="14" t="s">
        <v>7</v>
      </c>
      <c r="C7" s="14" t="s">
        <v>8</v>
      </c>
      <c r="D7" s="46" t="s">
        <v>1943</v>
      </c>
      <c r="E7" s="47"/>
      <c r="F7" s="15">
        <v>20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4" t="s">
        <v>9</v>
      </c>
      <c r="C8" s="14" t="s">
        <v>10</v>
      </c>
      <c r="D8" s="46" t="s">
        <v>1944</v>
      </c>
      <c r="E8" s="47"/>
      <c r="F8" s="15">
        <v>8</v>
      </c>
      <c r="G8" s="19"/>
      <c r="H8" s="19"/>
      <c r="I8" s="24">
        <f t="shared" si="0"/>
        <v>0</v>
      </c>
    </row>
    <row r="9" spans="1:9" ht="15.6" customHeight="1" x14ac:dyDescent="0.25">
      <c r="A9" s="13">
        <v>5</v>
      </c>
      <c r="B9" s="14" t="s">
        <v>11</v>
      </c>
      <c r="C9" s="14" t="s">
        <v>12</v>
      </c>
      <c r="D9" s="46" t="s">
        <v>1945</v>
      </c>
      <c r="E9" s="47"/>
      <c r="F9" s="15">
        <v>17</v>
      </c>
      <c r="G9" s="19"/>
      <c r="H9" s="19"/>
      <c r="I9" s="24">
        <f t="shared" si="0"/>
        <v>0</v>
      </c>
    </row>
    <row r="10" spans="1:9" ht="15.6" customHeight="1" x14ac:dyDescent="0.25">
      <c r="A10" s="13">
        <v>6</v>
      </c>
      <c r="B10" s="14" t="s">
        <v>13</v>
      </c>
      <c r="C10" s="14" t="s">
        <v>14</v>
      </c>
      <c r="D10" s="46" t="s">
        <v>1942</v>
      </c>
      <c r="E10" s="47"/>
      <c r="F10" s="15">
        <v>9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4" t="s">
        <v>17</v>
      </c>
      <c r="C11" s="14" t="s">
        <v>18</v>
      </c>
      <c r="D11" s="46" t="s">
        <v>1946</v>
      </c>
      <c r="E11" s="47"/>
      <c r="F11" s="15">
        <v>4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4" t="s">
        <v>19</v>
      </c>
      <c r="C12" s="14" t="s">
        <v>20</v>
      </c>
      <c r="D12" s="46" t="s">
        <v>1947</v>
      </c>
      <c r="E12" s="47"/>
      <c r="F12" s="15">
        <v>2</v>
      </c>
      <c r="G12" s="19"/>
      <c r="H12" s="19"/>
      <c r="I12" s="24">
        <f t="shared" si="0"/>
        <v>0</v>
      </c>
    </row>
    <row r="13" spans="1:9" ht="15.6" customHeight="1" x14ac:dyDescent="0.25">
      <c r="A13" s="13">
        <v>9</v>
      </c>
      <c r="B13" s="14" t="s">
        <v>21</v>
      </c>
      <c r="C13" s="14" t="s">
        <v>22</v>
      </c>
      <c r="D13" s="46" t="s">
        <v>1948</v>
      </c>
      <c r="E13" s="47"/>
      <c r="F13" s="15">
        <v>0.5</v>
      </c>
      <c r="G13" s="15"/>
      <c r="H13" s="15"/>
      <c r="I13" s="24">
        <f t="shared" si="0"/>
        <v>0</v>
      </c>
    </row>
    <row r="14" spans="1:9" ht="15.6" customHeight="1" x14ac:dyDescent="0.25">
      <c r="A14" s="13">
        <v>10</v>
      </c>
      <c r="B14" s="14" t="s">
        <v>23</v>
      </c>
      <c r="C14" s="14" t="s">
        <v>24</v>
      </c>
      <c r="D14" s="46" t="s">
        <v>1949</v>
      </c>
      <c r="E14" s="47"/>
      <c r="F14" s="15">
        <v>6</v>
      </c>
      <c r="G14" s="19"/>
      <c r="H14" s="19"/>
      <c r="I14" s="24">
        <f t="shared" si="0"/>
        <v>0</v>
      </c>
    </row>
    <row r="15" spans="1:9" ht="15.6" customHeight="1" x14ac:dyDescent="0.25">
      <c r="A15" s="13">
        <v>11</v>
      </c>
      <c r="B15" s="14" t="s">
        <v>26</v>
      </c>
      <c r="C15" s="14" t="s">
        <v>27</v>
      </c>
      <c r="D15" s="46" t="s">
        <v>1950</v>
      </c>
      <c r="E15" s="47"/>
      <c r="F15" s="15">
        <v>7</v>
      </c>
      <c r="G15" s="19"/>
      <c r="H15" s="19"/>
      <c r="I15" s="24">
        <f t="shared" si="0"/>
        <v>0</v>
      </c>
    </row>
    <row r="16" spans="1:9" ht="15.6" customHeight="1" x14ac:dyDescent="0.25">
      <c r="A16" s="13">
        <v>12</v>
      </c>
      <c r="B16" s="14" t="s">
        <v>28</v>
      </c>
      <c r="C16" s="14" t="s">
        <v>29</v>
      </c>
      <c r="D16" s="46" t="s">
        <v>1951</v>
      </c>
      <c r="E16" s="47"/>
      <c r="F16" s="15">
        <v>17</v>
      </c>
      <c r="G16" s="15"/>
      <c r="H16" s="15"/>
      <c r="I16" s="24">
        <f t="shared" si="0"/>
        <v>0</v>
      </c>
    </row>
    <row r="17" spans="1:9" ht="15.6" customHeight="1" x14ac:dyDescent="0.25">
      <c r="A17" s="13">
        <v>13</v>
      </c>
      <c r="B17" s="14" t="s">
        <v>30</v>
      </c>
      <c r="C17" s="14" t="s">
        <v>31</v>
      </c>
      <c r="D17" s="46" t="s">
        <v>1952</v>
      </c>
      <c r="E17" s="47"/>
      <c r="F17" s="15">
        <v>6.3</v>
      </c>
      <c r="G17" s="19"/>
      <c r="H17" s="19"/>
      <c r="I17" s="24">
        <f t="shared" si="0"/>
        <v>0</v>
      </c>
    </row>
    <row r="18" spans="1:9" ht="15.6" customHeight="1" x14ac:dyDescent="0.25">
      <c r="A18" s="13">
        <v>14</v>
      </c>
      <c r="B18" s="14" t="s">
        <v>32</v>
      </c>
      <c r="C18" s="14" t="s">
        <v>33</v>
      </c>
      <c r="D18" s="46" t="s">
        <v>1953</v>
      </c>
      <c r="E18" s="47"/>
      <c r="F18" s="15">
        <v>1</v>
      </c>
      <c r="G18" s="19"/>
      <c r="H18" s="19"/>
      <c r="I18" s="24">
        <f t="shared" si="0"/>
        <v>0</v>
      </c>
    </row>
    <row r="19" spans="1:9" ht="15.6" customHeight="1" x14ac:dyDescent="0.25">
      <c r="A19" s="13">
        <v>15</v>
      </c>
      <c r="B19" s="14" t="s">
        <v>34</v>
      </c>
      <c r="C19" s="14" t="s">
        <v>35</v>
      </c>
      <c r="D19" s="46" t="s">
        <v>1954</v>
      </c>
      <c r="E19" s="47"/>
      <c r="F19" s="15">
        <v>1.3</v>
      </c>
      <c r="G19" s="15"/>
      <c r="H19" s="15"/>
      <c r="I19" s="24">
        <f t="shared" si="0"/>
        <v>0</v>
      </c>
    </row>
    <row r="20" spans="1:9" ht="15.6" customHeight="1" x14ac:dyDescent="0.25">
      <c r="A20" s="13">
        <v>16</v>
      </c>
      <c r="B20" s="14" t="s">
        <v>36</v>
      </c>
      <c r="C20" s="14" t="s">
        <v>37</v>
      </c>
      <c r="D20" s="46" t="s">
        <v>1955</v>
      </c>
      <c r="E20" s="47"/>
      <c r="F20" s="15">
        <v>5</v>
      </c>
      <c r="G20" s="19"/>
      <c r="H20" s="19"/>
      <c r="I20" s="24">
        <f t="shared" si="0"/>
        <v>0</v>
      </c>
    </row>
    <row r="21" spans="1:9" ht="15.6" customHeight="1" x14ac:dyDescent="0.25">
      <c r="A21" s="13">
        <v>17</v>
      </c>
      <c r="B21" s="14" t="s">
        <v>38</v>
      </c>
      <c r="C21" s="14" t="s">
        <v>39</v>
      </c>
      <c r="D21" s="46" t="s">
        <v>1942</v>
      </c>
      <c r="E21" s="47"/>
      <c r="F21" s="16">
        <v>4</v>
      </c>
      <c r="G21" s="19"/>
      <c r="H21" s="19"/>
      <c r="I21" s="24">
        <f t="shared" si="0"/>
        <v>0</v>
      </c>
    </row>
    <row r="22" spans="1:9" ht="15.6" customHeight="1" x14ac:dyDescent="0.25">
      <c r="A22" s="13">
        <v>18</v>
      </c>
      <c r="B22" s="14" t="s">
        <v>40</v>
      </c>
      <c r="C22" s="14" t="s">
        <v>41</v>
      </c>
      <c r="D22" s="46" t="s">
        <v>1942</v>
      </c>
      <c r="E22" s="47"/>
      <c r="F22" s="15">
        <v>3</v>
      </c>
      <c r="G22" s="15"/>
      <c r="H22" s="15"/>
      <c r="I22" s="24">
        <f t="shared" si="0"/>
        <v>0</v>
      </c>
    </row>
    <row r="23" spans="1:9" ht="15.6" customHeight="1" x14ac:dyDescent="0.25">
      <c r="A23" s="13">
        <v>19</v>
      </c>
      <c r="B23" s="14" t="s">
        <v>42</v>
      </c>
      <c r="C23" s="14" t="s">
        <v>43</v>
      </c>
      <c r="D23" s="46" t="s">
        <v>1942</v>
      </c>
      <c r="E23" s="47"/>
      <c r="F23" s="15">
        <v>3</v>
      </c>
      <c r="G23" s="19"/>
      <c r="H23" s="19"/>
      <c r="I23" s="24">
        <f t="shared" si="0"/>
        <v>0</v>
      </c>
    </row>
    <row r="24" spans="1:9" ht="15.6" customHeight="1" x14ac:dyDescent="0.25">
      <c r="A24" s="13">
        <v>20</v>
      </c>
      <c r="B24" s="14" t="s">
        <v>44</v>
      </c>
      <c r="C24" s="14" t="s">
        <v>45</v>
      </c>
      <c r="D24" s="46" t="s">
        <v>1956</v>
      </c>
      <c r="E24" s="47"/>
      <c r="F24" s="15">
        <v>1</v>
      </c>
      <c r="G24" s="19"/>
      <c r="H24" s="19"/>
      <c r="I24" s="24">
        <f t="shared" si="0"/>
        <v>0</v>
      </c>
    </row>
    <row r="25" spans="1:9" ht="15.6" customHeight="1" x14ac:dyDescent="0.25">
      <c r="A25" s="13">
        <v>21</v>
      </c>
      <c r="B25" s="14" t="s">
        <v>46</v>
      </c>
      <c r="C25" s="14" t="s">
        <v>47</v>
      </c>
      <c r="D25" s="46" t="s">
        <v>1957</v>
      </c>
      <c r="E25" s="47"/>
      <c r="F25" s="15">
        <v>1.8</v>
      </c>
      <c r="G25" s="15"/>
      <c r="H25" s="15"/>
      <c r="I25" s="24">
        <f t="shared" si="0"/>
        <v>0</v>
      </c>
    </row>
    <row r="26" spans="1:9" ht="15.6" customHeight="1" x14ac:dyDescent="0.25">
      <c r="A26" s="13">
        <v>22</v>
      </c>
      <c r="B26" s="14" t="s">
        <v>48</v>
      </c>
      <c r="C26" s="14" t="s">
        <v>49</v>
      </c>
      <c r="D26" s="46" t="s">
        <v>1942</v>
      </c>
      <c r="E26" s="47"/>
      <c r="F26" s="15">
        <v>1</v>
      </c>
      <c r="G26" s="19"/>
      <c r="H26" s="19"/>
      <c r="I26" s="24">
        <f t="shared" si="0"/>
        <v>0</v>
      </c>
    </row>
    <row r="27" spans="1:9" ht="15.6" customHeight="1" x14ac:dyDescent="0.25">
      <c r="A27" s="13">
        <v>23</v>
      </c>
      <c r="B27" s="14" t="s">
        <v>50</v>
      </c>
      <c r="C27" s="14" t="s">
        <v>51</v>
      </c>
      <c r="D27" s="46" t="s">
        <v>1958</v>
      </c>
      <c r="E27" s="47"/>
      <c r="F27" s="15">
        <v>1</v>
      </c>
      <c r="G27" s="19"/>
      <c r="H27" s="19"/>
      <c r="I27" s="24">
        <f t="shared" si="0"/>
        <v>0</v>
      </c>
    </row>
    <row r="28" spans="1:9" ht="16.8" customHeight="1" x14ac:dyDescent="0.25">
      <c r="A28" s="39" t="s">
        <v>1769</v>
      </c>
      <c r="B28" s="39"/>
      <c r="C28" s="39"/>
      <c r="D28" s="39" t="s">
        <v>1770</v>
      </c>
      <c r="E28" s="39"/>
      <c r="F28" s="12">
        <f>SUM(F5:F27)</f>
        <v>156.90000000000003</v>
      </c>
      <c r="G28" s="20"/>
      <c r="H28" s="12">
        <f t="shared" ref="H28" si="1">SUM(H5:H27)</f>
        <v>15</v>
      </c>
      <c r="I28" s="21">
        <f t="shared" si="0"/>
        <v>9.5602294455066905E-2</v>
      </c>
    </row>
    <row r="30" spans="1:9" ht="15" x14ac:dyDescent="0.25">
      <c r="A30" s="17" t="s">
        <v>1766</v>
      </c>
    </row>
    <row r="32" spans="1:9" s="18" customFormat="1" ht="17.399999999999999" customHeight="1" x14ac:dyDescent="0.25">
      <c r="A32" s="39" t="s">
        <v>0</v>
      </c>
      <c r="B32" s="41" t="s">
        <v>1761</v>
      </c>
      <c r="C32" s="41"/>
      <c r="D32" s="42" t="s">
        <v>1763</v>
      </c>
      <c r="E32" s="43"/>
      <c r="F32" s="41" t="s">
        <v>1768</v>
      </c>
      <c r="G32" s="40" t="s">
        <v>1772</v>
      </c>
      <c r="H32" s="39" t="s">
        <v>1773</v>
      </c>
      <c r="I32" s="39"/>
    </row>
    <row r="33" spans="1:9" s="18" customFormat="1" ht="17.399999999999999" customHeight="1" x14ac:dyDescent="0.25">
      <c r="A33" s="39"/>
      <c r="B33" s="11" t="s">
        <v>1</v>
      </c>
      <c r="C33" s="11" t="s">
        <v>1762</v>
      </c>
      <c r="D33" s="44"/>
      <c r="E33" s="45"/>
      <c r="F33" s="41"/>
      <c r="G33" s="40"/>
      <c r="H33" s="11" t="s">
        <v>1774</v>
      </c>
      <c r="I33" s="11" t="s">
        <v>1775</v>
      </c>
    </row>
    <row r="34" spans="1:9" ht="16.2" customHeight="1" x14ac:dyDescent="0.25">
      <c r="A34" s="8">
        <v>1</v>
      </c>
      <c r="B34" s="9" t="s">
        <v>2</v>
      </c>
      <c r="C34" s="22" t="s">
        <v>1767</v>
      </c>
      <c r="D34" s="48" t="s">
        <v>1942</v>
      </c>
      <c r="E34" s="49"/>
      <c r="F34" s="10">
        <v>134</v>
      </c>
      <c r="G34" s="19"/>
      <c r="H34" s="19">
        <v>45</v>
      </c>
      <c r="I34" s="24">
        <f t="shared" ref="I34:I35" si="2">H34/F34</f>
        <v>0.33582089552238809</v>
      </c>
    </row>
    <row r="35" spans="1:9" ht="16.2" customHeight="1" x14ac:dyDescent="0.25">
      <c r="A35" s="8">
        <v>2</v>
      </c>
      <c r="B35" s="9" t="s">
        <v>16</v>
      </c>
      <c r="C35" s="23" t="s">
        <v>15</v>
      </c>
      <c r="D35" s="48" t="s">
        <v>1959</v>
      </c>
      <c r="E35" s="49"/>
      <c r="F35" s="10">
        <v>29</v>
      </c>
      <c r="G35" s="19"/>
      <c r="H35" s="19"/>
      <c r="I35" s="24">
        <f t="shared" si="2"/>
        <v>0</v>
      </c>
    </row>
    <row r="36" spans="1:9" ht="16.8" customHeight="1" x14ac:dyDescent="0.25">
      <c r="A36" s="39" t="s">
        <v>1769</v>
      </c>
      <c r="B36" s="39"/>
      <c r="C36" s="39"/>
      <c r="D36" s="39" t="s">
        <v>1771</v>
      </c>
      <c r="E36" s="39"/>
      <c r="F36" s="12">
        <f>SUM(F34:F35)</f>
        <v>163</v>
      </c>
      <c r="G36" s="20"/>
      <c r="H36" s="12">
        <f>SUM(H34:H35)</f>
        <v>45</v>
      </c>
      <c r="I36" s="21">
        <f t="shared" ref="I36" si="3">H36/F36</f>
        <v>0.27607361963190186</v>
      </c>
    </row>
  </sheetData>
  <mergeCells count="41">
    <mergeCell ref="D20:E20"/>
    <mergeCell ref="D21:E21"/>
    <mergeCell ref="D22:E22"/>
    <mergeCell ref="D23:E23"/>
    <mergeCell ref="D35:E35"/>
    <mergeCell ref="D24:E24"/>
    <mergeCell ref="D25:E25"/>
    <mergeCell ref="D26:E26"/>
    <mergeCell ref="D27:E27"/>
    <mergeCell ref="D34:E34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D9:E9"/>
    <mergeCell ref="A36:C36"/>
    <mergeCell ref="D36:E36"/>
    <mergeCell ref="G3:G4"/>
    <mergeCell ref="H3:I3"/>
    <mergeCell ref="G32:G33"/>
    <mergeCell ref="H32:I32"/>
    <mergeCell ref="F3:F4"/>
    <mergeCell ref="A32:A33"/>
    <mergeCell ref="B32:C32"/>
    <mergeCell ref="F32:F33"/>
    <mergeCell ref="A28:C28"/>
    <mergeCell ref="D28:E28"/>
    <mergeCell ref="B3:C3"/>
    <mergeCell ref="A3:A4"/>
    <mergeCell ref="D3:E4"/>
    <mergeCell ref="D32:E3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F377-D3F2-4264-A826-E60FD84BFF94}">
  <sheetPr codeName="Sheet3"/>
  <dimension ref="A1:I16"/>
  <sheetViews>
    <sheetView zoomScaleNormal="100" workbookViewId="0">
      <selection activeCell="E25" sqref="E25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52</v>
      </c>
      <c r="C5" s="14" t="s">
        <v>53</v>
      </c>
      <c r="D5" s="14" t="s">
        <v>119</v>
      </c>
      <c r="E5" s="14" t="s">
        <v>53</v>
      </c>
      <c r="F5" s="3">
        <v>1</v>
      </c>
      <c r="G5" s="19"/>
      <c r="H5" s="19"/>
      <c r="I5" s="24">
        <f>H5/F5</f>
        <v>0</v>
      </c>
    </row>
    <row r="6" spans="1:9" ht="15.6" customHeight="1" x14ac:dyDescent="0.25">
      <c r="A6" s="13">
        <v>2</v>
      </c>
      <c r="B6" s="14" t="s">
        <v>54</v>
      </c>
      <c r="C6" s="14" t="s">
        <v>55</v>
      </c>
      <c r="D6" s="14" t="s">
        <v>119</v>
      </c>
      <c r="E6" s="14" t="s">
        <v>56</v>
      </c>
      <c r="F6" s="10">
        <v>1</v>
      </c>
      <c r="G6" s="19"/>
      <c r="H6" s="19"/>
      <c r="I6" s="24">
        <f t="shared" ref="I6:I16" si="0">H6/F6</f>
        <v>0</v>
      </c>
    </row>
    <row r="7" spans="1:9" ht="15.6" customHeight="1" x14ac:dyDescent="0.25">
      <c r="A7" s="13">
        <v>3</v>
      </c>
      <c r="B7" s="14" t="s">
        <v>57</v>
      </c>
      <c r="C7" s="14" t="s">
        <v>58</v>
      </c>
      <c r="D7" s="14" t="s">
        <v>119</v>
      </c>
      <c r="E7" s="14" t="s">
        <v>25</v>
      </c>
      <c r="F7" s="10">
        <v>1.5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4" t="s">
        <v>59</v>
      </c>
      <c r="C8" s="14" t="s">
        <v>60</v>
      </c>
      <c r="D8" s="14" t="s">
        <v>119</v>
      </c>
      <c r="E8" s="14" t="s">
        <v>25</v>
      </c>
      <c r="F8" s="10">
        <v>2</v>
      </c>
      <c r="G8" s="19"/>
      <c r="H8" s="19"/>
      <c r="I8" s="24">
        <f t="shared" si="0"/>
        <v>0</v>
      </c>
    </row>
    <row r="9" spans="1:9" ht="15.6" customHeight="1" x14ac:dyDescent="0.25">
      <c r="A9" s="13">
        <v>5</v>
      </c>
      <c r="B9" s="14" t="s">
        <v>61</v>
      </c>
      <c r="C9" s="14" t="s">
        <v>62</v>
      </c>
      <c r="D9" s="14" t="s">
        <v>119</v>
      </c>
      <c r="E9" s="14" t="s">
        <v>25</v>
      </c>
      <c r="F9" s="10">
        <v>2.5</v>
      </c>
      <c r="G9" s="19"/>
      <c r="H9" s="19"/>
      <c r="I9" s="24">
        <f t="shared" si="0"/>
        <v>0</v>
      </c>
    </row>
    <row r="10" spans="1:9" ht="30" customHeight="1" x14ac:dyDescent="0.25">
      <c r="A10" s="13">
        <v>6</v>
      </c>
      <c r="B10" s="14" t="s">
        <v>63</v>
      </c>
      <c r="C10" s="14" t="s">
        <v>64</v>
      </c>
      <c r="D10" s="14" t="s">
        <v>1778</v>
      </c>
      <c r="E10" s="14" t="s">
        <v>1777</v>
      </c>
      <c r="F10" s="10">
        <v>53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4" t="s">
        <v>65</v>
      </c>
      <c r="C11" s="14" t="s">
        <v>66</v>
      </c>
      <c r="D11" s="14" t="s">
        <v>67</v>
      </c>
      <c r="E11" s="14" t="s">
        <v>1779</v>
      </c>
      <c r="F11" s="10">
        <v>4.2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4" t="s">
        <v>68</v>
      </c>
      <c r="C12" s="14" t="s">
        <v>69</v>
      </c>
      <c r="D12" s="14" t="s">
        <v>70</v>
      </c>
      <c r="E12" s="14" t="s">
        <v>1780</v>
      </c>
      <c r="F12" s="10">
        <v>44.6</v>
      </c>
      <c r="G12" s="19"/>
      <c r="H12" s="19"/>
      <c r="I12" s="24">
        <f t="shared" si="0"/>
        <v>0</v>
      </c>
    </row>
    <row r="13" spans="1:9" ht="15.6" customHeight="1" x14ac:dyDescent="0.25">
      <c r="A13" s="13">
        <v>9</v>
      </c>
      <c r="B13" s="14" t="s">
        <v>71</v>
      </c>
      <c r="C13" s="14" t="s">
        <v>72</v>
      </c>
      <c r="D13" s="14" t="s">
        <v>73</v>
      </c>
      <c r="E13" s="14"/>
      <c r="F13" s="10">
        <v>32.6</v>
      </c>
      <c r="G13" s="15"/>
      <c r="H13" s="15"/>
      <c r="I13" s="24">
        <f t="shared" si="0"/>
        <v>0</v>
      </c>
    </row>
    <row r="14" spans="1:9" ht="15.6" customHeight="1" x14ac:dyDescent="0.25">
      <c r="A14" s="13">
        <v>10</v>
      </c>
      <c r="B14" s="14" t="s">
        <v>74</v>
      </c>
      <c r="C14" s="14" t="s">
        <v>75</v>
      </c>
      <c r="D14" s="14" t="s">
        <v>76</v>
      </c>
      <c r="E14" s="14" t="s">
        <v>1779</v>
      </c>
      <c r="F14" s="10">
        <v>13</v>
      </c>
      <c r="G14" s="19"/>
      <c r="H14" s="19"/>
      <c r="I14" s="24">
        <f t="shared" si="0"/>
        <v>0</v>
      </c>
    </row>
    <row r="15" spans="1:9" ht="15.6" customHeight="1" x14ac:dyDescent="0.25">
      <c r="A15" s="13">
        <v>11</v>
      </c>
      <c r="B15" s="14" t="s">
        <v>77</v>
      </c>
      <c r="C15" s="14" t="s">
        <v>78</v>
      </c>
      <c r="D15" s="14" t="s">
        <v>76</v>
      </c>
      <c r="E15" s="14" t="s">
        <v>1781</v>
      </c>
      <c r="F15" s="1">
        <v>7.3</v>
      </c>
      <c r="G15" s="19"/>
      <c r="H15" s="19"/>
      <c r="I15" s="24">
        <f t="shared" si="0"/>
        <v>0</v>
      </c>
    </row>
    <row r="16" spans="1:9" ht="16.8" customHeight="1" x14ac:dyDescent="0.25">
      <c r="A16" s="39" t="s">
        <v>1769</v>
      </c>
      <c r="B16" s="39"/>
      <c r="C16" s="39"/>
      <c r="D16" s="39" t="s">
        <v>1782</v>
      </c>
      <c r="E16" s="39"/>
      <c r="F16" s="12">
        <f>SUM(F5:F15)</f>
        <v>162.70000000000002</v>
      </c>
      <c r="G16" s="20"/>
      <c r="H16" s="12">
        <f>SUM(H5:H15)</f>
        <v>0</v>
      </c>
      <c r="I16" s="21">
        <f t="shared" si="0"/>
        <v>0</v>
      </c>
    </row>
  </sheetData>
  <mergeCells count="8">
    <mergeCell ref="F3:F4"/>
    <mergeCell ref="G3:G4"/>
    <mergeCell ref="H3:I3"/>
    <mergeCell ref="A16:C16"/>
    <mergeCell ref="D16:E16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5553-7669-4E35-A6EF-83C2E9BF5D9B}">
  <sheetPr codeName="Sheet4"/>
  <dimension ref="A3:I21"/>
  <sheetViews>
    <sheetView zoomScaleNormal="100" workbookViewId="0">
      <selection activeCell="D3" sqref="D3:E4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3" spans="1:9" ht="13.8" customHeight="1" x14ac:dyDescent="0.25">
      <c r="A3" s="42" t="s">
        <v>0</v>
      </c>
      <c r="B3" s="42" t="s">
        <v>1761</v>
      </c>
      <c r="C3" s="43"/>
      <c r="D3" s="42" t="s">
        <v>1763</v>
      </c>
      <c r="E3" s="43"/>
      <c r="F3" s="42" t="s">
        <v>1764</v>
      </c>
      <c r="G3" s="42" t="s">
        <v>1772</v>
      </c>
      <c r="H3" s="50" t="s">
        <v>1773</v>
      </c>
      <c r="I3" s="51"/>
    </row>
    <row r="4" spans="1:9" x14ac:dyDescent="0.25">
      <c r="A4" s="44"/>
      <c r="B4" s="30" t="s">
        <v>1</v>
      </c>
      <c r="C4" s="30" t="s">
        <v>1762</v>
      </c>
      <c r="D4" s="44"/>
      <c r="E4" s="45"/>
      <c r="F4" s="44"/>
      <c r="G4" s="44"/>
      <c r="H4" s="30" t="s">
        <v>1774</v>
      </c>
      <c r="I4" s="30" t="s">
        <v>1775</v>
      </c>
    </row>
    <row r="5" spans="1:9" x14ac:dyDescent="0.25">
      <c r="A5" s="8">
        <v>1</v>
      </c>
      <c r="B5" s="22" t="s">
        <v>80</v>
      </c>
      <c r="C5" s="22" t="s">
        <v>81</v>
      </c>
      <c r="D5" s="52" t="s">
        <v>1940</v>
      </c>
      <c r="E5" s="52"/>
      <c r="F5" s="29">
        <v>2</v>
      </c>
      <c r="G5" s="29"/>
      <c r="H5" s="29"/>
      <c r="I5" s="28">
        <v>0</v>
      </c>
    </row>
    <row r="6" spans="1:9" x14ac:dyDescent="0.25">
      <c r="A6" s="8">
        <v>2</v>
      </c>
      <c r="B6" s="22" t="s">
        <v>82</v>
      </c>
      <c r="C6" s="22" t="s">
        <v>83</v>
      </c>
      <c r="D6" s="52" t="s">
        <v>1939</v>
      </c>
      <c r="E6" s="52"/>
      <c r="F6" s="29">
        <v>8</v>
      </c>
      <c r="G6" s="29"/>
      <c r="H6" s="29"/>
      <c r="I6" s="28">
        <v>0</v>
      </c>
    </row>
    <row r="7" spans="1:9" x14ac:dyDescent="0.25">
      <c r="A7" s="8">
        <v>3</v>
      </c>
      <c r="B7" s="22" t="s">
        <v>84</v>
      </c>
      <c r="C7" s="22" t="s">
        <v>85</v>
      </c>
      <c r="D7" s="52" t="s">
        <v>86</v>
      </c>
      <c r="E7" s="52"/>
      <c r="F7" s="29">
        <v>3.2</v>
      </c>
      <c r="G7" s="29"/>
      <c r="H7" s="29"/>
      <c r="I7" s="28">
        <v>0</v>
      </c>
    </row>
    <row r="8" spans="1:9" x14ac:dyDescent="0.25">
      <c r="A8" s="8">
        <v>4</v>
      </c>
      <c r="B8" s="22" t="s">
        <v>87</v>
      </c>
      <c r="C8" s="22" t="s">
        <v>88</v>
      </c>
      <c r="D8" s="52" t="s">
        <v>1938</v>
      </c>
      <c r="E8" s="52"/>
      <c r="F8" s="29">
        <v>4</v>
      </c>
      <c r="G8" s="29"/>
      <c r="H8" s="29"/>
      <c r="I8" s="28">
        <v>0</v>
      </c>
    </row>
    <row r="9" spans="1:9" x14ac:dyDescent="0.25">
      <c r="A9" s="8">
        <v>5</v>
      </c>
      <c r="B9" s="22" t="s">
        <v>89</v>
      </c>
      <c r="C9" s="22" t="s">
        <v>90</v>
      </c>
      <c r="D9" s="52" t="s">
        <v>1937</v>
      </c>
      <c r="E9" s="52"/>
      <c r="F9" s="29">
        <v>1</v>
      </c>
      <c r="G9" s="29"/>
      <c r="H9" s="29"/>
      <c r="I9" s="28">
        <v>0</v>
      </c>
    </row>
    <row r="10" spans="1:9" x14ac:dyDescent="0.25">
      <c r="A10" s="8">
        <v>6</v>
      </c>
      <c r="B10" s="22" t="s">
        <v>91</v>
      </c>
      <c r="C10" s="22" t="s">
        <v>92</v>
      </c>
      <c r="D10" s="52" t="s">
        <v>1936</v>
      </c>
      <c r="E10" s="52"/>
      <c r="F10" s="29">
        <v>1</v>
      </c>
      <c r="G10" s="29"/>
      <c r="H10" s="29"/>
      <c r="I10" s="28">
        <v>0</v>
      </c>
    </row>
    <row r="11" spans="1:9" x14ac:dyDescent="0.25">
      <c r="A11" s="8">
        <v>7</v>
      </c>
      <c r="B11" s="22" t="s">
        <v>93</v>
      </c>
      <c r="C11" s="22" t="s">
        <v>94</v>
      </c>
      <c r="D11" s="52" t="s">
        <v>1936</v>
      </c>
      <c r="E11" s="52"/>
      <c r="F11" s="29">
        <v>10</v>
      </c>
      <c r="G11" s="29"/>
      <c r="H11" s="29"/>
      <c r="I11" s="28">
        <v>0</v>
      </c>
    </row>
    <row r="12" spans="1:9" x14ac:dyDescent="0.25">
      <c r="A12" s="8">
        <v>8</v>
      </c>
      <c r="B12" s="22" t="s">
        <v>95</v>
      </c>
      <c r="C12" s="22" t="s">
        <v>96</v>
      </c>
      <c r="D12" s="52" t="s">
        <v>1936</v>
      </c>
      <c r="E12" s="52"/>
      <c r="F12" s="29">
        <v>1</v>
      </c>
      <c r="G12" s="29"/>
      <c r="H12" s="29"/>
      <c r="I12" s="28">
        <v>0</v>
      </c>
    </row>
    <row r="13" spans="1:9" x14ac:dyDescent="0.25">
      <c r="A13" s="8">
        <v>9</v>
      </c>
      <c r="B13" s="22" t="s">
        <v>97</v>
      </c>
      <c r="C13" s="22" t="s">
        <v>98</v>
      </c>
      <c r="D13" s="52" t="s">
        <v>1936</v>
      </c>
      <c r="E13" s="52"/>
      <c r="F13" s="29">
        <v>1</v>
      </c>
      <c r="G13" s="29"/>
      <c r="H13" s="29"/>
      <c r="I13" s="28">
        <v>0</v>
      </c>
    </row>
    <row r="14" spans="1:9" x14ac:dyDescent="0.25">
      <c r="A14" s="8">
        <v>10</v>
      </c>
      <c r="B14" s="22" t="s">
        <v>99</v>
      </c>
      <c r="C14" s="22" t="s">
        <v>100</v>
      </c>
      <c r="D14" s="52" t="s">
        <v>1936</v>
      </c>
      <c r="E14" s="52"/>
      <c r="F14" s="29">
        <v>4</v>
      </c>
      <c r="G14" s="29"/>
      <c r="H14" s="29"/>
      <c r="I14" s="28">
        <v>0</v>
      </c>
    </row>
    <row r="15" spans="1:9" x14ac:dyDescent="0.25">
      <c r="A15" s="8">
        <v>11</v>
      </c>
      <c r="B15" s="22" t="s">
        <v>101</v>
      </c>
      <c r="C15" s="22" t="s">
        <v>102</v>
      </c>
      <c r="D15" s="52" t="s">
        <v>1936</v>
      </c>
      <c r="E15" s="52"/>
      <c r="F15" s="29">
        <v>1.5</v>
      </c>
      <c r="G15" s="29"/>
      <c r="H15" s="29"/>
      <c r="I15" s="28">
        <v>0</v>
      </c>
    </row>
    <row r="16" spans="1:9" x14ac:dyDescent="0.25">
      <c r="A16" s="8">
        <v>12</v>
      </c>
      <c r="B16" s="22" t="s">
        <v>103</v>
      </c>
      <c r="C16" s="22" t="s">
        <v>104</v>
      </c>
      <c r="D16" s="52" t="s">
        <v>1936</v>
      </c>
      <c r="E16" s="52"/>
      <c r="F16" s="29">
        <v>2.5</v>
      </c>
      <c r="G16" s="29"/>
      <c r="H16" s="29"/>
      <c r="I16" s="28">
        <v>0</v>
      </c>
    </row>
    <row r="17" spans="1:9" x14ac:dyDescent="0.25">
      <c r="A17" s="8">
        <v>13</v>
      </c>
      <c r="B17" s="22" t="s">
        <v>105</v>
      </c>
      <c r="C17" s="22" t="s">
        <v>106</v>
      </c>
      <c r="D17" s="52" t="s">
        <v>1935</v>
      </c>
      <c r="E17" s="52"/>
      <c r="F17" s="29">
        <v>4</v>
      </c>
      <c r="G17" s="29"/>
      <c r="H17" s="29"/>
      <c r="I17" s="28">
        <v>0</v>
      </c>
    </row>
    <row r="18" spans="1:9" x14ac:dyDescent="0.25">
      <c r="A18" s="8">
        <v>14</v>
      </c>
      <c r="B18" s="22" t="s">
        <v>107</v>
      </c>
      <c r="C18" s="22" t="s">
        <v>108</v>
      </c>
      <c r="D18" s="52" t="s">
        <v>1934</v>
      </c>
      <c r="E18" s="52"/>
      <c r="F18" s="29">
        <v>1</v>
      </c>
      <c r="G18" s="29"/>
      <c r="H18" s="29"/>
      <c r="I18" s="28">
        <v>0</v>
      </c>
    </row>
    <row r="19" spans="1:9" x14ac:dyDescent="0.25">
      <c r="A19" s="8">
        <v>15</v>
      </c>
      <c r="B19" s="22" t="s">
        <v>109</v>
      </c>
      <c r="C19" s="22" t="s">
        <v>110</v>
      </c>
      <c r="D19" s="52" t="s">
        <v>1933</v>
      </c>
      <c r="E19" s="52"/>
      <c r="F19" s="29">
        <v>3</v>
      </c>
      <c r="G19" s="29"/>
      <c r="H19" s="29"/>
      <c r="I19" s="28">
        <v>0</v>
      </c>
    </row>
    <row r="20" spans="1:9" x14ac:dyDescent="0.25">
      <c r="A20" s="8">
        <v>16</v>
      </c>
      <c r="B20" s="22" t="s">
        <v>111</v>
      </c>
      <c r="C20" s="22" t="s">
        <v>112</v>
      </c>
      <c r="D20" s="52" t="s">
        <v>1932</v>
      </c>
      <c r="E20" s="52"/>
      <c r="F20" s="29">
        <v>6</v>
      </c>
      <c r="G20" s="29"/>
      <c r="H20" s="29"/>
      <c r="I20" s="28">
        <v>0</v>
      </c>
    </row>
    <row r="21" spans="1:9" x14ac:dyDescent="0.25">
      <c r="A21" s="53" t="s">
        <v>1769</v>
      </c>
      <c r="B21" s="53"/>
      <c r="C21" s="53"/>
      <c r="D21" s="53" t="s">
        <v>1783</v>
      </c>
      <c r="E21" s="53"/>
      <c r="F21" s="31">
        <v>53.2</v>
      </c>
      <c r="G21" s="32"/>
      <c r="H21" s="31">
        <v>0</v>
      </c>
      <c r="I21" s="33">
        <v>0</v>
      </c>
    </row>
  </sheetData>
  <mergeCells count="24">
    <mergeCell ref="D14:E14"/>
    <mergeCell ref="A3:A4"/>
    <mergeCell ref="B3:C3"/>
    <mergeCell ref="D20:E20"/>
    <mergeCell ref="A21:C21"/>
    <mergeCell ref="D21:E21"/>
    <mergeCell ref="D3:E4"/>
    <mergeCell ref="D15:E15"/>
    <mergeCell ref="D16:E16"/>
    <mergeCell ref="D17:E17"/>
    <mergeCell ref="D18:E18"/>
    <mergeCell ref="D9:E9"/>
    <mergeCell ref="D19:E19"/>
    <mergeCell ref="D10:E10"/>
    <mergeCell ref="D11:E11"/>
    <mergeCell ref="D12:E12"/>
    <mergeCell ref="D13:E13"/>
    <mergeCell ref="F3:F4"/>
    <mergeCell ref="G3:G4"/>
    <mergeCell ref="H3:I3"/>
    <mergeCell ref="D7:E7"/>
    <mergeCell ref="D8:E8"/>
    <mergeCell ref="D5:E5"/>
    <mergeCell ref="D6:E6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4C27-01A9-45E1-B5DC-EE6893AFBCD9}">
  <sheetPr codeName="Sheet5"/>
  <dimension ref="A1:I53"/>
  <sheetViews>
    <sheetView topLeftCell="A37" zoomScaleNormal="100" workbookViewId="0">
      <selection activeCell="J16" sqref="J16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113</v>
      </c>
      <c r="C5" s="14" t="s">
        <v>114</v>
      </c>
      <c r="D5" s="14" t="s">
        <v>1721</v>
      </c>
      <c r="E5" s="14" t="s">
        <v>1784</v>
      </c>
      <c r="F5" s="15">
        <v>1</v>
      </c>
      <c r="G5" s="19"/>
      <c r="H5" s="19"/>
      <c r="I5" s="24">
        <f>H5/F5</f>
        <v>0</v>
      </c>
    </row>
    <row r="6" spans="1:9" ht="15.6" customHeight="1" x14ac:dyDescent="0.25">
      <c r="A6" s="13">
        <v>2</v>
      </c>
      <c r="B6" s="14" t="s">
        <v>115</v>
      </c>
      <c r="C6" s="14" t="s">
        <v>116</v>
      </c>
      <c r="D6" s="14" t="s">
        <v>1807</v>
      </c>
      <c r="E6" s="14" t="s">
        <v>1808</v>
      </c>
      <c r="F6" s="15">
        <v>4.5</v>
      </c>
      <c r="G6" s="19"/>
      <c r="H6" s="19"/>
      <c r="I6" s="24">
        <f t="shared" ref="I6:I53" si="0">H6/F6</f>
        <v>0</v>
      </c>
    </row>
    <row r="7" spans="1:9" ht="15.6" customHeight="1" x14ac:dyDescent="0.25">
      <c r="A7" s="13">
        <v>3</v>
      </c>
      <c r="B7" s="14" t="s">
        <v>117</v>
      </c>
      <c r="C7" s="14" t="s">
        <v>118</v>
      </c>
      <c r="D7" s="14" t="s">
        <v>119</v>
      </c>
      <c r="E7" s="14" t="s">
        <v>121</v>
      </c>
      <c r="F7" s="15">
        <v>8.3000000000000007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4" t="s">
        <v>120</v>
      </c>
      <c r="C8" s="14" t="s">
        <v>121</v>
      </c>
      <c r="D8" s="14" t="s">
        <v>1807</v>
      </c>
      <c r="E8" s="14" t="s">
        <v>121</v>
      </c>
      <c r="F8" s="15">
        <v>2.2000000000000002</v>
      </c>
      <c r="G8" s="19"/>
      <c r="H8" s="19"/>
      <c r="I8" s="24">
        <f t="shared" si="0"/>
        <v>0</v>
      </c>
    </row>
    <row r="9" spans="1:9" ht="15.6" customHeight="1" x14ac:dyDescent="0.25">
      <c r="A9" s="13">
        <v>5</v>
      </c>
      <c r="B9" s="14" t="s">
        <v>122</v>
      </c>
      <c r="C9" s="14" t="s">
        <v>123</v>
      </c>
      <c r="D9" s="14" t="s">
        <v>119</v>
      </c>
      <c r="E9" s="14" t="s">
        <v>1785</v>
      </c>
      <c r="F9" s="15">
        <v>2.2000000000000002</v>
      </c>
      <c r="G9" s="19"/>
      <c r="H9" s="19"/>
      <c r="I9" s="24">
        <f t="shared" si="0"/>
        <v>0</v>
      </c>
    </row>
    <row r="10" spans="1:9" ht="15.6" customHeight="1" x14ac:dyDescent="0.25">
      <c r="A10" s="13">
        <v>6</v>
      </c>
      <c r="B10" s="14" t="s">
        <v>124</v>
      </c>
      <c r="C10" s="14" t="s">
        <v>125</v>
      </c>
      <c r="D10" s="14" t="s">
        <v>119</v>
      </c>
      <c r="E10" s="14" t="s">
        <v>1786</v>
      </c>
      <c r="F10" s="15">
        <v>4.5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4" t="s">
        <v>126</v>
      </c>
      <c r="C11" s="14" t="s">
        <v>127</v>
      </c>
      <c r="D11" s="14" t="s">
        <v>119</v>
      </c>
      <c r="E11" s="14" t="s">
        <v>1787</v>
      </c>
      <c r="F11" s="15">
        <v>1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4" t="s">
        <v>128</v>
      </c>
      <c r="C12" s="14" t="s">
        <v>129</v>
      </c>
      <c r="D12" s="14" t="s">
        <v>119</v>
      </c>
      <c r="E12" s="14" t="s">
        <v>1788</v>
      </c>
      <c r="F12" s="15">
        <v>1.5</v>
      </c>
      <c r="G12" s="19"/>
      <c r="H12" s="19"/>
      <c r="I12" s="24">
        <f t="shared" si="0"/>
        <v>0</v>
      </c>
    </row>
    <row r="13" spans="1:9" ht="15.6" customHeight="1" x14ac:dyDescent="0.25">
      <c r="A13" s="13">
        <v>9</v>
      </c>
      <c r="B13" s="14" t="s">
        <v>130</v>
      </c>
      <c r="C13" s="14" t="s">
        <v>131</v>
      </c>
      <c r="D13" s="14" t="s">
        <v>119</v>
      </c>
      <c r="E13" s="14" t="s">
        <v>1789</v>
      </c>
      <c r="F13" s="15">
        <v>2.2999999999999998</v>
      </c>
      <c r="G13" s="15"/>
      <c r="H13" s="15"/>
      <c r="I13" s="24">
        <f t="shared" si="0"/>
        <v>0</v>
      </c>
    </row>
    <row r="14" spans="1:9" ht="15.6" customHeight="1" x14ac:dyDescent="0.25">
      <c r="A14" s="13">
        <v>10</v>
      </c>
      <c r="B14" s="14" t="s">
        <v>132</v>
      </c>
      <c r="C14" s="14" t="s">
        <v>133</v>
      </c>
      <c r="D14" s="14" t="s">
        <v>119</v>
      </c>
      <c r="E14" s="14" t="s">
        <v>1790</v>
      </c>
      <c r="F14" s="15">
        <v>1.5</v>
      </c>
      <c r="G14" s="19"/>
      <c r="H14" s="19"/>
      <c r="I14" s="24">
        <f t="shared" si="0"/>
        <v>0</v>
      </c>
    </row>
    <row r="15" spans="1:9" ht="15.6" customHeight="1" x14ac:dyDescent="0.25">
      <c r="A15" s="13">
        <v>11</v>
      </c>
      <c r="B15" s="14" t="s">
        <v>134</v>
      </c>
      <c r="C15" s="14" t="s">
        <v>135</v>
      </c>
      <c r="D15" s="14" t="s">
        <v>119</v>
      </c>
      <c r="E15" s="14" t="s">
        <v>1791</v>
      </c>
      <c r="F15" s="15">
        <v>2.2999999999999998</v>
      </c>
      <c r="G15" s="19"/>
      <c r="H15" s="19"/>
      <c r="I15" s="24">
        <f t="shared" si="0"/>
        <v>0</v>
      </c>
    </row>
    <row r="16" spans="1:9" ht="15.6" customHeight="1" x14ac:dyDescent="0.25">
      <c r="A16" s="13">
        <v>12</v>
      </c>
      <c r="B16" s="14" t="s">
        <v>136</v>
      </c>
      <c r="C16" s="14" t="s">
        <v>137</v>
      </c>
      <c r="D16" s="14" t="s">
        <v>119</v>
      </c>
      <c r="E16" s="14" t="s">
        <v>1822</v>
      </c>
      <c r="F16" s="15">
        <v>2.2999999999999998</v>
      </c>
      <c r="G16" s="15"/>
      <c r="H16" s="15"/>
      <c r="I16" s="24">
        <f t="shared" si="0"/>
        <v>0</v>
      </c>
    </row>
    <row r="17" spans="1:9" ht="15.6" customHeight="1" x14ac:dyDescent="0.25">
      <c r="A17" s="13">
        <v>13</v>
      </c>
      <c r="B17" s="14" t="s">
        <v>138</v>
      </c>
      <c r="C17" s="14" t="s">
        <v>139</v>
      </c>
      <c r="D17" s="14" t="s">
        <v>119</v>
      </c>
      <c r="E17" s="14" t="s">
        <v>1792</v>
      </c>
      <c r="F17" s="15">
        <v>2.4</v>
      </c>
      <c r="G17" s="19"/>
      <c r="H17" s="19"/>
      <c r="I17" s="24">
        <f t="shared" si="0"/>
        <v>0</v>
      </c>
    </row>
    <row r="18" spans="1:9" ht="15.6" customHeight="1" x14ac:dyDescent="0.25">
      <c r="A18" s="13">
        <v>14</v>
      </c>
      <c r="B18" s="14" t="s">
        <v>140</v>
      </c>
      <c r="C18" s="14" t="s">
        <v>141</v>
      </c>
      <c r="D18" s="14" t="s">
        <v>119</v>
      </c>
      <c r="E18" s="5" t="s">
        <v>1787</v>
      </c>
      <c r="F18" s="15">
        <v>1</v>
      </c>
      <c r="G18" s="19"/>
      <c r="H18" s="19"/>
      <c r="I18" s="24">
        <f t="shared" si="0"/>
        <v>0</v>
      </c>
    </row>
    <row r="19" spans="1:9" ht="15.6" customHeight="1" x14ac:dyDescent="0.25">
      <c r="A19" s="13">
        <v>15</v>
      </c>
      <c r="B19" s="14" t="s">
        <v>142</v>
      </c>
      <c r="C19" s="14" t="s">
        <v>143</v>
      </c>
      <c r="D19" s="14" t="s">
        <v>119</v>
      </c>
      <c r="E19" s="14" t="s">
        <v>1793</v>
      </c>
      <c r="F19" s="15">
        <v>4</v>
      </c>
      <c r="G19" s="15"/>
      <c r="H19" s="15"/>
      <c r="I19" s="24">
        <f t="shared" si="0"/>
        <v>0</v>
      </c>
    </row>
    <row r="20" spans="1:9" ht="15.6" customHeight="1" x14ac:dyDescent="0.25">
      <c r="A20" s="13">
        <v>16</v>
      </c>
      <c r="B20" s="14" t="s">
        <v>144</v>
      </c>
      <c r="C20" s="14" t="s">
        <v>145</v>
      </c>
      <c r="D20" s="14" t="s">
        <v>119</v>
      </c>
      <c r="E20" s="14" t="s">
        <v>1794</v>
      </c>
      <c r="F20" s="15">
        <v>2.5</v>
      </c>
      <c r="G20" s="19"/>
      <c r="H20" s="19"/>
      <c r="I20" s="24">
        <f t="shared" si="0"/>
        <v>0</v>
      </c>
    </row>
    <row r="21" spans="1:9" ht="15.6" customHeight="1" x14ac:dyDescent="0.25">
      <c r="A21" s="13">
        <v>17</v>
      </c>
      <c r="B21" s="14" t="s">
        <v>146</v>
      </c>
      <c r="C21" s="14" t="s">
        <v>147</v>
      </c>
      <c r="D21" s="14" t="s">
        <v>119</v>
      </c>
      <c r="E21" s="14" t="s">
        <v>1823</v>
      </c>
      <c r="F21" s="15">
        <v>11</v>
      </c>
      <c r="G21" s="19"/>
      <c r="H21" s="19"/>
      <c r="I21" s="24">
        <f t="shared" si="0"/>
        <v>0</v>
      </c>
    </row>
    <row r="22" spans="1:9" ht="15.6" customHeight="1" x14ac:dyDescent="0.25">
      <c r="A22" s="13">
        <v>18</v>
      </c>
      <c r="B22" s="14" t="s">
        <v>148</v>
      </c>
      <c r="C22" s="14" t="s">
        <v>149</v>
      </c>
      <c r="D22" s="14" t="s">
        <v>119</v>
      </c>
      <c r="E22" s="14" t="s">
        <v>1795</v>
      </c>
      <c r="F22" s="15">
        <v>11</v>
      </c>
      <c r="G22" s="15"/>
      <c r="H22" s="15"/>
      <c r="I22" s="24">
        <f t="shared" si="0"/>
        <v>0</v>
      </c>
    </row>
    <row r="23" spans="1:9" ht="15.6" customHeight="1" x14ac:dyDescent="0.25">
      <c r="A23" s="13">
        <v>19</v>
      </c>
      <c r="B23" s="14" t="s">
        <v>150</v>
      </c>
      <c r="C23" s="14" t="s">
        <v>151</v>
      </c>
      <c r="D23" s="14" t="s">
        <v>119</v>
      </c>
      <c r="E23" s="14" t="s">
        <v>1796</v>
      </c>
      <c r="F23" s="15">
        <v>3.5</v>
      </c>
      <c r="G23" s="19"/>
      <c r="H23" s="19"/>
      <c r="I23" s="24">
        <f t="shared" si="0"/>
        <v>0</v>
      </c>
    </row>
    <row r="24" spans="1:9" ht="15.6" customHeight="1" x14ac:dyDescent="0.25">
      <c r="A24" s="13">
        <v>20</v>
      </c>
      <c r="B24" s="14" t="s">
        <v>152</v>
      </c>
      <c r="C24" s="14" t="s">
        <v>153</v>
      </c>
      <c r="D24" s="14" t="s">
        <v>119</v>
      </c>
      <c r="E24" s="14" t="s">
        <v>1824</v>
      </c>
      <c r="F24" s="15">
        <v>0.7</v>
      </c>
      <c r="G24" s="19"/>
      <c r="H24" s="19"/>
      <c r="I24" s="24">
        <f t="shared" si="0"/>
        <v>0</v>
      </c>
    </row>
    <row r="25" spans="1:9" ht="15.6" customHeight="1" x14ac:dyDescent="0.25">
      <c r="A25" s="13">
        <v>21</v>
      </c>
      <c r="B25" s="14" t="s">
        <v>154</v>
      </c>
      <c r="C25" s="14" t="s">
        <v>155</v>
      </c>
      <c r="D25" s="14" t="s">
        <v>119</v>
      </c>
      <c r="E25" s="14" t="s">
        <v>1824</v>
      </c>
      <c r="F25" s="15">
        <v>1</v>
      </c>
      <c r="G25" s="15"/>
      <c r="H25" s="15"/>
      <c r="I25" s="24">
        <f t="shared" si="0"/>
        <v>0</v>
      </c>
    </row>
    <row r="26" spans="1:9" ht="15.6" customHeight="1" x14ac:dyDescent="0.25">
      <c r="A26" s="13">
        <v>22</v>
      </c>
      <c r="B26" s="14" t="s">
        <v>156</v>
      </c>
      <c r="C26" s="14" t="s">
        <v>157</v>
      </c>
      <c r="D26" s="14" t="s">
        <v>119</v>
      </c>
      <c r="E26" s="14" t="s">
        <v>1797</v>
      </c>
      <c r="F26" s="15">
        <v>1.2</v>
      </c>
      <c r="G26" s="19"/>
      <c r="H26" s="19"/>
      <c r="I26" s="24">
        <f t="shared" si="0"/>
        <v>0</v>
      </c>
    </row>
    <row r="27" spans="1:9" ht="15.6" customHeight="1" x14ac:dyDescent="0.25">
      <c r="A27" s="13">
        <v>23</v>
      </c>
      <c r="B27" s="14" t="s">
        <v>158</v>
      </c>
      <c r="C27" s="14" t="s">
        <v>159</v>
      </c>
      <c r="D27" s="14" t="s">
        <v>119</v>
      </c>
      <c r="E27" s="14" t="s">
        <v>1798</v>
      </c>
      <c r="F27" s="15">
        <v>3</v>
      </c>
      <c r="G27" s="19"/>
      <c r="H27" s="19"/>
      <c r="I27" s="24">
        <f t="shared" si="0"/>
        <v>0</v>
      </c>
    </row>
    <row r="28" spans="1:9" ht="15.6" customHeight="1" x14ac:dyDescent="0.25">
      <c r="A28" s="13">
        <v>24</v>
      </c>
      <c r="B28" s="14" t="s">
        <v>160</v>
      </c>
      <c r="C28" s="14" t="s">
        <v>161</v>
      </c>
      <c r="D28" s="14" t="s">
        <v>119</v>
      </c>
      <c r="E28" s="14" t="s">
        <v>1799</v>
      </c>
      <c r="F28" s="15">
        <v>1</v>
      </c>
      <c r="G28" s="19"/>
      <c r="H28" s="19"/>
      <c r="I28" s="24">
        <f t="shared" si="0"/>
        <v>0</v>
      </c>
    </row>
    <row r="29" spans="1:9" ht="15.6" customHeight="1" x14ac:dyDescent="0.25">
      <c r="A29" s="13">
        <v>25</v>
      </c>
      <c r="B29" s="14" t="s">
        <v>162</v>
      </c>
      <c r="C29" s="14" t="s">
        <v>163</v>
      </c>
      <c r="D29" s="14" t="s">
        <v>119</v>
      </c>
      <c r="E29" s="14" t="s">
        <v>1800</v>
      </c>
      <c r="F29" s="15">
        <v>1</v>
      </c>
      <c r="G29" s="19"/>
      <c r="H29" s="19"/>
      <c r="I29" s="24">
        <f t="shared" si="0"/>
        <v>0</v>
      </c>
    </row>
    <row r="30" spans="1:9" ht="15.6" customHeight="1" x14ac:dyDescent="0.25">
      <c r="A30" s="13">
        <v>26</v>
      </c>
      <c r="B30" s="14" t="s">
        <v>164</v>
      </c>
      <c r="C30" s="14" t="s">
        <v>165</v>
      </c>
      <c r="D30" s="14" t="s">
        <v>119</v>
      </c>
      <c r="E30" s="14" t="s">
        <v>1801</v>
      </c>
      <c r="F30" s="15">
        <v>1</v>
      </c>
      <c r="G30" s="19"/>
      <c r="H30" s="19"/>
      <c r="I30" s="24">
        <f t="shared" si="0"/>
        <v>0</v>
      </c>
    </row>
    <row r="31" spans="1:9" ht="15.6" customHeight="1" x14ac:dyDescent="0.25">
      <c r="A31" s="13">
        <v>27</v>
      </c>
      <c r="B31" s="14" t="s">
        <v>166</v>
      </c>
      <c r="C31" s="14" t="s">
        <v>167</v>
      </c>
      <c r="D31" s="14" t="s">
        <v>119</v>
      </c>
      <c r="E31" s="14" t="s">
        <v>1802</v>
      </c>
      <c r="F31" s="15">
        <v>0.5</v>
      </c>
      <c r="G31" s="19"/>
      <c r="H31" s="19"/>
      <c r="I31" s="24">
        <f t="shared" si="0"/>
        <v>0</v>
      </c>
    </row>
    <row r="32" spans="1:9" ht="15.6" customHeight="1" x14ac:dyDescent="0.25">
      <c r="A32" s="13">
        <v>28</v>
      </c>
      <c r="B32" s="14" t="s">
        <v>168</v>
      </c>
      <c r="C32" s="14" t="s">
        <v>169</v>
      </c>
      <c r="D32" s="14" t="s">
        <v>119</v>
      </c>
      <c r="E32" s="14" t="s">
        <v>1803</v>
      </c>
      <c r="F32" s="15">
        <v>3</v>
      </c>
      <c r="G32" s="19"/>
      <c r="H32" s="19"/>
      <c r="I32" s="24">
        <f t="shared" si="0"/>
        <v>0</v>
      </c>
    </row>
    <row r="33" spans="1:9" ht="15.6" customHeight="1" x14ac:dyDescent="0.25">
      <c r="A33" s="13">
        <v>29</v>
      </c>
      <c r="B33" s="14" t="s">
        <v>170</v>
      </c>
      <c r="C33" s="14" t="s">
        <v>171</v>
      </c>
      <c r="D33" s="14" t="s">
        <v>270</v>
      </c>
      <c r="E33" s="14" t="s">
        <v>1804</v>
      </c>
      <c r="F33" s="15">
        <v>2</v>
      </c>
      <c r="G33" s="19"/>
      <c r="H33" s="19"/>
      <c r="I33" s="24">
        <f t="shared" si="0"/>
        <v>0</v>
      </c>
    </row>
    <row r="34" spans="1:9" ht="15.6" customHeight="1" x14ac:dyDescent="0.25">
      <c r="A34" s="13">
        <v>30</v>
      </c>
      <c r="B34" s="14" t="s">
        <v>172</v>
      </c>
      <c r="C34" s="14" t="s">
        <v>173</v>
      </c>
      <c r="D34" s="14" t="s">
        <v>270</v>
      </c>
      <c r="E34" s="14" t="s">
        <v>1805</v>
      </c>
      <c r="F34" s="15">
        <v>1.7</v>
      </c>
      <c r="G34" s="19"/>
      <c r="H34" s="19"/>
      <c r="I34" s="24">
        <f t="shared" si="0"/>
        <v>0</v>
      </c>
    </row>
    <row r="35" spans="1:9" ht="15.6" customHeight="1" x14ac:dyDescent="0.25">
      <c r="A35" s="13">
        <v>31</v>
      </c>
      <c r="B35" s="14" t="s">
        <v>174</v>
      </c>
      <c r="C35" s="14" t="s">
        <v>175</v>
      </c>
      <c r="D35" s="14" t="s">
        <v>270</v>
      </c>
      <c r="E35" s="14" t="s">
        <v>1806</v>
      </c>
      <c r="F35" s="15">
        <v>1</v>
      </c>
      <c r="G35" s="19"/>
      <c r="H35" s="19"/>
      <c r="I35" s="24">
        <f t="shared" si="0"/>
        <v>0</v>
      </c>
    </row>
    <row r="36" spans="1:9" ht="15.6" customHeight="1" x14ac:dyDescent="0.25">
      <c r="A36" s="13">
        <v>32</v>
      </c>
      <c r="B36" s="14" t="s">
        <v>176</v>
      </c>
      <c r="C36" s="14" t="s">
        <v>177</v>
      </c>
      <c r="D36" s="14" t="s">
        <v>270</v>
      </c>
      <c r="E36" s="14" t="s">
        <v>1809</v>
      </c>
      <c r="F36" s="15">
        <v>3</v>
      </c>
      <c r="G36" s="19"/>
      <c r="H36" s="19"/>
      <c r="I36" s="24">
        <f t="shared" si="0"/>
        <v>0</v>
      </c>
    </row>
    <row r="37" spans="1:9" ht="15.6" customHeight="1" x14ac:dyDescent="0.25">
      <c r="A37" s="13">
        <v>33</v>
      </c>
      <c r="B37" s="14" t="s">
        <v>178</v>
      </c>
      <c r="C37" s="14" t="s">
        <v>179</v>
      </c>
      <c r="D37" s="14" t="s">
        <v>270</v>
      </c>
      <c r="E37" s="14" t="s">
        <v>1810</v>
      </c>
      <c r="F37" s="15">
        <v>1.4</v>
      </c>
      <c r="G37" s="19"/>
      <c r="H37" s="19"/>
      <c r="I37" s="24">
        <f t="shared" si="0"/>
        <v>0</v>
      </c>
    </row>
    <row r="38" spans="1:9" ht="15.6" customHeight="1" x14ac:dyDescent="0.25">
      <c r="A38" s="13">
        <v>34</v>
      </c>
      <c r="B38" s="14" t="s">
        <v>180</v>
      </c>
      <c r="C38" s="14" t="s">
        <v>181</v>
      </c>
      <c r="D38" s="14" t="s">
        <v>270</v>
      </c>
      <c r="E38" s="14" t="s">
        <v>1811</v>
      </c>
      <c r="F38" s="15">
        <v>4.5</v>
      </c>
      <c r="G38" s="19"/>
      <c r="H38" s="19"/>
      <c r="I38" s="24">
        <f t="shared" si="0"/>
        <v>0</v>
      </c>
    </row>
    <row r="39" spans="1:9" ht="15.6" customHeight="1" x14ac:dyDescent="0.25">
      <c r="A39" s="13">
        <v>35</v>
      </c>
      <c r="B39" s="14" t="s">
        <v>182</v>
      </c>
      <c r="C39" s="14" t="s">
        <v>183</v>
      </c>
      <c r="D39" s="14" t="s">
        <v>270</v>
      </c>
      <c r="E39" s="14" t="s">
        <v>1812</v>
      </c>
      <c r="F39" s="15">
        <v>3</v>
      </c>
      <c r="G39" s="19"/>
      <c r="H39" s="19"/>
      <c r="I39" s="24">
        <f t="shared" si="0"/>
        <v>0</v>
      </c>
    </row>
    <row r="40" spans="1:9" ht="15.6" customHeight="1" x14ac:dyDescent="0.25">
      <c r="A40" s="13">
        <v>36</v>
      </c>
      <c r="B40" s="14" t="s">
        <v>184</v>
      </c>
      <c r="C40" s="14" t="s">
        <v>185</v>
      </c>
      <c r="D40" s="14" t="s">
        <v>270</v>
      </c>
      <c r="E40" s="14" t="s">
        <v>1800</v>
      </c>
      <c r="F40" s="15">
        <v>1</v>
      </c>
      <c r="G40" s="19"/>
      <c r="H40" s="19"/>
      <c r="I40" s="24">
        <f t="shared" si="0"/>
        <v>0</v>
      </c>
    </row>
    <row r="41" spans="1:9" ht="15.6" customHeight="1" x14ac:dyDescent="0.25">
      <c r="A41" s="13">
        <v>37</v>
      </c>
      <c r="B41" s="14" t="s">
        <v>186</v>
      </c>
      <c r="C41" s="14" t="s">
        <v>187</v>
      </c>
      <c r="D41" s="14" t="s">
        <v>270</v>
      </c>
      <c r="E41" s="14" t="s">
        <v>1813</v>
      </c>
      <c r="F41" s="15">
        <v>0</v>
      </c>
      <c r="G41" s="19"/>
      <c r="H41" s="19"/>
      <c r="I41" s="24" t="e">
        <f t="shared" si="0"/>
        <v>#DIV/0!</v>
      </c>
    </row>
    <row r="42" spans="1:9" ht="15.6" customHeight="1" x14ac:dyDescent="0.25">
      <c r="A42" s="13">
        <v>38</v>
      </c>
      <c r="B42" s="14" t="s">
        <v>188</v>
      </c>
      <c r="C42" s="14" t="s">
        <v>189</v>
      </c>
      <c r="D42" s="14" t="s">
        <v>270</v>
      </c>
      <c r="E42" s="14" t="s">
        <v>1814</v>
      </c>
      <c r="F42" s="15">
        <v>4</v>
      </c>
      <c r="G42" s="19"/>
      <c r="H42" s="19"/>
      <c r="I42" s="24">
        <f t="shared" si="0"/>
        <v>0</v>
      </c>
    </row>
    <row r="43" spans="1:9" ht="15.6" customHeight="1" x14ac:dyDescent="0.25">
      <c r="A43" s="13">
        <v>39</v>
      </c>
      <c r="B43" s="14" t="s">
        <v>190</v>
      </c>
      <c r="C43" s="14" t="s">
        <v>191</v>
      </c>
      <c r="D43" s="14" t="s">
        <v>270</v>
      </c>
      <c r="E43" s="14" t="s">
        <v>1825</v>
      </c>
      <c r="F43" s="15">
        <v>3</v>
      </c>
      <c r="G43" s="19"/>
      <c r="H43" s="19"/>
      <c r="I43" s="24">
        <f t="shared" si="0"/>
        <v>0</v>
      </c>
    </row>
    <row r="44" spans="1:9" ht="15.6" customHeight="1" x14ac:dyDescent="0.25">
      <c r="A44" s="13">
        <v>40</v>
      </c>
      <c r="B44" s="14" t="s">
        <v>192</v>
      </c>
      <c r="C44" s="14" t="s">
        <v>193</v>
      </c>
      <c r="D44" s="14" t="s">
        <v>270</v>
      </c>
      <c r="E44" s="14" t="s">
        <v>1826</v>
      </c>
      <c r="F44" s="15">
        <v>1</v>
      </c>
      <c r="G44" s="19"/>
      <c r="H44" s="19"/>
      <c r="I44" s="24">
        <f t="shared" si="0"/>
        <v>0</v>
      </c>
    </row>
    <row r="45" spans="1:9" ht="15.6" customHeight="1" x14ac:dyDescent="0.25">
      <c r="A45" s="13">
        <v>41</v>
      </c>
      <c r="B45" s="14" t="s">
        <v>194</v>
      </c>
      <c r="C45" s="14" t="s">
        <v>195</v>
      </c>
      <c r="D45" s="14" t="s">
        <v>270</v>
      </c>
      <c r="E45" s="14" t="s">
        <v>1826</v>
      </c>
      <c r="F45" s="15">
        <v>1.5</v>
      </c>
      <c r="G45" s="19"/>
      <c r="H45" s="19"/>
      <c r="I45" s="24">
        <f t="shared" si="0"/>
        <v>0</v>
      </c>
    </row>
    <row r="46" spans="1:9" ht="15.6" customHeight="1" x14ac:dyDescent="0.25">
      <c r="A46" s="13">
        <v>42</v>
      </c>
      <c r="B46" s="14" t="s">
        <v>196</v>
      </c>
      <c r="C46" s="14" t="s">
        <v>197</v>
      </c>
      <c r="D46" s="14" t="s">
        <v>270</v>
      </c>
      <c r="E46" s="14" t="s">
        <v>1816</v>
      </c>
      <c r="F46" s="15">
        <v>13</v>
      </c>
      <c r="G46" s="19"/>
      <c r="H46" s="19"/>
      <c r="I46" s="24">
        <f t="shared" si="0"/>
        <v>0</v>
      </c>
    </row>
    <row r="47" spans="1:9" ht="15.6" customHeight="1" x14ac:dyDescent="0.25">
      <c r="A47" s="13">
        <v>43</v>
      </c>
      <c r="B47" s="14" t="s">
        <v>198</v>
      </c>
      <c r="C47" s="14" t="s">
        <v>199</v>
      </c>
      <c r="D47" s="14" t="s">
        <v>270</v>
      </c>
      <c r="E47" s="14" t="s">
        <v>1817</v>
      </c>
      <c r="F47" s="15">
        <v>4</v>
      </c>
      <c r="G47" s="19"/>
      <c r="H47" s="19"/>
      <c r="I47" s="24">
        <f t="shared" si="0"/>
        <v>0</v>
      </c>
    </row>
    <row r="48" spans="1:9" ht="15.6" customHeight="1" x14ac:dyDescent="0.25">
      <c r="A48" s="13">
        <v>44</v>
      </c>
      <c r="B48" s="14" t="s">
        <v>200</v>
      </c>
      <c r="C48" s="14" t="s">
        <v>201</v>
      </c>
      <c r="D48" s="14" t="s">
        <v>270</v>
      </c>
      <c r="E48" s="14" t="s">
        <v>1818</v>
      </c>
      <c r="F48" s="15">
        <v>1.3</v>
      </c>
      <c r="G48" s="19"/>
      <c r="H48" s="19"/>
      <c r="I48" s="24">
        <f t="shared" si="0"/>
        <v>0</v>
      </c>
    </row>
    <row r="49" spans="1:9" ht="15.6" customHeight="1" x14ac:dyDescent="0.25">
      <c r="A49" s="13">
        <v>45</v>
      </c>
      <c r="B49" s="14" t="s">
        <v>202</v>
      </c>
      <c r="C49" s="14" t="s">
        <v>203</v>
      </c>
      <c r="D49" s="14" t="s">
        <v>1757</v>
      </c>
      <c r="E49" s="14" t="s">
        <v>1819</v>
      </c>
      <c r="F49" s="15">
        <v>3</v>
      </c>
      <c r="G49" s="19"/>
      <c r="H49" s="19"/>
      <c r="I49" s="24">
        <f t="shared" si="0"/>
        <v>0</v>
      </c>
    </row>
    <row r="50" spans="1:9" ht="15.6" customHeight="1" x14ac:dyDescent="0.25">
      <c r="A50" s="13">
        <v>46</v>
      </c>
      <c r="B50" s="14" t="s">
        <v>204</v>
      </c>
      <c r="C50" s="14" t="s">
        <v>205</v>
      </c>
      <c r="D50" s="14" t="s">
        <v>1757</v>
      </c>
      <c r="E50" s="14" t="s">
        <v>1820</v>
      </c>
      <c r="F50" s="15">
        <v>1</v>
      </c>
      <c r="G50" s="19"/>
      <c r="H50" s="19"/>
      <c r="I50" s="24">
        <f t="shared" si="0"/>
        <v>0</v>
      </c>
    </row>
    <row r="51" spans="1:9" ht="15.6" customHeight="1" x14ac:dyDescent="0.25">
      <c r="A51" s="13">
        <v>47</v>
      </c>
      <c r="B51" s="14" t="s">
        <v>206</v>
      </c>
      <c r="C51" s="14" t="s">
        <v>207</v>
      </c>
      <c r="D51" s="14" t="s">
        <v>1757</v>
      </c>
      <c r="E51" s="14" t="s">
        <v>1821</v>
      </c>
      <c r="F51" s="15">
        <v>1</v>
      </c>
      <c r="G51" s="19"/>
      <c r="H51" s="19"/>
      <c r="I51" s="24">
        <f t="shared" si="0"/>
        <v>0</v>
      </c>
    </row>
    <row r="52" spans="1:9" ht="15.6" customHeight="1" x14ac:dyDescent="0.25">
      <c r="A52" s="13">
        <v>48</v>
      </c>
      <c r="B52" s="14" t="s">
        <v>208</v>
      </c>
      <c r="C52" s="14" t="s">
        <v>209</v>
      </c>
      <c r="D52" s="14" t="s">
        <v>1757</v>
      </c>
      <c r="E52" s="14" t="s">
        <v>1815</v>
      </c>
      <c r="F52" s="15">
        <v>1</v>
      </c>
      <c r="G52" s="19"/>
      <c r="H52" s="19"/>
      <c r="I52" s="24">
        <f t="shared" si="0"/>
        <v>0</v>
      </c>
    </row>
    <row r="53" spans="1:9" ht="16.8" customHeight="1" x14ac:dyDescent="0.25">
      <c r="A53" s="39" t="s">
        <v>1769</v>
      </c>
      <c r="B53" s="39"/>
      <c r="C53" s="39"/>
      <c r="D53" s="39" t="s">
        <v>1827</v>
      </c>
      <c r="E53" s="39"/>
      <c r="F53" s="12">
        <f>SUM(F5:F52)</f>
        <v>132.80000000000001</v>
      </c>
      <c r="G53" s="20"/>
      <c r="H53" s="12">
        <f t="shared" ref="H53" si="1">SUM(H5:H52)</f>
        <v>0</v>
      </c>
      <c r="I53" s="21">
        <f t="shared" si="0"/>
        <v>0</v>
      </c>
    </row>
  </sheetData>
  <mergeCells count="8">
    <mergeCell ref="F3:F4"/>
    <mergeCell ref="G3:G4"/>
    <mergeCell ref="H3:I3"/>
    <mergeCell ref="D3:E4"/>
    <mergeCell ref="A53:C53"/>
    <mergeCell ref="D53:E53"/>
    <mergeCell ref="A3:A4"/>
    <mergeCell ref="B3:C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C1FD-C048-419F-903D-219CE133396A}">
  <sheetPr codeName="Sheet6"/>
  <dimension ref="A1:I18"/>
  <sheetViews>
    <sheetView zoomScaleNormal="100" workbookViewId="0">
      <selection activeCell="D3" sqref="D3:E4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210</v>
      </c>
      <c r="C5" s="14" t="s">
        <v>211</v>
      </c>
      <c r="D5" s="14" t="s">
        <v>1831</v>
      </c>
      <c r="E5" s="14" t="s">
        <v>1830</v>
      </c>
      <c r="F5" s="15">
        <v>38</v>
      </c>
      <c r="G5" s="19"/>
      <c r="H5" s="19"/>
      <c r="I5" s="24">
        <f>H5/F5</f>
        <v>0</v>
      </c>
    </row>
    <row r="6" spans="1:9" ht="15.6" customHeight="1" x14ac:dyDescent="0.25">
      <c r="A6" s="13">
        <v>2</v>
      </c>
      <c r="B6" s="14" t="s">
        <v>212</v>
      </c>
      <c r="C6" s="14" t="s">
        <v>213</v>
      </c>
      <c r="D6" s="14" t="s">
        <v>119</v>
      </c>
      <c r="E6" s="14" t="s">
        <v>1832</v>
      </c>
      <c r="F6" s="15">
        <v>55</v>
      </c>
      <c r="G6" s="19"/>
      <c r="H6" s="19"/>
      <c r="I6" s="24">
        <f t="shared" ref="I6:I18" si="0">H6/F6</f>
        <v>0</v>
      </c>
    </row>
    <row r="7" spans="1:9" ht="15.6" customHeight="1" x14ac:dyDescent="0.25">
      <c r="A7" s="13">
        <v>3</v>
      </c>
      <c r="B7" s="14" t="s">
        <v>214</v>
      </c>
      <c r="C7" s="14" t="s">
        <v>215</v>
      </c>
      <c r="D7" s="14" t="s">
        <v>119</v>
      </c>
      <c r="E7" s="14" t="s">
        <v>1833</v>
      </c>
      <c r="F7" s="15">
        <v>5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4" t="s">
        <v>216</v>
      </c>
      <c r="C8" s="14" t="s">
        <v>217</v>
      </c>
      <c r="D8" s="14" t="s">
        <v>119</v>
      </c>
      <c r="E8" s="14" t="s">
        <v>1834</v>
      </c>
      <c r="F8" s="15">
        <v>14</v>
      </c>
      <c r="G8" s="19"/>
      <c r="H8" s="19"/>
      <c r="I8" s="24">
        <f t="shared" si="0"/>
        <v>0</v>
      </c>
    </row>
    <row r="9" spans="1:9" ht="15.6" customHeight="1" x14ac:dyDescent="0.25">
      <c r="A9" s="13">
        <v>5</v>
      </c>
      <c r="B9" s="14" t="s">
        <v>218</v>
      </c>
      <c r="C9" s="14" t="s">
        <v>219</v>
      </c>
      <c r="D9" s="14" t="s">
        <v>119</v>
      </c>
      <c r="E9" s="14" t="s">
        <v>1835</v>
      </c>
      <c r="F9" s="15">
        <v>5.5</v>
      </c>
      <c r="G9" s="19"/>
      <c r="H9" s="19"/>
      <c r="I9" s="24">
        <f t="shared" si="0"/>
        <v>0</v>
      </c>
    </row>
    <row r="10" spans="1:9" ht="15.6" customHeight="1" x14ac:dyDescent="0.25">
      <c r="A10" s="13">
        <v>6</v>
      </c>
      <c r="B10" s="14" t="s">
        <v>220</v>
      </c>
      <c r="C10" s="14" t="s">
        <v>221</v>
      </c>
      <c r="D10" s="14" t="s">
        <v>119</v>
      </c>
      <c r="E10" s="14" t="s">
        <v>1836</v>
      </c>
      <c r="F10" s="15">
        <v>9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4" t="s">
        <v>222</v>
      </c>
      <c r="C11" s="14" t="s">
        <v>223</v>
      </c>
      <c r="D11" s="14" t="s">
        <v>119</v>
      </c>
      <c r="E11" s="14" t="s">
        <v>1837</v>
      </c>
      <c r="F11" s="15">
        <v>10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4" t="s">
        <v>224</v>
      </c>
      <c r="C12" s="14" t="s">
        <v>225</v>
      </c>
      <c r="D12" s="14" t="s">
        <v>119</v>
      </c>
      <c r="E12" s="14" t="s">
        <v>1838</v>
      </c>
      <c r="F12" s="15">
        <v>2</v>
      </c>
      <c r="G12" s="19"/>
      <c r="H12" s="19"/>
      <c r="I12" s="24">
        <f t="shared" si="0"/>
        <v>0</v>
      </c>
    </row>
    <row r="13" spans="1:9" ht="15.6" customHeight="1" x14ac:dyDescent="0.25">
      <c r="A13" s="13">
        <v>9</v>
      </c>
      <c r="B13" s="14" t="s">
        <v>226</v>
      </c>
      <c r="C13" s="14" t="s">
        <v>227</v>
      </c>
      <c r="D13" s="14" t="s">
        <v>119</v>
      </c>
      <c r="E13" s="14" t="s">
        <v>1839</v>
      </c>
      <c r="F13" s="15">
        <v>3</v>
      </c>
      <c r="G13" s="15"/>
      <c r="H13" s="15"/>
      <c r="I13" s="24">
        <f t="shared" si="0"/>
        <v>0</v>
      </c>
    </row>
    <row r="14" spans="1:9" ht="15.6" customHeight="1" x14ac:dyDescent="0.25">
      <c r="A14" s="13">
        <v>10</v>
      </c>
      <c r="B14" s="14" t="s">
        <v>228</v>
      </c>
      <c r="C14" s="14" t="s">
        <v>229</v>
      </c>
      <c r="D14" s="14" t="s">
        <v>699</v>
      </c>
      <c r="E14" s="14" t="s">
        <v>1841</v>
      </c>
      <c r="F14" s="15">
        <v>3</v>
      </c>
      <c r="G14" s="19"/>
      <c r="H14" s="19"/>
      <c r="I14" s="24">
        <f t="shared" si="0"/>
        <v>0</v>
      </c>
    </row>
    <row r="15" spans="1:9" ht="15.6" customHeight="1" x14ac:dyDescent="0.25">
      <c r="A15" s="13">
        <v>11</v>
      </c>
      <c r="B15" s="14" t="s">
        <v>231</v>
      </c>
      <c r="C15" s="14" t="s">
        <v>232</v>
      </c>
      <c r="D15" s="14" t="s">
        <v>699</v>
      </c>
      <c r="E15" s="14" t="s">
        <v>1842</v>
      </c>
      <c r="F15" s="15">
        <v>1</v>
      </c>
      <c r="G15" s="19"/>
      <c r="H15" s="19"/>
      <c r="I15" s="24">
        <f t="shared" si="0"/>
        <v>0</v>
      </c>
    </row>
    <row r="16" spans="1:9" ht="15.6" customHeight="1" x14ac:dyDescent="0.25">
      <c r="A16" s="13">
        <v>12</v>
      </c>
      <c r="B16" s="14" t="s">
        <v>233</v>
      </c>
      <c r="C16" s="14" t="s">
        <v>234</v>
      </c>
      <c r="D16" s="14" t="s">
        <v>1829</v>
      </c>
      <c r="E16" s="14" t="s">
        <v>1840</v>
      </c>
      <c r="F16" s="15">
        <v>2</v>
      </c>
      <c r="G16" s="15"/>
      <c r="H16" s="15"/>
      <c r="I16" s="24">
        <f t="shared" si="0"/>
        <v>0</v>
      </c>
    </row>
    <row r="17" spans="1:9" ht="15.6" customHeight="1" x14ac:dyDescent="0.25">
      <c r="A17" s="13">
        <v>13</v>
      </c>
      <c r="B17" s="14" t="s">
        <v>235</v>
      </c>
      <c r="C17" s="14" t="s">
        <v>236</v>
      </c>
      <c r="D17" s="14" t="s">
        <v>270</v>
      </c>
      <c r="E17" s="14" t="s">
        <v>1843</v>
      </c>
      <c r="F17" s="15">
        <v>1.1000000000000001</v>
      </c>
      <c r="G17" s="19"/>
      <c r="H17" s="19"/>
      <c r="I17" s="24">
        <f t="shared" si="0"/>
        <v>0</v>
      </c>
    </row>
    <row r="18" spans="1:9" ht="16.8" customHeight="1" x14ac:dyDescent="0.25">
      <c r="A18" s="39" t="s">
        <v>1769</v>
      </c>
      <c r="B18" s="39"/>
      <c r="C18" s="39"/>
      <c r="D18" s="39" t="s">
        <v>1828</v>
      </c>
      <c r="E18" s="39"/>
      <c r="F18" s="12">
        <f>SUM(F5:F17)</f>
        <v>148.6</v>
      </c>
      <c r="G18" s="20"/>
      <c r="H18" s="12">
        <f>SUM(H5:H17)</f>
        <v>0</v>
      </c>
      <c r="I18" s="21">
        <f t="shared" si="0"/>
        <v>0</v>
      </c>
    </row>
  </sheetData>
  <mergeCells count="8">
    <mergeCell ref="F3:F4"/>
    <mergeCell ref="G3:G4"/>
    <mergeCell ref="H3:I3"/>
    <mergeCell ref="D3:E4"/>
    <mergeCell ref="A18:C18"/>
    <mergeCell ref="D18:E18"/>
    <mergeCell ref="A3:A4"/>
    <mergeCell ref="B3:C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0396-F93F-4076-8E7A-122D4F655E59}">
  <sheetPr codeName="Sheet7"/>
  <dimension ref="A1:I31"/>
  <sheetViews>
    <sheetView zoomScaleNormal="100" workbookViewId="0">
      <selection activeCell="D3" sqref="D3:E4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27.6" x14ac:dyDescent="0.25">
      <c r="A5" s="13">
        <v>1</v>
      </c>
      <c r="B5" s="14" t="s">
        <v>239</v>
      </c>
      <c r="C5" s="14" t="s">
        <v>240</v>
      </c>
      <c r="D5" s="14" t="s">
        <v>1848</v>
      </c>
      <c r="E5" s="14" t="s">
        <v>1849</v>
      </c>
      <c r="F5" s="10">
        <v>92.2</v>
      </c>
      <c r="G5" s="19"/>
      <c r="H5" s="19"/>
      <c r="I5" s="24">
        <f>H5/F5</f>
        <v>0</v>
      </c>
    </row>
    <row r="6" spans="1:9" ht="15.6" customHeight="1" x14ac:dyDescent="0.25">
      <c r="A6" s="13">
        <v>2</v>
      </c>
      <c r="B6" s="14" t="s">
        <v>241</v>
      </c>
      <c r="C6" s="14" t="s">
        <v>242</v>
      </c>
      <c r="D6" s="14" t="s">
        <v>243</v>
      </c>
      <c r="E6" s="14" t="s">
        <v>1850</v>
      </c>
      <c r="F6" s="15">
        <v>2</v>
      </c>
      <c r="G6" s="19"/>
      <c r="H6" s="19"/>
      <c r="I6" s="24">
        <f t="shared" ref="I6:I24" si="0">H6/F6</f>
        <v>0</v>
      </c>
    </row>
    <row r="7" spans="1:9" ht="15.6" customHeight="1" x14ac:dyDescent="0.25">
      <c r="A7" s="13">
        <v>3</v>
      </c>
      <c r="B7" s="14" t="s">
        <v>244</v>
      </c>
      <c r="C7" s="14" t="s">
        <v>245</v>
      </c>
      <c r="D7" s="14" t="s">
        <v>243</v>
      </c>
      <c r="E7" s="14" t="s">
        <v>1850</v>
      </c>
      <c r="F7" s="15">
        <v>3.5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4" t="s">
        <v>246</v>
      </c>
      <c r="C8" s="14" t="s">
        <v>247</v>
      </c>
      <c r="D8" s="14" t="s">
        <v>243</v>
      </c>
      <c r="E8" s="14" t="s">
        <v>247</v>
      </c>
      <c r="F8" s="15">
        <v>0</v>
      </c>
      <c r="G8" s="19"/>
      <c r="H8" s="19"/>
      <c r="I8" s="24" t="e">
        <f t="shared" si="0"/>
        <v>#DIV/0!</v>
      </c>
    </row>
    <row r="9" spans="1:9" ht="15.6" customHeight="1" x14ac:dyDescent="0.25">
      <c r="A9" s="13">
        <v>5</v>
      </c>
      <c r="B9" s="14" t="s">
        <v>248</v>
      </c>
      <c r="C9" s="14" t="s">
        <v>249</v>
      </c>
      <c r="D9" s="14" t="s">
        <v>243</v>
      </c>
      <c r="E9" s="14" t="s">
        <v>1852</v>
      </c>
      <c r="F9" s="15">
        <v>1.6</v>
      </c>
      <c r="G9" s="19"/>
      <c r="H9" s="19"/>
      <c r="I9" s="24">
        <f t="shared" si="0"/>
        <v>0</v>
      </c>
    </row>
    <row r="10" spans="1:9" ht="15.6" customHeight="1" x14ac:dyDescent="0.25">
      <c r="A10" s="13">
        <v>6</v>
      </c>
      <c r="B10" s="14" t="s">
        <v>250</v>
      </c>
      <c r="C10" s="14" t="s">
        <v>251</v>
      </c>
      <c r="D10" s="14" t="s">
        <v>243</v>
      </c>
      <c r="E10" s="14" t="s">
        <v>1857</v>
      </c>
      <c r="F10" s="15">
        <v>1.6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4" t="s">
        <v>252</v>
      </c>
      <c r="C11" s="14" t="s">
        <v>253</v>
      </c>
      <c r="D11" s="14" t="s">
        <v>243</v>
      </c>
      <c r="E11" s="14" t="s">
        <v>1858</v>
      </c>
      <c r="F11" s="15">
        <v>2.5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4" t="s">
        <v>254</v>
      </c>
      <c r="C12" s="14" t="s">
        <v>255</v>
      </c>
      <c r="D12" s="14" t="s">
        <v>243</v>
      </c>
      <c r="E12" s="14" t="s">
        <v>1851</v>
      </c>
      <c r="F12" s="15">
        <v>2</v>
      </c>
      <c r="G12" s="19"/>
      <c r="H12" s="19"/>
      <c r="I12" s="24">
        <f t="shared" si="0"/>
        <v>0</v>
      </c>
    </row>
    <row r="13" spans="1:9" ht="15.6" customHeight="1" x14ac:dyDescent="0.25">
      <c r="A13" s="13">
        <v>9</v>
      </c>
      <c r="B13" s="14" t="s">
        <v>256</v>
      </c>
      <c r="C13" s="14" t="s">
        <v>257</v>
      </c>
      <c r="D13" s="14" t="s">
        <v>243</v>
      </c>
      <c r="E13" s="14" t="s">
        <v>1859</v>
      </c>
      <c r="F13" s="15">
        <v>1.6</v>
      </c>
      <c r="G13" s="15"/>
      <c r="H13" s="15"/>
      <c r="I13" s="24">
        <f t="shared" si="0"/>
        <v>0</v>
      </c>
    </row>
    <row r="14" spans="1:9" ht="15.6" customHeight="1" x14ac:dyDescent="0.25">
      <c r="A14" s="13">
        <v>10</v>
      </c>
      <c r="B14" s="14" t="s">
        <v>258</v>
      </c>
      <c r="C14" s="14" t="s">
        <v>259</v>
      </c>
      <c r="D14" s="14" t="s">
        <v>243</v>
      </c>
      <c r="E14" s="14" t="s">
        <v>1852</v>
      </c>
      <c r="F14" s="15">
        <v>1</v>
      </c>
      <c r="G14" s="19"/>
      <c r="H14" s="19"/>
      <c r="I14" s="24">
        <f t="shared" si="0"/>
        <v>0</v>
      </c>
    </row>
    <row r="15" spans="1:9" ht="15.6" customHeight="1" x14ac:dyDescent="0.25">
      <c r="A15" s="13">
        <v>11</v>
      </c>
      <c r="B15" s="14" t="s">
        <v>260</v>
      </c>
      <c r="C15" s="14" t="s">
        <v>261</v>
      </c>
      <c r="D15" s="14" t="s">
        <v>243</v>
      </c>
      <c r="E15" s="14" t="s">
        <v>1853</v>
      </c>
      <c r="F15" s="15">
        <v>9</v>
      </c>
      <c r="G15" s="19"/>
      <c r="H15" s="19"/>
      <c r="I15" s="24">
        <f t="shared" si="0"/>
        <v>0</v>
      </c>
    </row>
    <row r="16" spans="1:9" ht="15.6" customHeight="1" x14ac:dyDescent="0.25">
      <c r="A16" s="13">
        <v>12</v>
      </c>
      <c r="B16" s="14" t="s">
        <v>262</v>
      </c>
      <c r="C16" s="14" t="s">
        <v>263</v>
      </c>
      <c r="D16" s="14" t="s">
        <v>243</v>
      </c>
      <c r="E16" s="14" t="s">
        <v>1854</v>
      </c>
      <c r="F16" s="15">
        <v>3</v>
      </c>
      <c r="G16" s="15"/>
      <c r="H16" s="15"/>
      <c r="I16" s="24">
        <f t="shared" si="0"/>
        <v>0</v>
      </c>
    </row>
    <row r="17" spans="1:9" ht="15.6" customHeight="1" x14ac:dyDescent="0.25">
      <c r="A17" s="13">
        <v>13</v>
      </c>
      <c r="B17" s="14" t="s">
        <v>264</v>
      </c>
      <c r="C17" s="14" t="s">
        <v>265</v>
      </c>
      <c r="D17" s="14" t="s">
        <v>243</v>
      </c>
      <c r="E17" s="14" t="s">
        <v>1854</v>
      </c>
      <c r="F17" s="15">
        <v>5</v>
      </c>
      <c r="G17" s="19"/>
      <c r="H17" s="19"/>
      <c r="I17" s="24">
        <f t="shared" si="0"/>
        <v>0</v>
      </c>
    </row>
    <row r="18" spans="1:9" ht="15.6" customHeight="1" x14ac:dyDescent="0.25">
      <c r="A18" s="13">
        <v>14</v>
      </c>
      <c r="B18" s="14" t="s">
        <v>266</v>
      </c>
      <c r="C18" s="14" t="s">
        <v>267</v>
      </c>
      <c r="D18" s="14" t="s">
        <v>243</v>
      </c>
      <c r="E18" s="14" t="s">
        <v>1860</v>
      </c>
      <c r="F18" s="15">
        <v>2.5</v>
      </c>
      <c r="G18" s="19"/>
      <c r="H18" s="19"/>
      <c r="I18" s="24">
        <f t="shared" si="0"/>
        <v>0</v>
      </c>
    </row>
    <row r="19" spans="1:9" ht="15.6" customHeight="1" x14ac:dyDescent="0.25">
      <c r="A19" s="13">
        <v>15</v>
      </c>
      <c r="B19" s="14" t="s">
        <v>268</v>
      </c>
      <c r="C19" s="14" t="s">
        <v>269</v>
      </c>
      <c r="D19" s="14" t="s">
        <v>270</v>
      </c>
      <c r="E19" s="14" t="s">
        <v>1855</v>
      </c>
      <c r="F19" s="15">
        <v>0</v>
      </c>
      <c r="G19" s="15"/>
      <c r="H19" s="15"/>
      <c r="I19" s="24" t="e">
        <f t="shared" si="0"/>
        <v>#DIV/0!</v>
      </c>
    </row>
    <row r="20" spans="1:9" ht="15.6" customHeight="1" x14ac:dyDescent="0.25">
      <c r="A20" s="13">
        <v>16</v>
      </c>
      <c r="B20" s="14" t="s">
        <v>271</v>
      </c>
      <c r="C20" s="14" t="s">
        <v>272</v>
      </c>
      <c r="D20" s="14" t="s">
        <v>270</v>
      </c>
      <c r="E20" s="14" t="s">
        <v>1856</v>
      </c>
      <c r="F20" s="15">
        <v>0</v>
      </c>
      <c r="G20" s="19"/>
      <c r="H20" s="19"/>
      <c r="I20" s="24" t="e">
        <f t="shared" si="0"/>
        <v>#DIV/0!</v>
      </c>
    </row>
    <row r="21" spans="1:9" ht="15.6" customHeight="1" x14ac:dyDescent="0.25">
      <c r="A21" s="13">
        <v>17</v>
      </c>
      <c r="B21" s="14" t="s">
        <v>273</v>
      </c>
      <c r="C21" s="14" t="s">
        <v>274</v>
      </c>
      <c r="D21" s="14" t="s">
        <v>270</v>
      </c>
      <c r="E21" s="14" t="s">
        <v>1856</v>
      </c>
      <c r="F21" s="15">
        <v>0</v>
      </c>
      <c r="G21" s="19"/>
      <c r="H21" s="19"/>
      <c r="I21" s="24" t="e">
        <f t="shared" si="0"/>
        <v>#DIV/0!</v>
      </c>
    </row>
    <row r="22" spans="1:9" ht="15.6" customHeight="1" x14ac:dyDescent="0.25">
      <c r="A22" s="13">
        <v>18</v>
      </c>
      <c r="B22" s="14" t="s">
        <v>275</v>
      </c>
      <c r="C22" s="14" t="s">
        <v>276</v>
      </c>
      <c r="D22" s="14" t="s">
        <v>270</v>
      </c>
      <c r="E22" s="14" t="s">
        <v>1853</v>
      </c>
      <c r="F22" s="15">
        <v>0</v>
      </c>
      <c r="G22" s="15"/>
      <c r="H22" s="15"/>
      <c r="I22" s="24" t="e">
        <f t="shared" si="0"/>
        <v>#DIV/0!</v>
      </c>
    </row>
    <row r="23" spans="1:9" ht="15.6" customHeight="1" x14ac:dyDescent="0.25">
      <c r="A23" s="13">
        <v>19</v>
      </c>
      <c r="B23" s="14" t="s">
        <v>277</v>
      </c>
      <c r="C23" s="14" t="s">
        <v>278</v>
      </c>
      <c r="D23" s="14" t="s">
        <v>270</v>
      </c>
      <c r="E23" s="14" t="s">
        <v>278</v>
      </c>
      <c r="F23" s="15">
        <v>0</v>
      </c>
      <c r="G23" s="19"/>
      <c r="H23" s="19"/>
      <c r="I23" s="24" t="e">
        <f t="shared" si="0"/>
        <v>#DIV/0!</v>
      </c>
    </row>
    <row r="24" spans="1:9" ht="16.8" customHeight="1" x14ac:dyDescent="0.25">
      <c r="A24" s="39" t="s">
        <v>1769</v>
      </c>
      <c r="B24" s="39"/>
      <c r="C24" s="39"/>
      <c r="D24" s="39" t="s">
        <v>1847</v>
      </c>
      <c r="E24" s="39"/>
      <c r="F24" s="12">
        <f>SUM(F5:F23)</f>
        <v>127.49999999999999</v>
      </c>
      <c r="G24" s="20"/>
      <c r="H24" s="12">
        <f>SUM(H5:H23)</f>
        <v>0</v>
      </c>
      <c r="I24" s="21">
        <f t="shared" si="0"/>
        <v>0</v>
      </c>
    </row>
    <row r="26" spans="1:9" ht="15" x14ac:dyDescent="0.25">
      <c r="A26" s="17" t="s">
        <v>1766</v>
      </c>
    </row>
    <row r="28" spans="1:9" s="18" customFormat="1" ht="17.399999999999999" customHeight="1" x14ac:dyDescent="0.25">
      <c r="A28" s="39" t="s">
        <v>0</v>
      </c>
      <c r="B28" s="41" t="s">
        <v>1761</v>
      </c>
      <c r="C28" s="41"/>
      <c r="D28" s="42" t="s">
        <v>1763</v>
      </c>
      <c r="E28" s="43"/>
      <c r="F28" s="41" t="s">
        <v>1768</v>
      </c>
      <c r="G28" s="40" t="s">
        <v>1772</v>
      </c>
      <c r="H28" s="39" t="s">
        <v>1773</v>
      </c>
      <c r="I28" s="39"/>
    </row>
    <row r="29" spans="1:9" s="18" customFormat="1" ht="17.399999999999999" customHeight="1" x14ac:dyDescent="0.25">
      <c r="A29" s="39"/>
      <c r="B29" s="11" t="s">
        <v>1</v>
      </c>
      <c r="C29" s="11" t="s">
        <v>1762</v>
      </c>
      <c r="D29" s="44"/>
      <c r="E29" s="45"/>
      <c r="F29" s="41"/>
      <c r="G29" s="40"/>
      <c r="H29" s="11" t="s">
        <v>1774</v>
      </c>
      <c r="I29" s="11" t="s">
        <v>1775</v>
      </c>
    </row>
    <row r="30" spans="1:9" ht="39.6" x14ac:dyDescent="0.25">
      <c r="A30" s="8">
        <v>1</v>
      </c>
      <c r="B30" s="2" t="s">
        <v>237</v>
      </c>
      <c r="C30" s="2" t="s">
        <v>238</v>
      </c>
      <c r="D30" s="2" t="s">
        <v>1844</v>
      </c>
      <c r="E30" s="2" t="s">
        <v>1845</v>
      </c>
      <c r="F30" s="10">
        <v>71</v>
      </c>
      <c r="G30" s="19"/>
      <c r="H30" s="19"/>
      <c r="I30" s="24">
        <f t="shared" ref="I30:I31" si="1">H30/F30</f>
        <v>0</v>
      </c>
    </row>
    <row r="31" spans="1:9" ht="16.8" customHeight="1" x14ac:dyDescent="0.25">
      <c r="A31" s="39" t="s">
        <v>1769</v>
      </c>
      <c r="B31" s="39"/>
      <c r="C31" s="39"/>
      <c r="D31" s="39" t="s">
        <v>1846</v>
      </c>
      <c r="E31" s="39"/>
      <c r="F31" s="12">
        <f>SUM(F30:F30)</f>
        <v>71</v>
      </c>
      <c r="G31" s="20"/>
      <c r="H31" s="12">
        <f>SUM(H30:H30)</f>
        <v>0</v>
      </c>
      <c r="I31" s="21">
        <f t="shared" si="1"/>
        <v>0</v>
      </c>
    </row>
  </sheetData>
  <mergeCells count="16">
    <mergeCell ref="H3:I3"/>
    <mergeCell ref="D3:E4"/>
    <mergeCell ref="D28:E29"/>
    <mergeCell ref="A3:A4"/>
    <mergeCell ref="B3:C3"/>
    <mergeCell ref="F3:F4"/>
    <mergeCell ref="G3:G4"/>
    <mergeCell ref="G28:G29"/>
    <mergeCell ref="H28:I28"/>
    <mergeCell ref="F28:F29"/>
    <mergeCell ref="A31:C31"/>
    <mergeCell ref="D31:E31"/>
    <mergeCell ref="A24:C24"/>
    <mergeCell ref="D24:E24"/>
    <mergeCell ref="A28:A29"/>
    <mergeCell ref="B28:C28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BD95-8D83-41DF-BE4F-647D9C023547}">
  <sheetPr codeName="Sheet8"/>
  <dimension ref="A1:I18"/>
  <sheetViews>
    <sheetView zoomScaleNormal="100" workbookViewId="0">
      <selection activeCell="G27" sqref="G27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279</v>
      </c>
      <c r="C5" s="14" t="s">
        <v>280</v>
      </c>
      <c r="D5" s="14" t="s">
        <v>119</v>
      </c>
      <c r="E5" s="14" t="s">
        <v>1861</v>
      </c>
      <c r="F5" s="15">
        <v>24.1</v>
      </c>
      <c r="G5" s="19"/>
      <c r="H5" s="19"/>
      <c r="I5" s="24">
        <f>H5/F5</f>
        <v>0</v>
      </c>
    </row>
    <row r="6" spans="1:9" ht="15.6" customHeight="1" x14ac:dyDescent="0.25">
      <c r="A6" s="13">
        <v>2</v>
      </c>
      <c r="B6" s="14" t="s">
        <v>281</v>
      </c>
      <c r="C6" s="14" t="s">
        <v>282</v>
      </c>
      <c r="D6" s="14" t="s">
        <v>119</v>
      </c>
      <c r="E6" s="14" t="s">
        <v>1862</v>
      </c>
      <c r="F6" s="15">
        <v>50.1</v>
      </c>
      <c r="G6" s="19"/>
      <c r="H6" s="19"/>
      <c r="I6" s="24">
        <f t="shared" ref="I6:I18" si="0">H6/F6</f>
        <v>0</v>
      </c>
    </row>
    <row r="7" spans="1:9" ht="15.6" customHeight="1" x14ac:dyDescent="0.25">
      <c r="A7" s="13">
        <v>3</v>
      </c>
      <c r="B7" s="14" t="s">
        <v>283</v>
      </c>
      <c r="C7" s="14" t="s">
        <v>284</v>
      </c>
      <c r="D7" s="14" t="s">
        <v>119</v>
      </c>
      <c r="E7" s="14" t="s">
        <v>1863</v>
      </c>
      <c r="F7" s="15">
        <v>47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4" t="s">
        <v>285</v>
      </c>
      <c r="C8" s="14" t="s">
        <v>286</v>
      </c>
      <c r="D8" s="14" t="s">
        <v>119</v>
      </c>
      <c r="E8" s="14" t="s">
        <v>1864</v>
      </c>
      <c r="F8" s="15">
        <v>16.600000000000001</v>
      </c>
      <c r="G8" s="19"/>
      <c r="H8" s="19"/>
      <c r="I8" s="24">
        <f t="shared" si="0"/>
        <v>0</v>
      </c>
    </row>
    <row r="9" spans="1:9" ht="15.6" customHeight="1" x14ac:dyDescent="0.25">
      <c r="A9" s="13">
        <v>5</v>
      </c>
      <c r="B9" s="14" t="s">
        <v>287</v>
      </c>
      <c r="C9" s="14" t="s">
        <v>288</v>
      </c>
      <c r="D9" s="14" t="s">
        <v>119</v>
      </c>
      <c r="E9" s="14" t="s">
        <v>1865</v>
      </c>
      <c r="F9" s="15">
        <v>22.1</v>
      </c>
      <c r="G9" s="19"/>
      <c r="H9" s="19"/>
      <c r="I9" s="24">
        <f t="shared" si="0"/>
        <v>0</v>
      </c>
    </row>
    <row r="10" spans="1:9" ht="15.6" customHeight="1" x14ac:dyDescent="0.25">
      <c r="A10" s="13">
        <v>6</v>
      </c>
      <c r="B10" s="14" t="s">
        <v>289</v>
      </c>
      <c r="C10" s="14" t="s">
        <v>290</v>
      </c>
      <c r="D10" s="14" t="s">
        <v>119</v>
      </c>
      <c r="E10" s="14" t="s">
        <v>290</v>
      </c>
      <c r="F10" s="15">
        <v>11.5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4" t="s">
        <v>291</v>
      </c>
      <c r="C11" s="14" t="s">
        <v>292</v>
      </c>
      <c r="D11" s="14" t="s">
        <v>119</v>
      </c>
      <c r="E11" s="14" t="s">
        <v>1866</v>
      </c>
      <c r="F11" s="15">
        <v>14.7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4" t="s">
        <v>293</v>
      </c>
      <c r="C12" s="14" t="s">
        <v>294</v>
      </c>
      <c r="D12" s="14" t="s">
        <v>699</v>
      </c>
      <c r="E12" s="14" t="s">
        <v>1867</v>
      </c>
      <c r="F12" s="15">
        <v>0</v>
      </c>
      <c r="G12" s="19"/>
      <c r="H12" s="19"/>
      <c r="I12" s="24" t="e">
        <f t="shared" si="0"/>
        <v>#DIV/0!</v>
      </c>
    </row>
    <row r="13" spans="1:9" ht="15.6" customHeight="1" x14ac:dyDescent="0.25">
      <c r="A13" s="13">
        <v>9</v>
      </c>
      <c r="B13" s="14" t="s">
        <v>293</v>
      </c>
      <c r="C13" s="14" t="s">
        <v>295</v>
      </c>
      <c r="D13" s="14" t="s">
        <v>699</v>
      </c>
      <c r="E13" s="14" t="s">
        <v>1868</v>
      </c>
      <c r="F13" s="15">
        <v>0</v>
      </c>
      <c r="G13" s="15"/>
      <c r="H13" s="15"/>
      <c r="I13" s="24" t="e">
        <f t="shared" si="0"/>
        <v>#DIV/0!</v>
      </c>
    </row>
    <row r="14" spans="1:9" ht="15.6" customHeight="1" x14ac:dyDescent="0.25">
      <c r="A14" s="13">
        <v>10</v>
      </c>
      <c r="B14" s="14" t="s">
        <v>296</v>
      </c>
      <c r="C14" s="14" t="s">
        <v>297</v>
      </c>
      <c r="D14" s="14" t="s">
        <v>119</v>
      </c>
      <c r="E14" s="14" t="s">
        <v>1869</v>
      </c>
      <c r="F14" s="15">
        <v>5.8000000000000007</v>
      </c>
      <c r="G14" s="19"/>
      <c r="H14" s="19"/>
      <c r="I14" s="24">
        <f t="shared" si="0"/>
        <v>0</v>
      </c>
    </row>
    <row r="15" spans="1:9" ht="15.6" customHeight="1" x14ac:dyDescent="0.25">
      <c r="A15" s="13">
        <v>11</v>
      </c>
      <c r="B15" s="14" t="s">
        <v>298</v>
      </c>
      <c r="C15" s="14" t="s">
        <v>299</v>
      </c>
      <c r="D15" s="14" t="s">
        <v>699</v>
      </c>
      <c r="E15" s="14" t="s">
        <v>1870</v>
      </c>
      <c r="F15" s="15">
        <v>23.7</v>
      </c>
      <c r="G15" s="19"/>
      <c r="H15" s="19"/>
      <c r="I15" s="24">
        <f t="shared" si="0"/>
        <v>0</v>
      </c>
    </row>
    <row r="16" spans="1:9" ht="15.6" customHeight="1" x14ac:dyDescent="0.25">
      <c r="A16" s="13">
        <v>12</v>
      </c>
      <c r="B16" s="14" t="s">
        <v>300</v>
      </c>
      <c r="C16" s="14" t="s">
        <v>301</v>
      </c>
      <c r="D16" s="14" t="s">
        <v>119</v>
      </c>
      <c r="E16" s="14" t="s">
        <v>301</v>
      </c>
      <c r="F16" s="15">
        <v>1.5</v>
      </c>
      <c r="G16" s="15"/>
      <c r="H16" s="15"/>
      <c r="I16" s="24">
        <f t="shared" si="0"/>
        <v>0</v>
      </c>
    </row>
    <row r="17" spans="1:9" ht="15.6" customHeight="1" x14ac:dyDescent="0.25">
      <c r="A17" s="13">
        <v>13</v>
      </c>
      <c r="B17" s="14" t="s">
        <v>302</v>
      </c>
      <c r="C17" s="14" t="s">
        <v>303</v>
      </c>
      <c r="D17" s="14" t="s">
        <v>304</v>
      </c>
      <c r="E17" s="14" t="s">
        <v>1871</v>
      </c>
      <c r="F17" s="15">
        <v>0</v>
      </c>
      <c r="G17" s="19"/>
      <c r="H17" s="19"/>
      <c r="I17" s="24" t="e">
        <f t="shared" si="0"/>
        <v>#DIV/0!</v>
      </c>
    </row>
    <row r="18" spans="1:9" ht="16.8" customHeight="1" x14ac:dyDescent="0.25">
      <c r="A18" s="39" t="s">
        <v>1769</v>
      </c>
      <c r="B18" s="39"/>
      <c r="C18" s="39"/>
      <c r="D18" s="39" t="s">
        <v>1828</v>
      </c>
      <c r="E18" s="39"/>
      <c r="F18" s="12">
        <f>SUM(F5:F17)</f>
        <v>217.1</v>
      </c>
      <c r="G18" s="20"/>
      <c r="H18" s="12">
        <f>SUM(H5:H17)</f>
        <v>0</v>
      </c>
      <c r="I18" s="21">
        <f t="shared" si="0"/>
        <v>0</v>
      </c>
    </row>
  </sheetData>
  <mergeCells count="8">
    <mergeCell ref="F3:F4"/>
    <mergeCell ref="G3:G4"/>
    <mergeCell ref="H3:I3"/>
    <mergeCell ref="D3:E4"/>
    <mergeCell ref="A18:C18"/>
    <mergeCell ref="D18:E18"/>
    <mergeCell ref="A3:A4"/>
    <mergeCell ref="B3:C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6B1-09EE-4001-BAFF-251E8EA6D209}">
  <sheetPr codeName="Sheet9"/>
  <dimension ref="A1:I15"/>
  <sheetViews>
    <sheetView zoomScaleNormal="100" workbookViewId="0">
      <selection activeCell="D3" sqref="D3:E4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9" t="s">
        <v>305</v>
      </c>
      <c r="C5" s="26" t="s">
        <v>306</v>
      </c>
      <c r="D5" s="26" t="s">
        <v>243</v>
      </c>
      <c r="E5" s="26" t="s">
        <v>1872</v>
      </c>
      <c r="F5" s="19">
        <v>13.399999999999999</v>
      </c>
      <c r="G5" s="19"/>
      <c r="H5" s="19"/>
      <c r="I5" s="24">
        <f>H5/F5</f>
        <v>0</v>
      </c>
    </row>
    <row r="6" spans="1:9" ht="15.6" customHeight="1" x14ac:dyDescent="0.25">
      <c r="A6" s="13">
        <v>2</v>
      </c>
      <c r="B6" s="19" t="s">
        <v>307</v>
      </c>
      <c r="C6" s="26" t="s">
        <v>308</v>
      </c>
      <c r="D6" s="26" t="s">
        <v>243</v>
      </c>
      <c r="E6" s="26" t="s">
        <v>1873</v>
      </c>
      <c r="F6" s="19">
        <v>3.5</v>
      </c>
      <c r="G6" s="19"/>
      <c r="H6" s="19"/>
      <c r="I6" s="24">
        <f t="shared" ref="I6:I15" si="0">H6/F6</f>
        <v>0</v>
      </c>
    </row>
    <row r="7" spans="1:9" ht="15.6" customHeight="1" x14ac:dyDescent="0.25">
      <c r="A7" s="13">
        <v>3</v>
      </c>
      <c r="B7" s="19" t="s">
        <v>309</v>
      </c>
      <c r="C7" s="26" t="s">
        <v>310</v>
      </c>
      <c r="D7" s="26" t="s">
        <v>243</v>
      </c>
      <c r="E7" s="26" t="s">
        <v>1874</v>
      </c>
      <c r="F7" s="19">
        <v>1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9" t="s">
        <v>311</v>
      </c>
      <c r="C8" s="26" t="s">
        <v>312</v>
      </c>
      <c r="D8" s="26" t="s">
        <v>243</v>
      </c>
      <c r="E8" s="26" t="s">
        <v>1875</v>
      </c>
      <c r="F8" s="19">
        <v>2.8</v>
      </c>
      <c r="G8" s="19"/>
      <c r="H8" s="19"/>
      <c r="I8" s="24">
        <f t="shared" si="0"/>
        <v>0</v>
      </c>
    </row>
    <row r="9" spans="1:9" ht="15.6" customHeight="1" x14ac:dyDescent="0.25">
      <c r="A9" s="13">
        <v>5</v>
      </c>
      <c r="B9" s="19" t="s">
        <v>313</v>
      </c>
      <c r="C9" s="26" t="s">
        <v>314</v>
      </c>
      <c r="D9" s="26" t="s">
        <v>243</v>
      </c>
      <c r="E9" s="26" t="s">
        <v>314</v>
      </c>
      <c r="F9" s="19">
        <v>1</v>
      </c>
      <c r="G9" s="19"/>
      <c r="H9" s="19"/>
      <c r="I9" s="24">
        <f t="shared" si="0"/>
        <v>0</v>
      </c>
    </row>
    <row r="10" spans="1:9" ht="15.6" customHeight="1" x14ac:dyDescent="0.25">
      <c r="A10" s="13">
        <v>6</v>
      </c>
      <c r="B10" s="19" t="s">
        <v>315</v>
      </c>
      <c r="C10" s="26" t="s">
        <v>316</v>
      </c>
      <c r="D10" s="26" t="s">
        <v>243</v>
      </c>
      <c r="E10" s="26" t="s">
        <v>1876</v>
      </c>
      <c r="F10" s="19">
        <v>3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9" t="s">
        <v>317</v>
      </c>
      <c r="C11" s="26" t="s">
        <v>318</v>
      </c>
      <c r="D11" s="26" t="s">
        <v>243</v>
      </c>
      <c r="E11" s="26" t="s">
        <v>1877</v>
      </c>
      <c r="F11" s="19">
        <v>2.5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9" t="s">
        <v>319</v>
      </c>
      <c r="C12" s="26" t="s">
        <v>320</v>
      </c>
      <c r="D12" s="26" t="s">
        <v>243</v>
      </c>
      <c r="E12" s="26" t="s">
        <v>1878</v>
      </c>
      <c r="F12" s="19">
        <v>2.5</v>
      </c>
      <c r="G12" s="19"/>
      <c r="H12" s="19"/>
      <c r="I12" s="24">
        <f t="shared" si="0"/>
        <v>0</v>
      </c>
    </row>
    <row r="13" spans="1:9" ht="15.6" customHeight="1" x14ac:dyDescent="0.25">
      <c r="A13" s="13">
        <v>9</v>
      </c>
      <c r="B13" s="19" t="s">
        <v>321</v>
      </c>
      <c r="C13" s="26" t="s">
        <v>322</v>
      </c>
      <c r="D13" s="26" t="s">
        <v>243</v>
      </c>
      <c r="E13" s="26" t="s">
        <v>1879</v>
      </c>
      <c r="F13" s="19">
        <v>1</v>
      </c>
      <c r="G13" s="15"/>
      <c r="H13" s="15"/>
      <c r="I13" s="24">
        <f t="shared" si="0"/>
        <v>0</v>
      </c>
    </row>
    <row r="14" spans="1:9" ht="15.6" customHeight="1" x14ac:dyDescent="0.25">
      <c r="A14" s="13">
        <v>10</v>
      </c>
      <c r="B14" s="19" t="s">
        <v>323</v>
      </c>
      <c r="C14" s="26" t="s">
        <v>324</v>
      </c>
      <c r="D14" s="26" t="s">
        <v>243</v>
      </c>
      <c r="E14" s="26" t="s">
        <v>1880</v>
      </c>
      <c r="F14" s="19">
        <v>1.2999999999999998</v>
      </c>
      <c r="G14" s="19"/>
      <c r="H14" s="19"/>
      <c r="I14" s="24">
        <f t="shared" si="0"/>
        <v>0</v>
      </c>
    </row>
    <row r="15" spans="1:9" ht="16.8" customHeight="1" x14ac:dyDescent="0.25">
      <c r="A15" s="39" t="s">
        <v>1769</v>
      </c>
      <c r="B15" s="39"/>
      <c r="C15" s="39"/>
      <c r="D15" s="39" t="s">
        <v>1881</v>
      </c>
      <c r="E15" s="39"/>
      <c r="F15" s="12">
        <f>SUM(F5:F14)</f>
        <v>32</v>
      </c>
      <c r="G15" s="20"/>
      <c r="H15" s="12">
        <f>SUM(H5:H14)</f>
        <v>0</v>
      </c>
      <c r="I15" s="21">
        <f t="shared" si="0"/>
        <v>0</v>
      </c>
    </row>
  </sheetData>
  <mergeCells count="8">
    <mergeCell ref="F3:F4"/>
    <mergeCell ref="G3:G4"/>
    <mergeCell ref="H3:I3"/>
    <mergeCell ref="D3:E4"/>
    <mergeCell ref="A15:C15"/>
    <mergeCell ref="D15:E15"/>
    <mergeCell ref="A3:A4"/>
    <mergeCell ref="B3:C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8B45-EFB4-46EE-9F0E-B8A581CDDE91}">
  <sheetPr codeName="Sheet10"/>
  <dimension ref="A1:I40"/>
  <sheetViews>
    <sheetView topLeftCell="A13" zoomScaleNormal="100" workbookViewId="0">
      <selection activeCell="D3" sqref="D3:E4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9" t="s">
        <v>326</v>
      </c>
      <c r="C5" s="26" t="s">
        <v>327</v>
      </c>
      <c r="D5" s="26" t="s">
        <v>878</v>
      </c>
      <c r="E5" s="26" t="s">
        <v>1885</v>
      </c>
      <c r="F5" s="15">
        <v>4.8</v>
      </c>
      <c r="G5" s="19"/>
      <c r="H5" s="19"/>
      <c r="I5" s="24">
        <f>H5/F5</f>
        <v>0</v>
      </c>
    </row>
    <row r="6" spans="1:9" ht="15.6" customHeight="1" x14ac:dyDescent="0.25">
      <c r="A6" s="13">
        <v>2</v>
      </c>
      <c r="B6" s="19" t="s">
        <v>328</v>
      </c>
      <c r="C6" s="25" t="s">
        <v>329</v>
      </c>
      <c r="D6" s="25" t="s">
        <v>119</v>
      </c>
      <c r="E6" s="25" t="s">
        <v>1886</v>
      </c>
      <c r="F6" s="19">
        <v>5.4</v>
      </c>
      <c r="G6" s="19"/>
      <c r="H6" s="19"/>
      <c r="I6" s="24">
        <f t="shared" ref="I6:I40" si="0">H6/F6</f>
        <v>0</v>
      </c>
    </row>
    <row r="7" spans="1:9" ht="15.6" customHeight="1" x14ac:dyDescent="0.25">
      <c r="A7" s="13">
        <v>3</v>
      </c>
      <c r="B7" s="15" t="s">
        <v>330</v>
      </c>
      <c r="C7" s="26" t="s">
        <v>331</v>
      </c>
      <c r="D7" s="26" t="s">
        <v>1758</v>
      </c>
      <c r="E7" s="26" t="s">
        <v>1887</v>
      </c>
      <c r="F7" s="19">
        <v>0.4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9" t="s">
        <v>332</v>
      </c>
      <c r="C8" s="26" t="s">
        <v>333</v>
      </c>
      <c r="D8" s="26" t="s">
        <v>119</v>
      </c>
      <c r="E8" s="26" t="s">
        <v>1888</v>
      </c>
      <c r="F8" s="15">
        <v>2.6</v>
      </c>
      <c r="G8" s="19"/>
      <c r="H8" s="19"/>
      <c r="I8" s="24">
        <f t="shared" si="0"/>
        <v>0</v>
      </c>
    </row>
    <row r="9" spans="1:9" ht="15.6" customHeight="1" x14ac:dyDescent="0.25">
      <c r="A9" s="13">
        <v>5</v>
      </c>
      <c r="B9" s="19" t="s">
        <v>334</v>
      </c>
      <c r="C9" s="25" t="s">
        <v>335</v>
      </c>
      <c r="D9" s="25" t="s">
        <v>1758</v>
      </c>
      <c r="E9" s="25" t="s">
        <v>1889</v>
      </c>
      <c r="F9" s="19">
        <v>0.3</v>
      </c>
      <c r="G9" s="19"/>
      <c r="H9" s="19"/>
      <c r="I9" s="24">
        <f t="shared" si="0"/>
        <v>0</v>
      </c>
    </row>
    <row r="10" spans="1:9" ht="15.6" customHeight="1" x14ac:dyDescent="0.25">
      <c r="A10" s="13">
        <v>6</v>
      </c>
      <c r="B10" s="15" t="s">
        <v>336</v>
      </c>
      <c r="C10" s="26" t="s">
        <v>337</v>
      </c>
      <c r="D10" s="26" t="s">
        <v>1882</v>
      </c>
      <c r="E10" s="26" t="s">
        <v>338</v>
      </c>
      <c r="F10" s="19">
        <v>8.9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9" t="s">
        <v>339</v>
      </c>
      <c r="C11" s="26" t="s">
        <v>340</v>
      </c>
      <c r="D11" s="26" t="s">
        <v>1758</v>
      </c>
      <c r="E11" s="26" t="s">
        <v>1890</v>
      </c>
      <c r="F11" s="15">
        <v>19.700000000000003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9" t="s">
        <v>341</v>
      </c>
      <c r="C12" s="25" t="s">
        <v>342</v>
      </c>
      <c r="D12" s="25" t="s">
        <v>1758</v>
      </c>
      <c r="E12" s="25" t="s">
        <v>1891</v>
      </c>
      <c r="F12" s="19">
        <v>3.5</v>
      </c>
      <c r="G12" s="19"/>
      <c r="H12" s="19"/>
      <c r="I12" s="24">
        <f t="shared" si="0"/>
        <v>0</v>
      </c>
    </row>
    <row r="13" spans="1:9" ht="15.6" customHeight="1" x14ac:dyDescent="0.25">
      <c r="A13" s="13">
        <v>9</v>
      </c>
      <c r="B13" s="19" t="s">
        <v>343</v>
      </c>
      <c r="C13" s="26" t="s">
        <v>344</v>
      </c>
      <c r="D13" s="26" t="s">
        <v>119</v>
      </c>
      <c r="E13" s="26" t="s">
        <v>1892</v>
      </c>
      <c r="F13" s="19">
        <v>8</v>
      </c>
      <c r="G13" s="15"/>
      <c r="H13" s="15"/>
      <c r="I13" s="24">
        <f t="shared" si="0"/>
        <v>0</v>
      </c>
    </row>
    <row r="14" spans="1:9" ht="15.6" customHeight="1" x14ac:dyDescent="0.25">
      <c r="A14" s="13">
        <v>10</v>
      </c>
      <c r="B14" s="19" t="s">
        <v>345</v>
      </c>
      <c r="C14" s="25" t="s">
        <v>346</v>
      </c>
      <c r="D14" s="25" t="s">
        <v>1758</v>
      </c>
      <c r="E14" s="25" t="s">
        <v>325</v>
      </c>
      <c r="F14" s="15">
        <v>1.7</v>
      </c>
      <c r="G14" s="19"/>
      <c r="H14" s="19"/>
      <c r="I14" s="24">
        <f t="shared" si="0"/>
        <v>0</v>
      </c>
    </row>
    <row r="15" spans="1:9" ht="15.6" customHeight="1" x14ac:dyDescent="0.25">
      <c r="A15" s="13">
        <v>11</v>
      </c>
      <c r="B15" s="15" t="s">
        <v>347</v>
      </c>
      <c r="C15" s="26" t="s">
        <v>348</v>
      </c>
      <c r="D15" s="26" t="s">
        <v>1758</v>
      </c>
      <c r="E15" s="26" t="s">
        <v>325</v>
      </c>
      <c r="F15" s="19">
        <v>2.4</v>
      </c>
      <c r="G15" s="19"/>
      <c r="H15" s="19"/>
      <c r="I15" s="24">
        <f t="shared" si="0"/>
        <v>0</v>
      </c>
    </row>
    <row r="16" spans="1:9" ht="15.6" customHeight="1" x14ac:dyDescent="0.25">
      <c r="A16" s="13">
        <v>12</v>
      </c>
      <c r="B16" s="19" t="s">
        <v>349</v>
      </c>
      <c r="C16" s="26" t="s">
        <v>350</v>
      </c>
      <c r="D16" s="26" t="s">
        <v>1758</v>
      </c>
      <c r="E16" s="26" t="s">
        <v>1893</v>
      </c>
      <c r="F16" s="19">
        <v>11.5</v>
      </c>
      <c r="G16" s="15"/>
      <c r="H16" s="15"/>
      <c r="I16" s="24">
        <f t="shared" si="0"/>
        <v>0</v>
      </c>
    </row>
    <row r="17" spans="1:9" ht="15.6" customHeight="1" x14ac:dyDescent="0.25">
      <c r="A17" s="13">
        <v>13</v>
      </c>
      <c r="B17" s="19" t="s">
        <v>351</v>
      </c>
      <c r="C17" s="25" t="s">
        <v>352</v>
      </c>
      <c r="D17" s="25" t="s">
        <v>1758</v>
      </c>
      <c r="E17" s="25" t="s">
        <v>1893</v>
      </c>
      <c r="F17" s="15">
        <v>4.92</v>
      </c>
      <c r="G17" s="19"/>
      <c r="H17" s="19"/>
      <c r="I17" s="24">
        <f t="shared" si="0"/>
        <v>0</v>
      </c>
    </row>
    <row r="18" spans="1:9" ht="15.6" customHeight="1" x14ac:dyDescent="0.25">
      <c r="A18" s="13">
        <v>14</v>
      </c>
      <c r="B18" s="15" t="s">
        <v>353</v>
      </c>
      <c r="C18" s="26" t="s">
        <v>354</v>
      </c>
      <c r="D18" s="26" t="s">
        <v>1758</v>
      </c>
      <c r="E18" s="26" t="s">
        <v>1894</v>
      </c>
      <c r="F18" s="19">
        <v>14</v>
      </c>
      <c r="G18" s="19"/>
      <c r="H18" s="19"/>
      <c r="I18" s="24">
        <f t="shared" si="0"/>
        <v>0</v>
      </c>
    </row>
    <row r="19" spans="1:9" ht="15.6" customHeight="1" x14ac:dyDescent="0.25">
      <c r="A19" s="13">
        <v>15</v>
      </c>
      <c r="B19" s="19" t="s">
        <v>355</v>
      </c>
      <c r="C19" s="26" t="s">
        <v>356</v>
      </c>
      <c r="D19" s="26" t="s">
        <v>1758</v>
      </c>
      <c r="E19" s="26" t="s">
        <v>1895</v>
      </c>
      <c r="F19" s="19">
        <v>4.66</v>
      </c>
      <c r="G19" s="15"/>
      <c r="H19" s="15"/>
      <c r="I19" s="24">
        <f t="shared" si="0"/>
        <v>0</v>
      </c>
    </row>
    <row r="20" spans="1:9" ht="15.6" customHeight="1" x14ac:dyDescent="0.25">
      <c r="A20" s="13">
        <v>16</v>
      </c>
      <c r="B20" s="19" t="s">
        <v>357</v>
      </c>
      <c r="C20" s="25" t="s">
        <v>358</v>
      </c>
      <c r="D20" s="25" t="s">
        <v>1758</v>
      </c>
      <c r="E20" s="25" t="s">
        <v>1896</v>
      </c>
      <c r="F20" s="15">
        <v>8.1</v>
      </c>
      <c r="G20" s="19"/>
      <c r="H20" s="19"/>
      <c r="I20" s="24">
        <f t="shared" si="0"/>
        <v>0</v>
      </c>
    </row>
    <row r="21" spans="1:9" ht="15.6" customHeight="1" x14ac:dyDescent="0.25">
      <c r="A21" s="13">
        <v>17</v>
      </c>
      <c r="B21" s="19" t="s">
        <v>359</v>
      </c>
      <c r="C21" s="26" t="s">
        <v>360</v>
      </c>
      <c r="D21" s="26" t="s">
        <v>1758</v>
      </c>
      <c r="E21" s="26" t="s">
        <v>1896</v>
      </c>
      <c r="F21" s="19">
        <v>3.6</v>
      </c>
      <c r="G21" s="19"/>
      <c r="H21" s="19"/>
      <c r="I21" s="24">
        <f t="shared" si="0"/>
        <v>0</v>
      </c>
    </row>
    <row r="22" spans="1:9" ht="15.6" customHeight="1" x14ac:dyDescent="0.25">
      <c r="A22" s="13">
        <v>18</v>
      </c>
      <c r="B22" s="19" t="s">
        <v>361</v>
      </c>
      <c r="C22" s="25" t="s">
        <v>362</v>
      </c>
      <c r="D22" s="25" t="s">
        <v>1758</v>
      </c>
      <c r="E22" s="25" t="s">
        <v>1897</v>
      </c>
      <c r="F22" s="19">
        <v>1.82</v>
      </c>
      <c r="G22" s="15"/>
      <c r="H22" s="15"/>
      <c r="I22" s="24">
        <f t="shared" si="0"/>
        <v>0</v>
      </c>
    </row>
    <row r="23" spans="1:9" ht="15.6" customHeight="1" x14ac:dyDescent="0.25">
      <c r="A23" s="13">
        <v>19</v>
      </c>
      <c r="B23" s="15" t="s">
        <v>363</v>
      </c>
      <c r="C23" s="26" t="s">
        <v>364</v>
      </c>
      <c r="D23" s="26" t="s">
        <v>119</v>
      </c>
      <c r="E23" s="26" t="s">
        <v>1898</v>
      </c>
      <c r="F23" s="15">
        <v>2.6</v>
      </c>
      <c r="G23" s="19"/>
      <c r="H23" s="19"/>
      <c r="I23" s="24">
        <f t="shared" si="0"/>
        <v>0</v>
      </c>
    </row>
    <row r="24" spans="1:9" ht="15.6" customHeight="1" x14ac:dyDescent="0.25">
      <c r="A24" s="13">
        <v>20</v>
      </c>
      <c r="B24" s="19" t="s">
        <v>365</v>
      </c>
      <c r="C24" s="26" t="s">
        <v>366</v>
      </c>
      <c r="D24" s="26" t="s">
        <v>1758</v>
      </c>
      <c r="E24" s="26" t="s">
        <v>1899</v>
      </c>
      <c r="F24" s="19">
        <v>0.5</v>
      </c>
      <c r="G24" s="19"/>
      <c r="H24" s="19"/>
      <c r="I24" s="24">
        <f t="shared" si="0"/>
        <v>0</v>
      </c>
    </row>
    <row r="25" spans="1:9" ht="15.6" customHeight="1" x14ac:dyDescent="0.25">
      <c r="A25" s="13">
        <v>21</v>
      </c>
      <c r="B25" s="19" t="s">
        <v>367</v>
      </c>
      <c r="C25" s="25" t="s">
        <v>368</v>
      </c>
      <c r="D25" s="25" t="s">
        <v>119</v>
      </c>
      <c r="E25" s="25" t="s">
        <v>369</v>
      </c>
      <c r="F25" s="19">
        <v>6.6</v>
      </c>
      <c r="G25" s="15"/>
      <c r="H25" s="15"/>
      <c r="I25" s="24">
        <f t="shared" si="0"/>
        <v>0</v>
      </c>
    </row>
    <row r="26" spans="1:9" ht="15.6" customHeight="1" x14ac:dyDescent="0.25">
      <c r="A26" s="13">
        <v>22</v>
      </c>
      <c r="B26" s="15" t="s">
        <v>370</v>
      </c>
      <c r="C26" s="26" t="s">
        <v>371</v>
      </c>
      <c r="D26" s="26" t="s">
        <v>1758</v>
      </c>
      <c r="E26" s="26" t="s">
        <v>372</v>
      </c>
      <c r="F26" s="15">
        <v>1.7</v>
      </c>
      <c r="G26" s="19"/>
      <c r="H26" s="19"/>
      <c r="I26" s="24">
        <f t="shared" si="0"/>
        <v>0</v>
      </c>
    </row>
    <row r="27" spans="1:9" ht="15.6" customHeight="1" x14ac:dyDescent="0.25">
      <c r="A27" s="13">
        <v>23</v>
      </c>
      <c r="B27" s="19" t="s">
        <v>373</v>
      </c>
      <c r="C27" s="26" t="s">
        <v>374</v>
      </c>
      <c r="D27" s="26" t="s">
        <v>1758</v>
      </c>
      <c r="E27" s="26" t="s">
        <v>1901</v>
      </c>
      <c r="F27" s="19">
        <v>5.9</v>
      </c>
      <c r="G27" s="19"/>
      <c r="H27" s="19"/>
      <c r="I27" s="24">
        <f t="shared" si="0"/>
        <v>0</v>
      </c>
    </row>
    <row r="28" spans="1:9" ht="15.6" customHeight="1" x14ac:dyDescent="0.25">
      <c r="A28" s="13">
        <v>24</v>
      </c>
      <c r="B28" s="19" t="s">
        <v>375</v>
      </c>
      <c r="C28" s="25" t="s">
        <v>376</v>
      </c>
      <c r="D28" s="25" t="s">
        <v>1758</v>
      </c>
      <c r="E28" s="25" t="s">
        <v>1901</v>
      </c>
      <c r="F28" s="19">
        <v>2.2999999999999998</v>
      </c>
      <c r="G28" s="19"/>
      <c r="H28" s="19"/>
      <c r="I28" s="24">
        <f t="shared" si="0"/>
        <v>0</v>
      </c>
    </row>
    <row r="29" spans="1:9" ht="15.6" customHeight="1" x14ac:dyDescent="0.25">
      <c r="A29" s="13">
        <v>25</v>
      </c>
      <c r="B29" s="19" t="s">
        <v>377</v>
      </c>
      <c r="C29" s="26" t="s">
        <v>378</v>
      </c>
      <c r="D29" s="26" t="s">
        <v>1883</v>
      </c>
      <c r="E29" s="26" t="s">
        <v>1900</v>
      </c>
      <c r="F29" s="15">
        <v>0.8</v>
      </c>
      <c r="G29" s="19"/>
      <c r="H29" s="19"/>
      <c r="I29" s="24">
        <f t="shared" si="0"/>
        <v>0</v>
      </c>
    </row>
    <row r="30" spans="1:9" ht="15.6" customHeight="1" x14ac:dyDescent="0.25">
      <c r="A30" s="13">
        <v>26</v>
      </c>
      <c r="B30" s="19" t="s">
        <v>380</v>
      </c>
      <c r="C30" s="25" t="s">
        <v>381</v>
      </c>
      <c r="D30" s="25" t="s">
        <v>1758</v>
      </c>
      <c r="E30" s="25" t="s">
        <v>382</v>
      </c>
      <c r="F30" s="19">
        <v>3.05</v>
      </c>
      <c r="G30" s="19"/>
      <c r="H30" s="19"/>
      <c r="I30" s="24">
        <f t="shared" si="0"/>
        <v>0</v>
      </c>
    </row>
    <row r="31" spans="1:9" ht="15.6" customHeight="1" x14ac:dyDescent="0.25">
      <c r="A31" s="13">
        <v>27</v>
      </c>
      <c r="B31" s="15" t="s">
        <v>383</v>
      </c>
      <c r="C31" s="26" t="s">
        <v>384</v>
      </c>
      <c r="D31" s="26" t="s">
        <v>1758</v>
      </c>
      <c r="E31" s="26" t="s">
        <v>385</v>
      </c>
      <c r="F31" s="19">
        <v>0.5</v>
      </c>
      <c r="G31" s="19"/>
      <c r="H31" s="19"/>
      <c r="I31" s="24">
        <f t="shared" si="0"/>
        <v>0</v>
      </c>
    </row>
    <row r="32" spans="1:9" ht="15.6" customHeight="1" x14ac:dyDescent="0.25">
      <c r="A32" s="13">
        <v>28</v>
      </c>
      <c r="B32" s="19" t="s">
        <v>386</v>
      </c>
      <c r="C32" s="26" t="s">
        <v>387</v>
      </c>
      <c r="D32" s="26" t="s">
        <v>1758</v>
      </c>
      <c r="E32" s="26" t="s">
        <v>1902</v>
      </c>
      <c r="F32" s="15">
        <v>1.5</v>
      </c>
      <c r="G32" s="19"/>
      <c r="H32" s="19"/>
      <c r="I32" s="24">
        <f t="shared" si="0"/>
        <v>0</v>
      </c>
    </row>
    <row r="33" spans="1:9" ht="15.6" customHeight="1" x14ac:dyDescent="0.25">
      <c r="A33" s="13">
        <v>29</v>
      </c>
      <c r="B33" s="19" t="s">
        <v>388</v>
      </c>
      <c r="C33" s="25" t="s">
        <v>389</v>
      </c>
      <c r="D33" s="25" t="s">
        <v>1758</v>
      </c>
      <c r="E33" s="25" t="s">
        <v>390</v>
      </c>
      <c r="F33" s="19">
        <v>0.5</v>
      </c>
      <c r="G33" s="19"/>
      <c r="H33" s="19"/>
      <c r="I33" s="24">
        <f t="shared" si="0"/>
        <v>0</v>
      </c>
    </row>
    <row r="34" spans="1:9" ht="15.6" customHeight="1" x14ac:dyDescent="0.25">
      <c r="A34" s="13">
        <v>30</v>
      </c>
      <c r="B34" s="15" t="s">
        <v>391</v>
      </c>
      <c r="C34" s="26" t="s">
        <v>392</v>
      </c>
      <c r="D34" s="26" t="s">
        <v>1758</v>
      </c>
      <c r="E34" s="26" t="s">
        <v>1903</v>
      </c>
      <c r="F34" s="19">
        <v>0.4</v>
      </c>
      <c r="G34" s="19"/>
      <c r="H34" s="19"/>
      <c r="I34" s="24">
        <f t="shared" si="0"/>
        <v>0</v>
      </c>
    </row>
    <row r="35" spans="1:9" ht="15.6" customHeight="1" x14ac:dyDescent="0.25">
      <c r="A35" s="13">
        <v>31</v>
      </c>
      <c r="B35" s="19" t="s">
        <v>393</v>
      </c>
      <c r="C35" s="26" t="s">
        <v>394</v>
      </c>
      <c r="D35" s="26" t="s">
        <v>1884</v>
      </c>
      <c r="E35" s="26" t="s">
        <v>1904</v>
      </c>
      <c r="F35" s="15">
        <v>0.6</v>
      </c>
      <c r="G35" s="19"/>
      <c r="H35" s="19"/>
      <c r="I35" s="24">
        <f t="shared" si="0"/>
        <v>0</v>
      </c>
    </row>
    <row r="36" spans="1:9" ht="15.6" customHeight="1" x14ac:dyDescent="0.25">
      <c r="A36" s="13">
        <v>32</v>
      </c>
      <c r="B36" s="19" t="s">
        <v>395</v>
      </c>
      <c r="C36" s="25" t="s">
        <v>396</v>
      </c>
      <c r="D36" s="25" t="s">
        <v>119</v>
      </c>
      <c r="E36" s="25" t="s">
        <v>1905</v>
      </c>
      <c r="F36" s="19">
        <v>0.6</v>
      </c>
      <c r="G36" s="19"/>
      <c r="H36" s="19"/>
      <c r="I36" s="24">
        <f t="shared" si="0"/>
        <v>0</v>
      </c>
    </row>
    <row r="37" spans="1:9" ht="15.6" customHeight="1" x14ac:dyDescent="0.25">
      <c r="A37" s="13">
        <v>33</v>
      </c>
      <c r="B37" s="19" t="s">
        <v>397</v>
      </c>
      <c r="C37" s="26" t="s">
        <v>398</v>
      </c>
      <c r="D37" s="26" t="s">
        <v>119</v>
      </c>
      <c r="E37" s="26" t="s">
        <v>1906</v>
      </c>
      <c r="F37" s="19">
        <v>1.2</v>
      </c>
      <c r="G37" s="19"/>
      <c r="H37" s="19"/>
      <c r="I37" s="24">
        <f t="shared" si="0"/>
        <v>0</v>
      </c>
    </row>
    <row r="38" spans="1:9" ht="15.6" customHeight="1" x14ac:dyDescent="0.25">
      <c r="A38" s="13">
        <v>34</v>
      </c>
      <c r="B38" s="19" t="s">
        <v>399</v>
      </c>
      <c r="C38" s="25" t="s">
        <v>400</v>
      </c>
      <c r="D38" s="25" t="s">
        <v>119</v>
      </c>
      <c r="E38" s="25" t="s">
        <v>1907</v>
      </c>
      <c r="F38" s="15">
        <v>5.0199999999999996</v>
      </c>
      <c r="G38" s="19"/>
      <c r="H38" s="19"/>
      <c r="I38" s="24">
        <f t="shared" si="0"/>
        <v>0</v>
      </c>
    </row>
    <row r="39" spans="1:9" ht="15.6" customHeight="1" x14ac:dyDescent="0.25">
      <c r="A39" s="13">
        <v>35</v>
      </c>
      <c r="B39" s="15" t="s">
        <v>401</v>
      </c>
      <c r="C39" s="26" t="s">
        <v>402</v>
      </c>
      <c r="D39" s="26" t="s">
        <v>119</v>
      </c>
      <c r="E39" s="26" t="s">
        <v>1908</v>
      </c>
      <c r="F39" s="19">
        <v>4.87</v>
      </c>
      <c r="G39" s="19"/>
      <c r="H39" s="19"/>
      <c r="I39" s="24">
        <f t="shared" si="0"/>
        <v>0</v>
      </c>
    </row>
    <row r="40" spans="1:9" ht="16.8" customHeight="1" x14ac:dyDescent="0.25">
      <c r="A40" s="39" t="s">
        <v>1769</v>
      </c>
      <c r="B40" s="39"/>
      <c r="C40" s="39"/>
      <c r="D40" s="39" t="s">
        <v>1909</v>
      </c>
      <c r="E40" s="39"/>
      <c r="F40" s="12">
        <f>SUM(F5:F39)</f>
        <v>144.93999999999997</v>
      </c>
      <c r="G40" s="20"/>
      <c r="H40" s="12">
        <f t="shared" ref="H40" si="1">SUM(H5:H39)</f>
        <v>0</v>
      </c>
      <c r="I40" s="21">
        <f t="shared" si="0"/>
        <v>0</v>
      </c>
    </row>
  </sheetData>
  <mergeCells count="8">
    <mergeCell ref="F3:F4"/>
    <mergeCell ref="G3:G4"/>
    <mergeCell ref="H3:I3"/>
    <mergeCell ref="D3:E4"/>
    <mergeCell ref="A40:C40"/>
    <mergeCell ref="D40:E40"/>
    <mergeCell ref="A3:A4"/>
    <mergeCell ref="B3:C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52DD-DE4D-4A87-B1D2-679DD5F64E85}">
  <sheetPr codeName="Sheet11"/>
  <dimension ref="A1:I32"/>
  <sheetViews>
    <sheetView zoomScaleNormal="100" workbookViewId="0">
      <selection activeCell="E35" sqref="E35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404</v>
      </c>
      <c r="C5" s="25" t="s">
        <v>405</v>
      </c>
      <c r="D5" s="25" t="s">
        <v>119</v>
      </c>
      <c r="E5" s="25" t="s">
        <v>1911</v>
      </c>
      <c r="F5" s="19">
        <v>46.33</v>
      </c>
      <c r="G5" s="19"/>
      <c r="H5" s="19"/>
      <c r="I5" s="24">
        <f>H5/F5</f>
        <v>0</v>
      </c>
    </row>
    <row r="6" spans="1:9" ht="15.6" customHeight="1" x14ac:dyDescent="0.25">
      <c r="A6" s="13">
        <v>2</v>
      </c>
      <c r="B6" s="14" t="s">
        <v>406</v>
      </c>
      <c r="C6" s="25" t="s">
        <v>407</v>
      </c>
      <c r="D6" s="25" t="s">
        <v>1445</v>
      </c>
      <c r="E6" s="25" t="s">
        <v>1912</v>
      </c>
      <c r="F6" s="15">
        <v>14</v>
      </c>
      <c r="G6" s="19"/>
      <c r="H6" s="19"/>
      <c r="I6" s="24">
        <f t="shared" ref="I6:I32" si="0">H6/F6</f>
        <v>0</v>
      </c>
    </row>
    <row r="7" spans="1:9" ht="15.6" customHeight="1" x14ac:dyDescent="0.25">
      <c r="A7" s="13">
        <v>3</v>
      </c>
      <c r="B7" s="14" t="s">
        <v>408</v>
      </c>
      <c r="C7" s="25" t="s">
        <v>409</v>
      </c>
      <c r="D7" s="25" t="s">
        <v>699</v>
      </c>
      <c r="E7" s="25" t="s">
        <v>1913</v>
      </c>
      <c r="F7" s="19">
        <v>53</v>
      </c>
      <c r="G7" s="15"/>
      <c r="H7" s="15"/>
      <c r="I7" s="24">
        <f t="shared" si="0"/>
        <v>0</v>
      </c>
    </row>
    <row r="8" spans="1:9" ht="15.6" customHeight="1" x14ac:dyDescent="0.25">
      <c r="A8" s="13">
        <v>4</v>
      </c>
      <c r="B8" s="14" t="s">
        <v>410</v>
      </c>
      <c r="C8" s="25" t="s">
        <v>411</v>
      </c>
      <c r="D8" s="25" t="s">
        <v>119</v>
      </c>
      <c r="E8" s="25" t="s">
        <v>1914</v>
      </c>
      <c r="F8" s="19">
        <v>2.7</v>
      </c>
      <c r="G8" s="19"/>
      <c r="H8" s="19"/>
      <c r="I8" s="24">
        <f t="shared" si="0"/>
        <v>0</v>
      </c>
    </row>
    <row r="9" spans="1:9" ht="15.6" customHeight="1" x14ac:dyDescent="0.25">
      <c r="A9" s="13">
        <v>5</v>
      </c>
      <c r="B9" s="14" t="s">
        <v>412</v>
      </c>
      <c r="C9" s="25" t="s">
        <v>413</v>
      </c>
      <c r="D9" s="25" t="s">
        <v>119</v>
      </c>
      <c r="E9" s="25" t="s">
        <v>403</v>
      </c>
      <c r="F9" s="15">
        <v>2.5</v>
      </c>
      <c r="G9" s="19"/>
      <c r="H9" s="19"/>
      <c r="I9" s="24">
        <f t="shared" si="0"/>
        <v>0</v>
      </c>
    </row>
    <row r="10" spans="1:9" ht="15.6" customHeight="1" x14ac:dyDescent="0.25">
      <c r="A10" s="13">
        <v>6</v>
      </c>
      <c r="B10" s="14" t="s">
        <v>414</v>
      </c>
      <c r="C10" s="25" t="s">
        <v>415</v>
      </c>
      <c r="D10" s="25" t="s">
        <v>1445</v>
      </c>
      <c r="E10" s="25" t="s">
        <v>1912</v>
      </c>
      <c r="F10" s="19">
        <v>1.4</v>
      </c>
      <c r="G10" s="15"/>
      <c r="H10" s="15"/>
      <c r="I10" s="24">
        <f t="shared" si="0"/>
        <v>0</v>
      </c>
    </row>
    <row r="11" spans="1:9" ht="15.6" customHeight="1" x14ac:dyDescent="0.25">
      <c r="A11" s="13">
        <v>7</v>
      </c>
      <c r="B11" s="14" t="s">
        <v>417</v>
      </c>
      <c r="C11" s="25" t="s">
        <v>418</v>
      </c>
      <c r="D11" s="25" t="s">
        <v>1445</v>
      </c>
      <c r="E11" s="25" t="s">
        <v>1915</v>
      </c>
      <c r="F11" s="19">
        <v>1</v>
      </c>
      <c r="G11" s="19"/>
      <c r="H11" s="19"/>
      <c r="I11" s="24">
        <f t="shared" si="0"/>
        <v>0</v>
      </c>
    </row>
    <row r="12" spans="1:9" ht="15.6" customHeight="1" x14ac:dyDescent="0.25">
      <c r="A12" s="13">
        <v>8</v>
      </c>
      <c r="B12" s="14" t="s">
        <v>419</v>
      </c>
      <c r="C12" s="25" t="s">
        <v>420</v>
      </c>
      <c r="D12" s="25" t="s">
        <v>119</v>
      </c>
      <c r="E12" s="25" t="s">
        <v>1916</v>
      </c>
      <c r="F12" s="15">
        <v>6.7</v>
      </c>
      <c r="G12" s="19"/>
      <c r="H12" s="19"/>
      <c r="I12" s="24">
        <f t="shared" si="0"/>
        <v>0</v>
      </c>
    </row>
    <row r="13" spans="1:9" ht="15.6" customHeight="1" x14ac:dyDescent="0.25">
      <c r="A13" s="13">
        <v>9</v>
      </c>
      <c r="B13" s="14" t="s">
        <v>421</v>
      </c>
      <c r="C13" s="25" t="s">
        <v>422</v>
      </c>
      <c r="D13" s="25" t="s">
        <v>1445</v>
      </c>
      <c r="E13" s="25" t="s">
        <v>1917</v>
      </c>
      <c r="F13" s="19">
        <v>3.2</v>
      </c>
      <c r="G13" s="15"/>
      <c r="H13" s="15"/>
      <c r="I13" s="24">
        <f t="shared" si="0"/>
        <v>0</v>
      </c>
    </row>
    <row r="14" spans="1:9" ht="15.6" customHeight="1" x14ac:dyDescent="0.25">
      <c r="A14" s="13">
        <v>10</v>
      </c>
      <c r="B14" s="14" t="s">
        <v>423</v>
      </c>
      <c r="C14" s="25" t="s">
        <v>424</v>
      </c>
      <c r="D14" s="25" t="s">
        <v>1758</v>
      </c>
      <c r="E14" s="25" t="s">
        <v>1918</v>
      </c>
      <c r="F14" s="15">
        <v>0.4</v>
      </c>
      <c r="G14" s="19"/>
      <c r="H14" s="19"/>
      <c r="I14" s="24">
        <f t="shared" si="0"/>
        <v>0</v>
      </c>
    </row>
    <row r="15" spans="1:9" ht="15.6" customHeight="1" x14ac:dyDescent="0.25">
      <c r="A15" s="13">
        <v>11</v>
      </c>
      <c r="B15" s="14" t="s">
        <v>425</v>
      </c>
      <c r="C15" s="25" t="s">
        <v>426</v>
      </c>
      <c r="D15" s="25" t="s">
        <v>1758</v>
      </c>
      <c r="E15" s="25" t="s">
        <v>1919</v>
      </c>
      <c r="F15" s="19">
        <v>0.5</v>
      </c>
      <c r="G15" s="19"/>
      <c r="H15" s="19"/>
      <c r="I15" s="24">
        <f t="shared" si="0"/>
        <v>0</v>
      </c>
    </row>
    <row r="16" spans="1:9" ht="15.6" customHeight="1" x14ac:dyDescent="0.25">
      <c r="A16" s="13">
        <v>12</v>
      </c>
      <c r="B16" s="14" t="s">
        <v>427</v>
      </c>
      <c r="C16" s="25" t="s">
        <v>428</v>
      </c>
      <c r="D16" s="25" t="s">
        <v>1758</v>
      </c>
      <c r="E16" s="25" t="s">
        <v>1920</v>
      </c>
      <c r="F16" s="19">
        <v>0.4</v>
      </c>
      <c r="G16" s="15"/>
      <c r="H16" s="15"/>
      <c r="I16" s="24">
        <f t="shared" si="0"/>
        <v>0</v>
      </c>
    </row>
    <row r="17" spans="1:9" ht="15.6" customHeight="1" x14ac:dyDescent="0.25">
      <c r="A17" s="13">
        <v>13</v>
      </c>
      <c r="B17" s="14" t="s">
        <v>429</v>
      </c>
      <c r="C17" s="25" t="s">
        <v>430</v>
      </c>
      <c r="D17" s="25" t="s">
        <v>1758</v>
      </c>
      <c r="E17" s="25" t="s">
        <v>1884</v>
      </c>
      <c r="F17" s="15">
        <v>0.4</v>
      </c>
      <c r="G17" s="19"/>
      <c r="H17" s="19"/>
      <c r="I17" s="24">
        <f t="shared" si="0"/>
        <v>0</v>
      </c>
    </row>
    <row r="18" spans="1:9" ht="15.6" customHeight="1" x14ac:dyDescent="0.25">
      <c r="A18" s="13">
        <v>14</v>
      </c>
      <c r="B18" s="14" t="s">
        <v>431</v>
      </c>
      <c r="C18" s="25" t="s">
        <v>432</v>
      </c>
      <c r="D18" s="25" t="s">
        <v>1758</v>
      </c>
      <c r="E18" s="25" t="s">
        <v>1921</v>
      </c>
      <c r="F18" s="19">
        <v>0.7</v>
      </c>
      <c r="G18" s="19"/>
      <c r="H18" s="19"/>
      <c r="I18" s="24">
        <f t="shared" si="0"/>
        <v>0</v>
      </c>
    </row>
    <row r="19" spans="1:9" ht="15.6" customHeight="1" x14ac:dyDescent="0.25">
      <c r="A19" s="13">
        <v>15</v>
      </c>
      <c r="B19" s="14" t="s">
        <v>433</v>
      </c>
      <c r="C19" s="25" t="s">
        <v>434</v>
      </c>
      <c r="D19" s="25" t="s">
        <v>1758</v>
      </c>
      <c r="E19" s="25" t="s">
        <v>1760</v>
      </c>
      <c r="F19" s="19">
        <v>0.6</v>
      </c>
      <c r="G19" s="15"/>
      <c r="H19" s="15"/>
      <c r="I19" s="24">
        <f t="shared" si="0"/>
        <v>0</v>
      </c>
    </row>
    <row r="20" spans="1:9" ht="15.6" customHeight="1" x14ac:dyDescent="0.25">
      <c r="A20" s="13">
        <v>16</v>
      </c>
      <c r="B20" s="14" t="s">
        <v>435</v>
      </c>
      <c r="C20" s="27" t="s">
        <v>436</v>
      </c>
      <c r="D20" s="25" t="s">
        <v>1758</v>
      </c>
      <c r="E20" s="27" t="s">
        <v>1922</v>
      </c>
      <c r="F20" s="15">
        <v>0.6</v>
      </c>
      <c r="G20" s="19"/>
      <c r="H20" s="19"/>
      <c r="I20" s="24">
        <f t="shared" si="0"/>
        <v>0</v>
      </c>
    </row>
    <row r="21" spans="1:9" ht="15.6" customHeight="1" x14ac:dyDescent="0.25">
      <c r="A21" s="13">
        <v>17</v>
      </c>
      <c r="B21" s="14" t="s">
        <v>437</v>
      </c>
      <c r="C21" s="25" t="s">
        <v>438</v>
      </c>
      <c r="D21" s="25" t="s">
        <v>1758</v>
      </c>
      <c r="E21" s="25" t="s">
        <v>1923</v>
      </c>
      <c r="F21" s="19">
        <v>0.4</v>
      </c>
      <c r="G21" s="19"/>
      <c r="H21" s="19"/>
      <c r="I21" s="24">
        <f t="shared" si="0"/>
        <v>0</v>
      </c>
    </row>
    <row r="22" spans="1:9" ht="15.6" customHeight="1" x14ac:dyDescent="0.25">
      <c r="A22" s="13">
        <v>18</v>
      </c>
      <c r="B22" s="14" t="s">
        <v>439</v>
      </c>
      <c r="C22" s="25" t="s">
        <v>440</v>
      </c>
      <c r="D22" s="25" t="s">
        <v>699</v>
      </c>
      <c r="E22" s="25" t="s">
        <v>1924</v>
      </c>
      <c r="F22" s="15">
        <v>3.2</v>
      </c>
      <c r="G22" s="15"/>
      <c r="H22" s="15"/>
      <c r="I22" s="24">
        <f t="shared" si="0"/>
        <v>0</v>
      </c>
    </row>
    <row r="23" spans="1:9" ht="15.6" customHeight="1" x14ac:dyDescent="0.25">
      <c r="A23" s="13">
        <v>19</v>
      </c>
      <c r="B23" s="14" t="s">
        <v>442</v>
      </c>
      <c r="C23" s="25" t="s">
        <v>443</v>
      </c>
      <c r="D23" s="25" t="s">
        <v>1758</v>
      </c>
      <c r="E23" s="25" t="s">
        <v>1925</v>
      </c>
      <c r="F23" s="19">
        <v>0.4</v>
      </c>
      <c r="G23" s="19"/>
      <c r="H23" s="19"/>
      <c r="I23" s="24">
        <f t="shared" si="0"/>
        <v>0</v>
      </c>
    </row>
    <row r="24" spans="1:9" ht="15.6" customHeight="1" x14ac:dyDescent="0.25">
      <c r="A24" s="13">
        <v>20</v>
      </c>
      <c r="B24" s="14" t="s">
        <v>444</v>
      </c>
      <c r="C24" s="25" t="s">
        <v>445</v>
      </c>
      <c r="D24" s="25" t="s">
        <v>699</v>
      </c>
      <c r="E24" s="25" t="s">
        <v>1926</v>
      </c>
      <c r="F24" s="19">
        <v>9.4</v>
      </c>
      <c r="G24" s="19"/>
      <c r="H24" s="19"/>
      <c r="I24" s="24">
        <f t="shared" si="0"/>
        <v>0</v>
      </c>
    </row>
    <row r="25" spans="1:9" ht="15.6" customHeight="1" x14ac:dyDescent="0.25">
      <c r="A25" s="13">
        <v>21</v>
      </c>
      <c r="B25" s="14" t="s">
        <v>446</v>
      </c>
      <c r="C25" s="25" t="s">
        <v>447</v>
      </c>
      <c r="D25" s="25" t="s">
        <v>699</v>
      </c>
      <c r="E25" s="25" t="s">
        <v>1759</v>
      </c>
      <c r="F25" s="15">
        <v>3.9</v>
      </c>
      <c r="G25" s="15"/>
      <c r="H25" s="15"/>
      <c r="I25" s="24">
        <f t="shared" si="0"/>
        <v>0</v>
      </c>
    </row>
    <row r="26" spans="1:9" ht="15.6" customHeight="1" x14ac:dyDescent="0.25">
      <c r="A26" s="13">
        <v>22</v>
      </c>
      <c r="B26" s="14" t="s">
        <v>448</v>
      </c>
      <c r="C26" s="25" t="s">
        <v>449</v>
      </c>
      <c r="D26" s="25" t="s">
        <v>119</v>
      </c>
      <c r="E26" s="25" t="s">
        <v>1927</v>
      </c>
      <c r="F26" s="19">
        <v>1.5</v>
      </c>
      <c r="G26" s="19"/>
      <c r="H26" s="19"/>
      <c r="I26" s="24">
        <f t="shared" si="0"/>
        <v>0</v>
      </c>
    </row>
    <row r="27" spans="1:9" ht="15.6" customHeight="1" x14ac:dyDescent="0.25">
      <c r="A27" s="13">
        <v>23</v>
      </c>
      <c r="B27" s="14" t="s">
        <v>450</v>
      </c>
      <c r="C27" s="25" t="s">
        <v>451</v>
      </c>
      <c r="D27" s="25" t="s">
        <v>699</v>
      </c>
      <c r="E27" s="25" t="s">
        <v>1928</v>
      </c>
      <c r="F27" s="19">
        <v>2.8</v>
      </c>
      <c r="G27" s="19"/>
      <c r="H27" s="19"/>
      <c r="I27" s="24">
        <f t="shared" si="0"/>
        <v>0</v>
      </c>
    </row>
    <row r="28" spans="1:9" ht="15.6" customHeight="1" x14ac:dyDescent="0.25">
      <c r="A28" s="13">
        <v>24</v>
      </c>
      <c r="B28" s="14" t="s">
        <v>452</v>
      </c>
      <c r="C28" s="25" t="s">
        <v>453</v>
      </c>
      <c r="D28" s="25" t="s">
        <v>699</v>
      </c>
      <c r="E28" s="25" t="s">
        <v>1270</v>
      </c>
      <c r="F28" s="15">
        <v>0.3</v>
      </c>
      <c r="G28" s="19"/>
      <c r="H28" s="19"/>
      <c r="I28" s="24">
        <f t="shared" si="0"/>
        <v>0</v>
      </c>
    </row>
    <row r="29" spans="1:9" ht="15.6" customHeight="1" x14ac:dyDescent="0.25">
      <c r="A29" s="13">
        <v>25</v>
      </c>
      <c r="B29" s="14" t="s">
        <v>454</v>
      </c>
      <c r="C29" s="25" t="s">
        <v>455</v>
      </c>
      <c r="D29" s="25" t="s">
        <v>699</v>
      </c>
      <c r="E29" s="25" t="s">
        <v>1929</v>
      </c>
      <c r="F29" s="19">
        <v>1.8</v>
      </c>
      <c r="G29" s="19"/>
      <c r="H29" s="19"/>
      <c r="I29" s="24">
        <f t="shared" si="0"/>
        <v>0</v>
      </c>
    </row>
    <row r="30" spans="1:9" ht="15.6" customHeight="1" x14ac:dyDescent="0.25">
      <c r="A30" s="13">
        <v>26</v>
      </c>
      <c r="B30" s="14" t="s">
        <v>456</v>
      </c>
      <c r="C30" s="25" t="s">
        <v>457</v>
      </c>
      <c r="D30" s="25" t="s">
        <v>699</v>
      </c>
      <c r="E30" s="25" t="s">
        <v>1930</v>
      </c>
      <c r="F30" s="15">
        <v>4.2</v>
      </c>
      <c r="G30" s="19"/>
      <c r="H30" s="19"/>
      <c r="I30" s="24">
        <f t="shared" si="0"/>
        <v>0</v>
      </c>
    </row>
    <row r="31" spans="1:9" ht="15.6" customHeight="1" x14ac:dyDescent="0.25">
      <c r="A31" s="13">
        <v>27</v>
      </c>
      <c r="B31" s="14" t="s">
        <v>458</v>
      </c>
      <c r="C31" s="25" t="s">
        <v>459</v>
      </c>
      <c r="D31" s="25" t="s">
        <v>699</v>
      </c>
      <c r="E31" s="25" t="s">
        <v>1931</v>
      </c>
      <c r="F31" s="19">
        <v>1.2</v>
      </c>
      <c r="G31" s="19"/>
      <c r="H31" s="19"/>
      <c r="I31" s="24">
        <f t="shared" si="0"/>
        <v>0</v>
      </c>
    </row>
    <row r="32" spans="1:9" ht="16.8" customHeight="1" x14ac:dyDescent="0.25">
      <c r="A32" s="39" t="s">
        <v>1769</v>
      </c>
      <c r="B32" s="39"/>
      <c r="C32" s="39"/>
      <c r="D32" s="39" t="s">
        <v>1910</v>
      </c>
      <c r="E32" s="39"/>
      <c r="F32" s="12">
        <f>SUM(F5:F31)</f>
        <v>163.53000000000003</v>
      </c>
      <c r="G32" s="20"/>
      <c r="H32" s="12">
        <f t="shared" ref="H32" si="1">SUM(H5:H31)</f>
        <v>0</v>
      </c>
      <c r="I32" s="21">
        <f t="shared" si="0"/>
        <v>0</v>
      </c>
    </row>
  </sheetData>
  <mergeCells count="8">
    <mergeCell ref="F3:F4"/>
    <mergeCell ref="G3:G4"/>
    <mergeCell ref="H3:I3"/>
    <mergeCell ref="D3:E4"/>
    <mergeCell ref="A32:C32"/>
    <mergeCell ref="D32:E32"/>
    <mergeCell ref="A3:A4"/>
    <mergeCell ref="B3:C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F0B3-AB90-440F-9000-DECA85267DA2}">
  <sheetPr codeName="Sheet12"/>
  <dimension ref="A1:I52"/>
  <sheetViews>
    <sheetView topLeftCell="A25" zoomScaleNormal="100" workbookViewId="0">
      <selection activeCell="J1" sqref="J1:K1048576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463</v>
      </c>
      <c r="C5" s="14" t="s">
        <v>464</v>
      </c>
      <c r="D5" s="46" t="s">
        <v>462</v>
      </c>
      <c r="E5" s="47"/>
      <c r="F5" s="15">
        <v>25.6</v>
      </c>
      <c r="G5" s="19"/>
      <c r="H5" s="19"/>
      <c r="I5" s="34">
        <f t="shared" ref="I5:I25" si="0">H5/F5</f>
        <v>0</v>
      </c>
    </row>
    <row r="6" spans="1:9" ht="15.6" customHeight="1" x14ac:dyDescent="0.25">
      <c r="A6" s="13">
        <v>2</v>
      </c>
      <c r="B6" s="14" t="s">
        <v>465</v>
      </c>
      <c r="C6" s="14" t="s">
        <v>466</v>
      </c>
      <c r="D6" s="46" t="s">
        <v>467</v>
      </c>
      <c r="E6" s="47"/>
      <c r="F6" s="15">
        <v>41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468</v>
      </c>
      <c r="C7" s="14" t="s">
        <v>469</v>
      </c>
      <c r="D7" s="46" t="s">
        <v>470</v>
      </c>
      <c r="E7" s="47" t="s">
        <v>470</v>
      </c>
      <c r="F7" s="15">
        <v>10.7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471</v>
      </c>
      <c r="C8" s="14" t="s">
        <v>472</v>
      </c>
      <c r="D8" s="46" t="s">
        <v>470</v>
      </c>
      <c r="E8" s="47" t="s">
        <v>470</v>
      </c>
      <c r="F8" s="15">
        <v>6.2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473</v>
      </c>
      <c r="C9" s="14" t="s">
        <v>474</v>
      </c>
      <c r="D9" s="46" t="s">
        <v>441</v>
      </c>
      <c r="E9" s="47" t="s">
        <v>441</v>
      </c>
      <c r="F9" s="15">
        <v>4.7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4" t="s">
        <v>475</v>
      </c>
      <c r="C10" s="14" t="s">
        <v>476</v>
      </c>
      <c r="D10" s="46" t="s">
        <v>477</v>
      </c>
      <c r="E10" s="47" t="s">
        <v>477</v>
      </c>
      <c r="F10" s="15">
        <v>1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4" t="s">
        <v>478</v>
      </c>
      <c r="C11" s="14" t="s">
        <v>479</v>
      </c>
      <c r="D11" s="46" t="s">
        <v>480</v>
      </c>
      <c r="E11" s="47"/>
      <c r="F11" s="15">
        <v>4.0999999999999996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4" t="s">
        <v>481</v>
      </c>
      <c r="C12" s="14" t="s">
        <v>482</v>
      </c>
      <c r="D12" s="46" t="s">
        <v>483</v>
      </c>
      <c r="E12" s="47"/>
      <c r="F12" s="15">
        <v>3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4" t="s">
        <v>484</v>
      </c>
      <c r="C13" s="14" t="s">
        <v>485</v>
      </c>
      <c r="D13" s="46" t="s">
        <v>470</v>
      </c>
      <c r="E13" s="47"/>
      <c r="F13" s="15">
        <v>1.3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4" t="s">
        <v>486</v>
      </c>
      <c r="C14" s="14" t="s">
        <v>487</v>
      </c>
      <c r="D14" s="46" t="s">
        <v>488</v>
      </c>
      <c r="E14" s="47"/>
      <c r="F14" s="15">
        <v>1.5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4" t="s">
        <v>489</v>
      </c>
      <c r="C15" s="14" t="s">
        <v>490</v>
      </c>
      <c r="D15" s="46" t="s">
        <v>491</v>
      </c>
      <c r="E15" s="47"/>
      <c r="F15" s="15">
        <v>0.7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4" t="s">
        <v>492</v>
      </c>
      <c r="C16" s="14" t="s">
        <v>493</v>
      </c>
      <c r="D16" s="46" t="s">
        <v>494</v>
      </c>
      <c r="E16" s="47"/>
      <c r="F16" s="15">
        <v>1.3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4" t="s">
        <v>495</v>
      </c>
      <c r="C17" s="14" t="s">
        <v>496</v>
      </c>
      <c r="D17" s="46" t="s">
        <v>497</v>
      </c>
      <c r="E17" s="47"/>
      <c r="F17" s="15">
        <v>1.7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4" t="s">
        <v>498</v>
      </c>
      <c r="C18" s="14" t="s">
        <v>499</v>
      </c>
      <c r="D18" s="46" t="s">
        <v>500</v>
      </c>
      <c r="E18" s="47"/>
      <c r="F18" s="15">
        <v>5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4" t="s">
        <v>501</v>
      </c>
      <c r="C19" s="14" t="s">
        <v>502</v>
      </c>
      <c r="D19" s="46" t="s">
        <v>503</v>
      </c>
      <c r="E19" s="47"/>
      <c r="F19" s="15">
        <v>2.8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4" t="s">
        <v>504</v>
      </c>
      <c r="C20" s="14" t="s">
        <v>505</v>
      </c>
      <c r="D20" s="46" t="s">
        <v>506</v>
      </c>
      <c r="E20" s="47"/>
      <c r="F20" s="15">
        <v>0.7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4" t="s">
        <v>507</v>
      </c>
      <c r="C21" s="14" t="s">
        <v>508</v>
      </c>
      <c r="D21" s="46" t="s">
        <v>509</v>
      </c>
      <c r="E21" s="47"/>
      <c r="F21" s="15">
        <v>0.7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4" t="s">
        <v>510</v>
      </c>
      <c r="C22" s="14" t="s">
        <v>511</v>
      </c>
      <c r="D22" s="46" t="s">
        <v>512</v>
      </c>
      <c r="E22" s="47"/>
      <c r="F22" s="15">
        <v>0.5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4" t="s">
        <v>513</v>
      </c>
      <c r="C23" s="14" t="s">
        <v>514</v>
      </c>
      <c r="D23" s="46" t="s">
        <v>515</v>
      </c>
      <c r="E23" s="47" t="s">
        <v>515</v>
      </c>
      <c r="F23" s="15">
        <v>1.4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4" t="s">
        <v>516</v>
      </c>
      <c r="C24" s="14" t="s">
        <v>517</v>
      </c>
      <c r="D24" s="46" t="s">
        <v>518</v>
      </c>
      <c r="E24" s="47" t="s">
        <v>518</v>
      </c>
      <c r="F24" s="15">
        <v>1.3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4" t="s">
        <v>519</v>
      </c>
      <c r="C25" s="14" t="s">
        <v>520</v>
      </c>
      <c r="D25" s="46" t="s">
        <v>521</v>
      </c>
      <c r="E25" s="47" t="s">
        <v>521</v>
      </c>
      <c r="F25" s="15">
        <v>0.5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4" t="s">
        <v>522</v>
      </c>
      <c r="C26" s="14" t="s">
        <v>523</v>
      </c>
      <c r="D26" s="46" t="s">
        <v>524</v>
      </c>
      <c r="E26" s="47" t="s">
        <v>524</v>
      </c>
      <c r="F26" s="15">
        <v>1.2</v>
      </c>
      <c r="G26" s="15"/>
      <c r="H26" s="15"/>
      <c r="I26" s="34">
        <f t="shared" ref="I26:I42" si="1">H26/F26</f>
        <v>0</v>
      </c>
    </row>
    <row r="27" spans="1:9" ht="15.6" customHeight="1" x14ac:dyDescent="0.25">
      <c r="A27" s="13">
        <v>23</v>
      </c>
      <c r="B27" s="14" t="s">
        <v>525</v>
      </c>
      <c r="C27" s="14" t="s">
        <v>526</v>
      </c>
      <c r="D27" s="46" t="s">
        <v>527</v>
      </c>
      <c r="E27" s="47" t="s">
        <v>527</v>
      </c>
      <c r="F27" s="15">
        <v>0.4</v>
      </c>
      <c r="G27" s="15"/>
      <c r="H27" s="15"/>
      <c r="I27" s="34">
        <f t="shared" si="1"/>
        <v>0</v>
      </c>
    </row>
    <row r="28" spans="1:9" ht="15.6" customHeight="1" x14ac:dyDescent="0.25">
      <c r="A28" s="13">
        <v>24</v>
      </c>
      <c r="B28" s="14" t="s">
        <v>528</v>
      </c>
      <c r="C28" s="14" t="s">
        <v>529</v>
      </c>
      <c r="D28" s="46" t="s">
        <v>530</v>
      </c>
      <c r="E28" s="47" t="s">
        <v>530</v>
      </c>
      <c r="F28" s="15">
        <v>0.7</v>
      </c>
      <c r="G28" s="19"/>
      <c r="H28" s="19"/>
      <c r="I28" s="34">
        <f t="shared" si="1"/>
        <v>0</v>
      </c>
    </row>
    <row r="29" spans="1:9" ht="15.6" customHeight="1" x14ac:dyDescent="0.25">
      <c r="A29" s="13">
        <v>25</v>
      </c>
      <c r="B29" s="14" t="s">
        <v>531</v>
      </c>
      <c r="C29" s="14" t="s">
        <v>532</v>
      </c>
      <c r="D29" s="46" t="s">
        <v>533</v>
      </c>
      <c r="E29" s="47" t="s">
        <v>533</v>
      </c>
      <c r="F29" s="15">
        <v>0.8</v>
      </c>
      <c r="G29" s="19"/>
      <c r="H29" s="19"/>
      <c r="I29" s="34">
        <f t="shared" si="1"/>
        <v>0</v>
      </c>
    </row>
    <row r="30" spans="1:9" ht="15.6" customHeight="1" x14ac:dyDescent="0.25">
      <c r="A30" s="13">
        <v>26</v>
      </c>
      <c r="B30" s="14" t="s">
        <v>534</v>
      </c>
      <c r="C30" s="14" t="s">
        <v>535</v>
      </c>
      <c r="D30" s="46" t="s">
        <v>536</v>
      </c>
      <c r="E30" s="47" t="s">
        <v>536</v>
      </c>
      <c r="F30" s="15">
        <v>0.5</v>
      </c>
      <c r="G30" s="19"/>
      <c r="H30" s="19"/>
      <c r="I30" s="34">
        <f t="shared" si="1"/>
        <v>0</v>
      </c>
    </row>
    <row r="31" spans="1:9" ht="15.6" customHeight="1" x14ac:dyDescent="0.25">
      <c r="A31" s="13">
        <v>27</v>
      </c>
      <c r="B31" s="14" t="s">
        <v>540</v>
      </c>
      <c r="C31" s="14" t="s">
        <v>541</v>
      </c>
      <c r="D31" s="46" t="s">
        <v>542</v>
      </c>
      <c r="E31" s="47" t="s">
        <v>542</v>
      </c>
      <c r="F31" s="15">
        <v>28</v>
      </c>
      <c r="G31" s="19"/>
      <c r="H31" s="19"/>
      <c r="I31" s="34">
        <f t="shared" si="1"/>
        <v>0</v>
      </c>
    </row>
    <row r="32" spans="1:9" ht="15.6" customHeight="1" x14ac:dyDescent="0.25">
      <c r="A32" s="13">
        <v>28</v>
      </c>
      <c r="B32" s="14" t="s">
        <v>543</v>
      </c>
      <c r="C32" s="14" t="s">
        <v>544</v>
      </c>
      <c r="D32" s="46" t="s">
        <v>441</v>
      </c>
      <c r="E32" s="47" t="s">
        <v>441</v>
      </c>
      <c r="F32" s="15">
        <v>53</v>
      </c>
      <c r="G32" s="19"/>
      <c r="H32" s="19"/>
      <c r="I32" s="34">
        <f t="shared" si="1"/>
        <v>0</v>
      </c>
    </row>
    <row r="33" spans="1:9" ht="15.6" customHeight="1" x14ac:dyDescent="0.25">
      <c r="A33" s="13">
        <v>29</v>
      </c>
      <c r="B33" s="14" t="s">
        <v>545</v>
      </c>
      <c r="C33" s="14" t="s">
        <v>546</v>
      </c>
      <c r="D33" s="46" t="s">
        <v>547</v>
      </c>
      <c r="E33" s="47" t="s">
        <v>547</v>
      </c>
      <c r="F33" s="15">
        <v>1.2</v>
      </c>
      <c r="G33" s="19"/>
      <c r="H33" s="19"/>
      <c r="I33" s="34">
        <f t="shared" si="1"/>
        <v>0</v>
      </c>
    </row>
    <row r="34" spans="1:9" ht="15.6" customHeight="1" x14ac:dyDescent="0.25">
      <c r="A34" s="13">
        <v>30</v>
      </c>
      <c r="B34" s="14" t="s">
        <v>548</v>
      </c>
      <c r="C34" s="14" t="s">
        <v>549</v>
      </c>
      <c r="D34" s="46" t="s">
        <v>441</v>
      </c>
      <c r="E34" s="47"/>
      <c r="F34" s="15">
        <v>1.1000000000000001</v>
      </c>
      <c r="G34" s="19"/>
      <c r="H34" s="19"/>
      <c r="I34" s="34">
        <f t="shared" si="1"/>
        <v>0</v>
      </c>
    </row>
    <row r="35" spans="1:9" ht="15.6" customHeight="1" x14ac:dyDescent="0.25">
      <c r="A35" s="13">
        <v>31</v>
      </c>
      <c r="B35" s="14" t="s">
        <v>550</v>
      </c>
      <c r="C35" s="14" t="s">
        <v>551</v>
      </c>
      <c r="D35" s="46" t="s">
        <v>441</v>
      </c>
      <c r="E35" s="47" t="s">
        <v>441</v>
      </c>
      <c r="F35" s="15">
        <v>1.67</v>
      </c>
      <c r="G35" s="19"/>
      <c r="H35" s="19"/>
      <c r="I35" s="34">
        <f t="shared" si="1"/>
        <v>0</v>
      </c>
    </row>
    <row r="36" spans="1:9" ht="15.6" customHeight="1" x14ac:dyDescent="0.25">
      <c r="A36" s="13">
        <v>32</v>
      </c>
      <c r="B36" s="14" t="s">
        <v>552</v>
      </c>
      <c r="C36" s="14" t="s">
        <v>553</v>
      </c>
      <c r="D36" s="46" t="s">
        <v>554</v>
      </c>
      <c r="E36" s="47" t="s">
        <v>554</v>
      </c>
      <c r="F36" s="15">
        <v>1.2</v>
      </c>
      <c r="G36" s="19"/>
      <c r="H36" s="19"/>
      <c r="I36" s="34">
        <f t="shared" si="1"/>
        <v>0</v>
      </c>
    </row>
    <row r="37" spans="1:9" ht="15.6" customHeight="1" x14ac:dyDescent="0.25">
      <c r="A37" s="13">
        <v>33</v>
      </c>
      <c r="B37" s="14" t="s">
        <v>555</v>
      </c>
      <c r="C37" s="14" t="s">
        <v>556</v>
      </c>
      <c r="D37" s="46" t="s">
        <v>557</v>
      </c>
      <c r="E37" s="47" t="s">
        <v>557</v>
      </c>
      <c r="F37" s="15">
        <v>0.7</v>
      </c>
      <c r="G37" s="19"/>
      <c r="H37" s="19"/>
      <c r="I37" s="34">
        <f t="shared" si="1"/>
        <v>0</v>
      </c>
    </row>
    <row r="38" spans="1:9" ht="15.6" customHeight="1" x14ac:dyDescent="0.25">
      <c r="A38" s="13">
        <v>34</v>
      </c>
      <c r="B38" s="14" t="s">
        <v>558</v>
      </c>
      <c r="C38" s="14" t="s">
        <v>559</v>
      </c>
      <c r="D38" s="46" t="s">
        <v>560</v>
      </c>
      <c r="E38" s="47" t="s">
        <v>560</v>
      </c>
      <c r="F38" s="15">
        <v>3.5</v>
      </c>
      <c r="G38" s="19"/>
      <c r="H38" s="19"/>
      <c r="I38" s="34">
        <f t="shared" si="1"/>
        <v>0</v>
      </c>
    </row>
    <row r="39" spans="1:9" ht="15.6" customHeight="1" x14ac:dyDescent="0.25">
      <c r="A39" s="13">
        <v>35</v>
      </c>
      <c r="B39" s="14" t="s">
        <v>561</v>
      </c>
      <c r="C39" s="14" t="s">
        <v>562</v>
      </c>
      <c r="D39" s="46" t="s">
        <v>563</v>
      </c>
      <c r="E39" s="47" t="s">
        <v>563</v>
      </c>
      <c r="F39" s="15">
        <v>2.5</v>
      </c>
      <c r="G39" s="19"/>
      <c r="H39" s="19"/>
      <c r="I39" s="34">
        <f t="shared" si="1"/>
        <v>0</v>
      </c>
    </row>
    <row r="40" spans="1:9" ht="15.6" customHeight="1" x14ac:dyDescent="0.25">
      <c r="A40" s="13">
        <v>36</v>
      </c>
      <c r="B40" s="14" t="s">
        <v>564</v>
      </c>
      <c r="C40" s="14" t="s">
        <v>565</v>
      </c>
      <c r="D40" s="46" t="s">
        <v>566</v>
      </c>
      <c r="E40" s="47" t="s">
        <v>566</v>
      </c>
      <c r="F40" s="15">
        <v>1.5</v>
      </c>
      <c r="G40" s="19"/>
      <c r="H40" s="19"/>
      <c r="I40" s="34">
        <f t="shared" si="1"/>
        <v>0</v>
      </c>
    </row>
    <row r="41" spans="1:9" ht="15.6" customHeight="1" x14ac:dyDescent="0.25">
      <c r="A41" s="13">
        <v>37</v>
      </c>
      <c r="B41" s="14" t="s">
        <v>567</v>
      </c>
      <c r="C41" s="14" t="s">
        <v>568</v>
      </c>
      <c r="D41" s="46" t="s">
        <v>569</v>
      </c>
      <c r="E41" s="47" t="s">
        <v>569</v>
      </c>
      <c r="F41" s="15">
        <v>4.7</v>
      </c>
      <c r="G41" s="19"/>
      <c r="H41" s="19"/>
      <c r="I41" s="34">
        <f t="shared" si="1"/>
        <v>0</v>
      </c>
    </row>
    <row r="42" spans="1:9" ht="15.6" customHeight="1" x14ac:dyDescent="0.25">
      <c r="A42" s="13">
        <v>38</v>
      </c>
      <c r="B42" s="14" t="s">
        <v>570</v>
      </c>
      <c r="C42" s="14" t="s">
        <v>571</v>
      </c>
      <c r="D42" s="46" t="s">
        <v>441</v>
      </c>
      <c r="E42" s="47" t="s">
        <v>441</v>
      </c>
      <c r="F42" s="15">
        <v>0.8</v>
      </c>
      <c r="G42" s="19"/>
      <c r="H42" s="19"/>
      <c r="I42" s="34">
        <f t="shared" si="1"/>
        <v>0</v>
      </c>
    </row>
    <row r="43" spans="1:9" ht="15.6" customHeight="1" x14ac:dyDescent="0.25">
      <c r="A43" s="13">
        <v>39</v>
      </c>
      <c r="B43" s="14" t="s">
        <v>572</v>
      </c>
      <c r="C43" s="14" t="s">
        <v>573</v>
      </c>
      <c r="D43" s="46" t="s">
        <v>441</v>
      </c>
      <c r="E43" s="47" t="s">
        <v>441</v>
      </c>
      <c r="F43" s="15">
        <v>3.7</v>
      </c>
      <c r="G43" s="19"/>
      <c r="H43" s="19"/>
      <c r="I43" s="34">
        <f>H43/F43</f>
        <v>0</v>
      </c>
    </row>
    <row r="44" spans="1:9" ht="16.8" customHeight="1" x14ac:dyDescent="0.25">
      <c r="A44" s="54" t="s">
        <v>1769</v>
      </c>
      <c r="B44" s="55"/>
      <c r="C44" s="56"/>
      <c r="D44" s="39" t="s">
        <v>1960</v>
      </c>
      <c r="E44" s="39"/>
      <c r="F44" s="12">
        <f>SUM(F5:F43)</f>
        <v>222.86999999999995</v>
      </c>
      <c r="G44" s="20"/>
      <c r="H44" s="12">
        <f>SUM(H5:H43)</f>
        <v>0</v>
      </c>
      <c r="I44" s="35">
        <f>H44/F44</f>
        <v>0</v>
      </c>
    </row>
    <row r="46" spans="1:9" ht="15" x14ac:dyDescent="0.25">
      <c r="A46" s="17" t="s">
        <v>1766</v>
      </c>
    </row>
    <row r="48" spans="1:9" s="18" customFormat="1" ht="17.399999999999999" customHeight="1" x14ac:dyDescent="0.25">
      <c r="A48" s="39" t="s">
        <v>0</v>
      </c>
      <c r="B48" s="41" t="s">
        <v>1761</v>
      </c>
      <c r="C48" s="41"/>
      <c r="D48" s="42" t="s">
        <v>1763</v>
      </c>
      <c r="E48" s="43"/>
      <c r="F48" s="41" t="s">
        <v>1768</v>
      </c>
      <c r="G48" s="40" t="s">
        <v>1772</v>
      </c>
      <c r="H48" s="39" t="s">
        <v>1773</v>
      </c>
      <c r="I48" s="39"/>
    </row>
    <row r="49" spans="1:9" s="18" customFormat="1" ht="17.399999999999999" customHeight="1" x14ac:dyDescent="0.25">
      <c r="A49" s="39"/>
      <c r="B49" s="11" t="s">
        <v>1</v>
      </c>
      <c r="C49" s="11" t="s">
        <v>1762</v>
      </c>
      <c r="D49" s="44"/>
      <c r="E49" s="45"/>
      <c r="F49" s="41"/>
      <c r="G49" s="40"/>
      <c r="H49" s="11" t="s">
        <v>1774</v>
      </c>
      <c r="I49" s="11" t="s">
        <v>1775</v>
      </c>
    </row>
    <row r="50" spans="1:9" ht="16.2" customHeight="1" x14ac:dyDescent="0.25">
      <c r="A50" s="8">
        <v>1</v>
      </c>
      <c r="B50" s="23" t="s">
        <v>460</v>
      </c>
      <c r="C50" s="23" t="s">
        <v>461</v>
      </c>
      <c r="D50" s="48" t="s">
        <v>462</v>
      </c>
      <c r="E50" s="49"/>
      <c r="F50" s="10">
        <v>41</v>
      </c>
      <c r="G50" s="19"/>
      <c r="H50" s="19"/>
      <c r="I50" s="34">
        <f>H50/F50</f>
        <v>0</v>
      </c>
    </row>
    <row r="51" spans="1:9" ht="16.2" customHeight="1" x14ac:dyDescent="0.25">
      <c r="A51" s="8">
        <v>2</v>
      </c>
      <c r="B51" s="9" t="s">
        <v>537</v>
      </c>
      <c r="C51" s="36" t="s">
        <v>538</v>
      </c>
      <c r="D51" s="48" t="s">
        <v>539</v>
      </c>
      <c r="E51" s="49"/>
      <c r="F51" s="10">
        <v>23</v>
      </c>
      <c r="G51" s="19"/>
      <c r="H51" s="19"/>
      <c r="I51" s="34">
        <f>H51/F51</f>
        <v>0</v>
      </c>
    </row>
    <row r="52" spans="1:9" ht="16.8" customHeight="1" x14ac:dyDescent="0.25">
      <c r="A52" s="39" t="s">
        <v>1769</v>
      </c>
      <c r="B52" s="39"/>
      <c r="C52" s="39"/>
      <c r="D52" s="39" t="s">
        <v>1771</v>
      </c>
      <c r="E52" s="39"/>
      <c r="F52" s="12">
        <f>SUM(F50:F51)</f>
        <v>64</v>
      </c>
      <c r="G52" s="20"/>
      <c r="H52" s="12">
        <f>SUM(H50:H51)</f>
        <v>0</v>
      </c>
      <c r="I52" s="35">
        <f>H52/F52</f>
        <v>0</v>
      </c>
    </row>
  </sheetData>
  <mergeCells count="57">
    <mergeCell ref="D40:E40"/>
    <mergeCell ref="A52:C52"/>
    <mergeCell ref="D52:E52"/>
    <mergeCell ref="D50:E50"/>
    <mergeCell ref="D51:E51"/>
    <mergeCell ref="D26:E26"/>
    <mergeCell ref="D27:E27"/>
    <mergeCell ref="D29:E29"/>
    <mergeCell ref="D30:E30"/>
    <mergeCell ref="D31:E31"/>
    <mergeCell ref="A48:A49"/>
    <mergeCell ref="B48:C48"/>
    <mergeCell ref="D48:E49"/>
    <mergeCell ref="A44:C44"/>
    <mergeCell ref="D41:E41"/>
    <mergeCell ref="D42:E42"/>
    <mergeCell ref="D35:E35"/>
    <mergeCell ref="F48:F49"/>
    <mergeCell ref="G48:G49"/>
    <mergeCell ref="H48:I48"/>
    <mergeCell ref="D23:E23"/>
    <mergeCell ref="D24:E24"/>
    <mergeCell ref="D25:E25"/>
    <mergeCell ref="D28:E28"/>
    <mergeCell ref="D43:E43"/>
    <mergeCell ref="D44:E44"/>
    <mergeCell ref="D32:E32"/>
    <mergeCell ref="D33:E33"/>
    <mergeCell ref="D34:E34"/>
    <mergeCell ref="D36:E36"/>
    <mergeCell ref="D37:E37"/>
    <mergeCell ref="D38:E38"/>
    <mergeCell ref="D39:E3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8388-F7C6-4EDB-ACE1-6A5665E67C8D}">
  <sheetPr codeName="Sheet13"/>
  <dimension ref="A1:I47"/>
  <sheetViews>
    <sheetView topLeftCell="A19" zoomScaleNormal="100" workbookViewId="0">
      <selection activeCell="E53" sqref="E53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5" t="s">
        <v>574</v>
      </c>
      <c r="C5" s="15" t="s">
        <v>575</v>
      </c>
      <c r="D5" s="46" t="s">
        <v>576</v>
      </c>
      <c r="E5" s="47" t="s">
        <v>576</v>
      </c>
      <c r="F5" s="15">
        <v>0.6</v>
      </c>
      <c r="G5" s="19"/>
      <c r="H5" s="19"/>
      <c r="I5" s="34">
        <f t="shared" ref="I5:I25" si="0">H5/F5</f>
        <v>0</v>
      </c>
    </row>
    <row r="6" spans="1:9" ht="15.6" customHeight="1" x14ac:dyDescent="0.25">
      <c r="A6" s="13">
        <v>2</v>
      </c>
      <c r="B6" s="15" t="s">
        <v>577</v>
      </c>
      <c r="C6" s="15" t="s">
        <v>578</v>
      </c>
      <c r="D6" s="46" t="s">
        <v>579</v>
      </c>
      <c r="E6" s="47" t="s">
        <v>579</v>
      </c>
      <c r="F6" s="15">
        <v>15.2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5" t="s">
        <v>580</v>
      </c>
      <c r="C7" s="15" t="s">
        <v>581</v>
      </c>
      <c r="D7" s="46" t="s">
        <v>582</v>
      </c>
      <c r="E7" s="47" t="s">
        <v>582</v>
      </c>
      <c r="F7" s="15">
        <v>5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5" t="s">
        <v>583</v>
      </c>
      <c r="C8" s="15" t="s">
        <v>584</v>
      </c>
      <c r="D8" s="46" t="s">
        <v>585</v>
      </c>
      <c r="E8" s="47" t="s">
        <v>585</v>
      </c>
      <c r="F8" s="15">
        <v>3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5" t="s">
        <v>586</v>
      </c>
      <c r="C9" s="15" t="s">
        <v>587</v>
      </c>
      <c r="D9" s="46" t="s">
        <v>588</v>
      </c>
      <c r="E9" s="47" t="s">
        <v>588</v>
      </c>
      <c r="F9" s="15">
        <v>44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5" t="s">
        <v>589</v>
      </c>
      <c r="C10" s="15" t="s">
        <v>590</v>
      </c>
      <c r="D10" s="46" t="s">
        <v>591</v>
      </c>
      <c r="E10" s="47" t="s">
        <v>591</v>
      </c>
      <c r="F10" s="15">
        <v>1.6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5" t="s">
        <v>592</v>
      </c>
      <c r="C11" s="15" t="s">
        <v>593</v>
      </c>
      <c r="D11" s="46" t="s">
        <v>594</v>
      </c>
      <c r="E11" s="47" t="s">
        <v>594</v>
      </c>
      <c r="F11" s="15">
        <v>1.5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5" t="s">
        <v>595</v>
      </c>
      <c r="C12" s="15" t="s">
        <v>596</v>
      </c>
      <c r="D12" s="46" t="s">
        <v>597</v>
      </c>
      <c r="E12" s="47" t="s">
        <v>597</v>
      </c>
      <c r="F12" s="15">
        <v>45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5" t="s">
        <v>598</v>
      </c>
      <c r="C13" s="15" t="s">
        <v>599</v>
      </c>
      <c r="D13" s="46" t="s">
        <v>379</v>
      </c>
      <c r="E13" s="47" t="s">
        <v>379</v>
      </c>
      <c r="F13" s="15">
        <v>5.3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5" t="s">
        <v>600</v>
      </c>
      <c r="C14" s="15" t="s">
        <v>601</v>
      </c>
      <c r="D14" s="46" t="s">
        <v>379</v>
      </c>
      <c r="E14" s="47" t="s">
        <v>379</v>
      </c>
      <c r="F14" s="15">
        <v>0.5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5" t="s">
        <v>602</v>
      </c>
      <c r="C15" s="15" t="s">
        <v>603</v>
      </c>
      <c r="D15" s="46" t="s">
        <v>379</v>
      </c>
      <c r="E15" s="47" t="s">
        <v>379</v>
      </c>
      <c r="F15" s="15">
        <v>4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5" t="s">
        <v>604</v>
      </c>
      <c r="C16" s="15" t="s">
        <v>605</v>
      </c>
      <c r="D16" s="46" t="s">
        <v>379</v>
      </c>
      <c r="E16" s="47" t="s">
        <v>379</v>
      </c>
      <c r="F16" s="15">
        <v>2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5" t="s">
        <v>606</v>
      </c>
      <c r="C17" s="15" t="s">
        <v>607</v>
      </c>
      <c r="D17" s="46" t="s">
        <v>379</v>
      </c>
      <c r="E17" s="47" t="s">
        <v>379</v>
      </c>
      <c r="F17" s="15">
        <v>4.1100000000000003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5" t="s">
        <v>608</v>
      </c>
      <c r="C18" s="15" t="s">
        <v>609</v>
      </c>
      <c r="D18" s="46" t="s">
        <v>379</v>
      </c>
      <c r="E18" s="47" t="s">
        <v>379</v>
      </c>
      <c r="F18" s="15">
        <v>5.6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5" t="s">
        <v>610</v>
      </c>
      <c r="C19" s="15" t="s">
        <v>611</v>
      </c>
      <c r="D19" s="46" t="s">
        <v>379</v>
      </c>
      <c r="E19" s="47" t="s">
        <v>379</v>
      </c>
      <c r="F19" s="15">
        <v>0.5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5" t="s">
        <v>612</v>
      </c>
      <c r="C20" s="15" t="s">
        <v>613</v>
      </c>
      <c r="D20" s="46" t="s">
        <v>379</v>
      </c>
      <c r="E20" s="47" t="s">
        <v>379</v>
      </c>
      <c r="F20" s="15">
        <v>1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5" t="s">
        <v>614</v>
      </c>
      <c r="C21" s="15" t="s">
        <v>615</v>
      </c>
      <c r="D21" s="46" t="s">
        <v>616</v>
      </c>
      <c r="E21" s="47" t="s">
        <v>616</v>
      </c>
      <c r="F21" s="15">
        <v>0.8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5" t="s">
        <v>617</v>
      </c>
      <c r="C22" s="15" t="s">
        <v>618</v>
      </c>
      <c r="D22" s="46" t="s">
        <v>616</v>
      </c>
      <c r="E22" s="47" t="s">
        <v>616</v>
      </c>
      <c r="F22" s="15">
        <v>2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5" t="s">
        <v>619</v>
      </c>
      <c r="C23" s="15" t="s">
        <v>620</v>
      </c>
      <c r="D23" s="46" t="s">
        <v>616</v>
      </c>
      <c r="E23" s="47" t="s">
        <v>616</v>
      </c>
      <c r="F23" s="15">
        <v>5.6000000000000005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5" t="s">
        <v>621</v>
      </c>
      <c r="C24" s="15" t="s">
        <v>622</v>
      </c>
      <c r="D24" s="46" t="s">
        <v>616</v>
      </c>
      <c r="E24" s="47" t="s">
        <v>616</v>
      </c>
      <c r="F24" s="15">
        <v>0.8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5" t="s">
        <v>623</v>
      </c>
      <c r="C25" s="15" t="s">
        <v>624</v>
      </c>
      <c r="D25" s="46" t="s">
        <v>616</v>
      </c>
      <c r="E25" s="47" t="s">
        <v>616</v>
      </c>
      <c r="F25" s="15">
        <v>2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5" t="s">
        <v>625</v>
      </c>
      <c r="C26" s="15" t="s">
        <v>626</v>
      </c>
      <c r="D26" s="46" t="s">
        <v>616</v>
      </c>
      <c r="E26" s="47" t="s">
        <v>616</v>
      </c>
      <c r="F26" s="15">
        <v>0.5</v>
      </c>
      <c r="G26" s="15"/>
      <c r="H26" s="15"/>
      <c r="I26" s="34">
        <f t="shared" ref="I26:I44" si="1">H26/F26</f>
        <v>0</v>
      </c>
    </row>
    <row r="27" spans="1:9" ht="15.6" customHeight="1" x14ac:dyDescent="0.25">
      <c r="A27" s="13">
        <v>23</v>
      </c>
      <c r="B27" s="15" t="s">
        <v>627</v>
      </c>
      <c r="C27" s="15" t="s">
        <v>628</v>
      </c>
      <c r="D27" s="46" t="s">
        <v>616</v>
      </c>
      <c r="E27" s="47" t="s">
        <v>616</v>
      </c>
      <c r="F27" s="15">
        <v>7.4</v>
      </c>
      <c r="G27" s="15"/>
      <c r="H27" s="15"/>
      <c r="I27" s="34">
        <f t="shared" si="1"/>
        <v>0</v>
      </c>
    </row>
    <row r="28" spans="1:9" ht="15.6" customHeight="1" x14ac:dyDescent="0.25">
      <c r="A28" s="13">
        <v>24</v>
      </c>
      <c r="B28" s="15" t="s">
        <v>629</v>
      </c>
      <c r="C28" s="15" t="s">
        <v>630</v>
      </c>
      <c r="D28" s="46" t="s">
        <v>616</v>
      </c>
      <c r="E28" s="47" t="s">
        <v>616</v>
      </c>
      <c r="F28" s="15">
        <v>1.1000000000000001</v>
      </c>
      <c r="G28" s="15"/>
      <c r="H28" s="15"/>
      <c r="I28" s="34">
        <f t="shared" si="1"/>
        <v>0</v>
      </c>
    </row>
    <row r="29" spans="1:9" ht="15.6" customHeight="1" x14ac:dyDescent="0.25">
      <c r="A29" s="13">
        <v>25</v>
      </c>
      <c r="B29" s="15" t="s">
        <v>631</v>
      </c>
      <c r="C29" s="15" t="s">
        <v>632</v>
      </c>
      <c r="D29" s="46" t="s">
        <v>581</v>
      </c>
      <c r="E29" s="47" t="s">
        <v>581</v>
      </c>
      <c r="F29" s="15">
        <v>1.4</v>
      </c>
      <c r="G29" s="15"/>
      <c r="H29" s="15"/>
      <c r="I29" s="34">
        <f t="shared" si="1"/>
        <v>0</v>
      </c>
    </row>
    <row r="30" spans="1:9" ht="15.6" customHeight="1" x14ac:dyDescent="0.25">
      <c r="A30" s="13">
        <v>26</v>
      </c>
      <c r="B30" s="15" t="s">
        <v>633</v>
      </c>
      <c r="C30" s="15" t="s">
        <v>634</v>
      </c>
      <c r="D30" s="46" t="s">
        <v>379</v>
      </c>
      <c r="E30" s="47" t="s">
        <v>379</v>
      </c>
      <c r="F30" s="15">
        <v>0.5</v>
      </c>
      <c r="G30" s="15"/>
      <c r="H30" s="15"/>
      <c r="I30" s="34">
        <f t="shared" si="1"/>
        <v>0</v>
      </c>
    </row>
    <row r="31" spans="1:9" ht="15.6" customHeight="1" x14ac:dyDescent="0.25">
      <c r="A31" s="13">
        <v>27</v>
      </c>
      <c r="B31" s="15" t="s">
        <v>635</v>
      </c>
      <c r="C31" s="15" t="s">
        <v>636</v>
      </c>
      <c r="D31" s="57" t="s">
        <v>379</v>
      </c>
      <c r="E31" s="58" t="s">
        <v>379</v>
      </c>
      <c r="F31" s="15">
        <v>0.5</v>
      </c>
      <c r="G31" s="15"/>
      <c r="H31" s="15"/>
      <c r="I31" s="34">
        <f t="shared" si="1"/>
        <v>0</v>
      </c>
    </row>
    <row r="32" spans="1:9" ht="15.6" customHeight="1" x14ac:dyDescent="0.25">
      <c r="A32" s="13">
        <v>28</v>
      </c>
      <c r="B32" s="15" t="s">
        <v>637</v>
      </c>
      <c r="C32" s="15" t="s">
        <v>638</v>
      </c>
      <c r="D32" s="46" t="s">
        <v>379</v>
      </c>
      <c r="E32" s="47" t="s">
        <v>379</v>
      </c>
      <c r="F32" s="15">
        <v>1.6</v>
      </c>
      <c r="G32" s="15"/>
      <c r="H32" s="15"/>
      <c r="I32" s="34">
        <f t="shared" si="1"/>
        <v>0</v>
      </c>
    </row>
    <row r="33" spans="1:9" ht="15.6" customHeight="1" x14ac:dyDescent="0.25">
      <c r="A33" s="13">
        <v>29</v>
      </c>
      <c r="B33" s="15" t="s">
        <v>639</v>
      </c>
      <c r="C33" s="15" t="s">
        <v>640</v>
      </c>
      <c r="D33" s="46" t="s">
        <v>379</v>
      </c>
      <c r="E33" s="47" t="s">
        <v>379</v>
      </c>
      <c r="F33" s="15">
        <v>0.5</v>
      </c>
      <c r="G33" s="15"/>
      <c r="H33" s="15"/>
      <c r="I33" s="34">
        <f t="shared" si="1"/>
        <v>0</v>
      </c>
    </row>
    <row r="34" spans="1:9" ht="15.6" customHeight="1" x14ac:dyDescent="0.25">
      <c r="A34" s="13">
        <v>30</v>
      </c>
      <c r="B34" s="15" t="s">
        <v>641</v>
      </c>
      <c r="C34" s="15" t="s">
        <v>642</v>
      </c>
      <c r="D34" s="46" t="s">
        <v>379</v>
      </c>
      <c r="E34" s="47" t="s">
        <v>379</v>
      </c>
      <c r="F34" s="15">
        <v>1</v>
      </c>
      <c r="G34" s="15"/>
      <c r="H34" s="15"/>
      <c r="I34" s="34">
        <f t="shared" si="1"/>
        <v>0</v>
      </c>
    </row>
    <row r="35" spans="1:9" ht="15.6" customHeight="1" x14ac:dyDescent="0.25">
      <c r="A35" s="13">
        <v>31</v>
      </c>
      <c r="B35" s="15" t="s">
        <v>643</v>
      </c>
      <c r="C35" s="15" t="s">
        <v>644</v>
      </c>
      <c r="D35" s="46" t="s">
        <v>379</v>
      </c>
      <c r="E35" s="47" t="s">
        <v>379</v>
      </c>
      <c r="F35" s="15">
        <v>4.4000000000000004</v>
      </c>
      <c r="G35" s="15"/>
      <c r="H35" s="15"/>
      <c r="I35" s="34">
        <f t="shared" si="1"/>
        <v>0</v>
      </c>
    </row>
    <row r="36" spans="1:9" ht="15.6" customHeight="1" x14ac:dyDescent="0.25">
      <c r="A36" s="13">
        <v>32</v>
      </c>
      <c r="B36" s="15" t="s">
        <v>645</v>
      </c>
      <c r="C36" s="15" t="s">
        <v>646</v>
      </c>
      <c r="D36" s="46" t="s">
        <v>379</v>
      </c>
      <c r="E36" s="47" t="s">
        <v>379</v>
      </c>
      <c r="F36" s="15">
        <v>1.1000000000000001</v>
      </c>
      <c r="G36" s="15"/>
      <c r="H36" s="15"/>
      <c r="I36" s="34">
        <f t="shared" si="1"/>
        <v>0</v>
      </c>
    </row>
    <row r="37" spans="1:9" ht="15.6" customHeight="1" x14ac:dyDescent="0.25">
      <c r="A37" s="13">
        <v>33</v>
      </c>
      <c r="B37" s="15" t="s">
        <v>647</v>
      </c>
      <c r="C37" s="15" t="s">
        <v>648</v>
      </c>
      <c r="D37" s="46" t="s">
        <v>379</v>
      </c>
      <c r="E37" s="47" t="s">
        <v>379</v>
      </c>
      <c r="F37" s="15">
        <v>0.8</v>
      </c>
      <c r="G37" s="15"/>
      <c r="H37" s="15"/>
      <c r="I37" s="34">
        <f t="shared" si="1"/>
        <v>0</v>
      </c>
    </row>
    <row r="38" spans="1:9" ht="15.6" customHeight="1" x14ac:dyDescent="0.25">
      <c r="A38" s="13">
        <v>34</v>
      </c>
      <c r="B38" s="15" t="s">
        <v>649</v>
      </c>
      <c r="C38" s="15" t="s">
        <v>650</v>
      </c>
      <c r="D38" s="46" t="s">
        <v>651</v>
      </c>
      <c r="E38" s="47" t="s">
        <v>651</v>
      </c>
      <c r="F38" s="15">
        <v>1.7</v>
      </c>
      <c r="G38" s="15"/>
      <c r="H38" s="15"/>
      <c r="I38" s="34">
        <f t="shared" si="1"/>
        <v>0</v>
      </c>
    </row>
    <row r="39" spans="1:9" ht="15.6" customHeight="1" x14ac:dyDescent="0.25">
      <c r="A39" s="13">
        <v>35</v>
      </c>
      <c r="B39" s="15" t="s">
        <v>652</v>
      </c>
      <c r="C39" s="15" t="s">
        <v>653</v>
      </c>
      <c r="D39" s="46" t="s">
        <v>379</v>
      </c>
      <c r="E39" s="47" t="s">
        <v>379</v>
      </c>
      <c r="F39" s="15">
        <v>2.2000000000000002</v>
      </c>
      <c r="G39" s="15"/>
      <c r="H39" s="15"/>
      <c r="I39" s="34">
        <f t="shared" si="1"/>
        <v>0</v>
      </c>
    </row>
    <row r="40" spans="1:9" ht="15.6" customHeight="1" x14ac:dyDescent="0.25">
      <c r="A40" s="13">
        <v>36</v>
      </c>
      <c r="B40" s="15" t="s">
        <v>654</v>
      </c>
      <c r="C40" s="15" t="s">
        <v>655</v>
      </c>
      <c r="D40" s="46" t="s">
        <v>379</v>
      </c>
      <c r="E40" s="47" t="s">
        <v>379</v>
      </c>
      <c r="F40" s="15">
        <v>1.4</v>
      </c>
      <c r="G40" s="15"/>
      <c r="H40" s="15"/>
      <c r="I40" s="34">
        <f t="shared" si="1"/>
        <v>0</v>
      </c>
    </row>
    <row r="41" spans="1:9" ht="15.6" customHeight="1" x14ac:dyDescent="0.25">
      <c r="A41" s="13">
        <v>37</v>
      </c>
      <c r="B41" s="15" t="s">
        <v>656</v>
      </c>
      <c r="C41" s="15" t="s">
        <v>657</v>
      </c>
      <c r="D41" s="46" t="s">
        <v>658</v>
      </c>
      <c r="E41" s="47" t="s">
        <v>658</v>
      </c>
      <c r="F41" s="15">
        <v>1.5</v>
      </c>
      <c r="G41" s="15"/>
      <c r="H41" s="15"/>
      <c r="I41" s="34">
        <f t="shared" si="1"/>
        <v>0</v>
      </c>
    </row>
    <row r="42" spans="1:9" ht="15.6" customHeight="1" x14ac:dyDescent="0.25">
      <c r="A42" s="13">
        <v>38</v>
      </c>
      <c r="B42" s="15" t="s">
        <v>659</v>
      </c>
      <c r="C42" s="15" t="s">
        <v>660</v>
      </c>
      <c r="D42" s="46" t="s">
        <v>658</v>
      </c>
      <c r="E42" s="47" t="s">
        <v>658</v>
      </c>
      <c r="F42" s="15">
        <v>3</v>
      </c>
      <c r="G42" s="15"/>
      <c r="H42" s="15"/>
      <c r="I42" s="34">
        <f t="shared" si="1"/>
        <v>0</v>
      </c>
    </row>
    <row r="43" spans="1:9" ht="15.6" customHeight="1" x14ac:dyDescent="0.25">
      <c r="A43" s="13">
        <v>39</v>
      </c>
      <c r="B43" s="15" t="s">
        <v>661</v>
      </c>
      <c r="C43" s="15" t="s">
        <v>662</v>
      </c>
      <c r="D43" s="46" t="s">
        <v>379</v>
      </c>
      <c r="E43" s="47" t="s">
        <v>379</v>
      </c>
      <c r="F43" s="15">
        <v>1.1000000000000001</v>
      </c>
      <c r="G43" s="15"/>
      <c r="H43" s="15"/>
      <c r="I43" s="34">
        <f t="shared" si="1"/>
        <v>0</v>
      </c>
    </row>
    <row r="44" spans="1:9" ht="15.6" customHeight="1" x14ac:dyDescent="0.25">
      <c r="A44" s="13">
        <v>40</v>
      </c>
      <c r="B44" s="15" t="s">
        <v>663</v>
      </c>
      <c r="C44" s="15" t="s">
        <v>664</v>
      </c>
      <c r="D44" s="46" t="s">
        <v>658</v>
      </c>
      <c r="E44" s="47" t="s">
        <v>658</v>
      </c>
      <c r="F44" s="15">
        <v>0.5</v>
      </c>
      <c r="G44" s="15"/>
      <c r="H44" s="15"/>
      <c r="I44" s="34">
        <f t="shared" si="1"/>
        <v>0</v>
      </c>
    </row>
    <row r="45" spans="1:9" ht="15.6" customHeight="1" x14ac:dyDescent="0.25">
      <c r="A45" s="13">
        <v>41</v>
      </c>
      <c r="B45" s="15" t="s">
        <v>665</v>
      </c>
      <c r="C45" s="15" t="s">
        <v>666</v>
      </c>
      <c r="D45" s="46" t="s">
        <v>667</v>
      </c>
      <c r="E45" s="47" t="s">
        <v>667</v>
      </c>
      <c r="F45" s="15">
        <v>1.7</v>
      </c>
      <c r="G45" s="19"/>
      <c r="H45" s="19"/>
      <c r="I45" s="34">
        <f>H45/F45</f>
        <v>0</v>
      </c>
    </row>
    <row r="46" spans="1:9" ht="15.6" customHeight="1" x14ac:dyDescent="0.25">
      <c r="A46" s="13">
        <v>42</v>
      </c>
      <c r="B46" s="15" t="s">
        <v>668</v>
      </c>
      <c r="C46" s="15" t="s">
        <v>669</v>
      </c>
      <c r="D46" s="46" t="s">
        <v>379</v>
      </c>
      <c r="E46" s="47" t="s">
        <v>379</v>
      </c>
      <c r="F46" s="15">
        <v>11</v>
      </c>
      <c r="G46" s="19"/>
      <c r="H46" s="19"/>
      <c r="I46" s="34">
        <f>H46/F46</f>
        <v>0</v>
      </c>
    </row>
    <row r="47" spans="1:9" ht="16.8" customHeight="1" x14ac:dyDescent="0.25">
      <c r="A47" s="39" t="s">
        <v>1769</v>
      </c>
      <c r="B47" s="39"/>
      <c r="C47" s="39"/>
      <c r="D47" s="39" t="s">
        <v>1961</v>
      </c>
      <c r="E47" s="39"/>
      <c r="F47" s="12">
        <f>SUM(F5:F46)</f>
        <v>195.01</v>
      </c>
      <c r="G47" s="20"/>
      <c r="H47" s="12">
        <f>SUM(H5:H46)</f>
        <v>0</v>
      </c>
      <c r="I47" s="35">
        <f>H47/F47</f>
        <v>0</v>
      </c>
    </row>
  </sheetData>
  <mergeCells count="50">
    <mergeCell ref="D23:E23"/>
    <mergeCell ref="D24:E24"/>
    <mergeCell ref="D25:E25"/>
    <mergeCell ref="D45:E45"/>
    <mergeCell ref="D46:E46"/>
    <mergeCell ref="D34:E34"/>
    <mergeCell ref="D35:E35"/>
    <mergeCell ref="D36:E36"/>
    <mergeCell ref="D26:E26"/>
    <mergeCell ref="D27:E27"/>
    <mergeCell ref="D28:E28"/>
    <mergeCell ref="D29:E29"/>
    <mergeCell ref="D30:E30"/>
    <mergeCell ref="D33:E33"/>
    <mergeCell ref="D44:E44"/>
    <mergeCell ref="D38:E38"/>
    <mergeCell ref="A47:C47"/>
    <mergeCell ref="D47:E47"/>
    <mergeCell ref="D32:E32"/>
    <mergeCell ref="D31:E31"/>
    <mergeCell ref="D37:E37"/>
    <mergeCell ref="D39:E39"/>
    <mergeCell ref="D40:E40"/>
    <mergeCell ref="D41:E41"/>
    <mergeCell ref="D42:E42"/>
    <mergeCell ref="D43:E43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F6E0-96BC-428F-B984-7E07FA06BE80}">
  <sheetPr codeName="Sheet14"/>
  <dimension ref="A1:I98"/>
  <sheetViews>
    <sheetView zoomScaleNormal="100" workbookViewId="0">
      <selection activeCell="A102" sqref="A102:XFD196"/>
    </sheetView>
  </sheetViews>
  <sheetFormatPr defaultRowHeight="13.8" x14ac:dyDescent="0.25"/>
  <cols>
    <col min="1" max="1" width="6.5546875" style="4" customWidth="1"/>
    <col min="2" max="2" width="14.21875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9" t="s">
        <v>670</v>
      </c>
      <c r="C5" s="19" t="s">
        <v>671</v>
      </c>
      <c r="D5" s="46" t="s">
        <v>1963</v>
      </c>
      <c r="E5" s="47" t="s">
        <v>304</v>
      </c>
      <c r="F5" s="19">
        <v>1.5</v>
      </c>
      <c r="G5" s="19"/>
      <c r="H5" s="19"/>
      <c r="I5" s="34">
        <f t="shared" ref="I5:I26" si="0">H5/F5</f>
        <v>0</v>
      </c>
    </row>
    <row r="6" spans="1:9" ht="15.6" customHeight="1" x14ac:dyDescent="0.25">
      <c r="A6" s="13">
        <v>2</v>
      </c>
      <c r="B6" s="19" t="s">
        <v>672</v>
      </c>
      <c r="C6" s="19" t="s">
        <v>673</v>
      </c>
      <c r="D6" s="46" t="s">
        <v>1964</v>
      </c>
      <c r="E6" s="47" t="s">
        <v>304</v>
      </c>
      <c r="F6" s="19">
        <v>3.5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9" t="s">
        <v>674</v>
      </c>
      <c r="C7" s="19" t="s">
        <v>675</v>
      </c>
      <c r="D7" s="46" t="s">
        <v>1965</v>
      </c>
      <c r="E7" s="47" t="s">
        <v>304</v>
      </c>
      <c r="F7" s="19">
        <v>3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9" t="s">
        <v>676</v>
      </c>
      <c r="C8" s="19" t="s">
        <v>677</v>
      </c>
      <c r="D8" s="46" t="s">
        <v>1966</v>
      </c>
      <c r="E8" s="47" t="s">
        <v>304</v>
      </c>
      <c r="F8" s="19">
        <v>1.2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9" t="s">
        <v>678</v>
      </c>
      <c r="C9" s="19" t="s">
        <v>679</v>
      </c>
      <c r="D9" s="46" t="s">
        <v>1967</v>
      </c>
      <c r="E9" s="47" t="s">
        <v>304</v>
      </c>
      <c r="F9" s="19">
        <v>1.5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9" t="s">
        <v>680</v>
      </c>
      <c r="C10" s="19" t="s">
        <v>681</v>
      </c>
      <c r="D10" s="46" t="s">
        <v>682</v>
      </c>
      <c r="E10" s="47" t="s">
        <v>682</v>
      </c>
      <c r="F10" s="19">
        <v>6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9" t="s">
        <v>683</v>
      </c>
      <c r="C11" s="19" t="s">
        <v>684</v>
      </c>
      <c r="D11" s="46" t="s">
        <v>1968</v>
      </c>
      <c r="E11" s="47" t="s">
        <v>304</v>
      </c>
      <c r="F11" s="19">
        <v>12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9" t="s">
        <v>685</v>
      </c>
      <c r="C12" s="19" t="s">
        <v>686</v>
      </c>
      <c r="D12" s="46" t="s">
        <v>1969</v>
      </c>
      <c r="E12" s="47" t="s">
        <v>304</v>
      </c>
      <c r="F12" s="19">
        <v>0.5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9" t="s">
        <v>687</v>
      </c>
      <c r="C13" s="19" t="s">
        <v>688</v>
      </c>
      <c r="D13" s="46" t="s">
        <v>682</v>
      </c>
      <c r="E13" s="47" t="s">
        <v>682</v>
      </c>
      <c r="F13" s="19">
        <v>1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9" t="s">
        <v>689</v>
      </c>
      <c r="C14" s="19" t="s">
        <v>690</v>
      </c>
      <c r="D14" s="46" t="s">
        <v>682</v>
      </c>
      <c r="E14" s="47" t="s">
        <v>682</v>
      </c>
      <c r="F14" s="19">
        <v>13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9" t="s">
        <v>691</v>
      </c>
      <c r="C15" s="19" t="s">
        <v>692</v>
      </c>
      <c r="D15" s="46" t="s">
        <v>1970</v>
      </c>
      <c r="E15" s="47" t="s">
        <v>304</v>
      </c>
      <c r="F15" s="19">
        <v>2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9" t="s">
        <v>693</v>
      </c>
      <c r="C16" s="19" t="s">
        <v>694</v>
      </c>
      <c r="D16" s="46" t="s">
        <v>1971</v>
      </c>
      <c r="E16" s="47" t="s">
        <v>304</v>
      </c>
      <c r="F16" s="19">
        <v>6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9" t="s">
        <v>695</v>
      </c>
      <c r="C17" s="19" t="s">
        <v>696</v>
      </c>
      <c r="D17" s="46" t="s">
        <v>1972</v>
      </c>
      <c r="E17" s="47" t="s">
        <v>304</v>
      </c>
      <c r="F17" s="19">
        <v>6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9" t="s">
        <v>697</v>
      </c>
      <c r="C18" s="19" t="s">
        <v>698</v>
      </c>
      <c r="D18" s="46" t="s">
        <v>1973</v>
      </c>
      <c r="E18" s="47" t="s">
        <v>699</v>
      </c>
      <c r="F18" s="19">
        <v>5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9" t="s">
        <v>700</v>
      </c>
      <c r="C19" s="19" t="s">
        <v>701</v>
      </c>
      <c r="D19" s="46" t="s">
        <v>304</v>
      </c>
      <c r="E19" s="47" t="s">
        <v>304</v>
      </c>
      <c r="F19" s="19">
        <v>2.2000000000000002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9" t="s">
        <v>702</v>
      </c>
      <c r="C20" s="19" t="s">
        <v>703</v>
      </c>
      <c r="D20" s="46" t="s">
        <v>416</v>
      </c>
      <c r="E20" s="47" t="s">
        <v>416</v>
      </c>
      <c r="F20" s="19">
        <v>0.9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9" t="s">
        <v>704</v>
      </c>
      <c r="C21" s="19" t="s">
        <v>705</v>
      </c>
      <c r="D21" s="46" t="s">
        <v>706</v>
      </c>
      <c r="E21" s="47" t="s">
        <v>706</v>
      </c>
      <c r="F21" s="19">
        <v>8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9" t="s">
        <v>707</v>
      </c>
      <c r="C22" s="19" t="s">
        <v>708</v>
      </c>
      <c r="D22" s="46" t="s">
        <v>1974</v>
      </c>
      <c r="E22" s="47" t="s">
        <v>304</v>
      </c>
      <c r="F22" s="19">
        <v>1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9" t="s">
        <v>709</v>
      </c>
      <c r="C23" s="19" t="s">
        <v>710</v>
      </c>
      <c r="D23" s="46" t="s">
        <v>711</v>
      </c>
      <c r="E23" s="47" t="s">
        <v>711</v>
      </c>
      <c r="F23" s="19">
        <v>21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9" t="s">
        <v>712</v>
      </c>
      <c r="C24" s="19" t="s">
        <v>713</v>
      </c>
      <c r="D24" s="46" t="s">
        <v>711</v>
      </c>
      <c r="E24" s="47" t="s">
        <v>711</v>
      </c>
      <c r="F24" s="19">
        <v>9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9" t="s">
        <v>714</v>
      </c>
      <c r="C25" s="19" t="s">
        <v>715</v>
      </c>
      <c r="D25" s="46" t="s">
        <v>304</v>
      </c>
      <c r="E25" s="47" t="s">
        <v>304</v>
      </c>
      <c r="F25" s="19">
        <v>0.8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9" t="s">
        <v>716</v>
      </c>
      <c r="C26" s="19" t="s">
        <v>717</v>
      </c>
      <c r="D26" s="46" t="s">
        <v>1975</v>
      </c>
      <c r="E26" s="47" t="s">
        <v>304</v>
      </c>
      <c r="F26" s="19">
        <v>0.6</v>
      </c>
      <c r="G26" s="19"/>
      <c r="H26" s="19"/>
      <c r="I26" s="34">
        <f t="shared" si="0"/>
        <v>0</v>
      </c>
    </row>
    <row r="27" spans="1:9" ht="15.6" customHeight="1" x14ac:dyDescent="0.25">
      <c r="A27" s="13">
        <v>23</v>
      </c>
      <c r="B27" s="19" t="s">
        <v>718</v>
      </c>
      <c r="C27" s="19" t="s">
        <v>719</v>
      </c>
      <c r="D27" s="46" t="s">
        <v>1976</v>
      </c>
      <c r="E27" s="47" t="s">
        <v>699</v>
      </c>
      <c r="F27" s="19">
        <v>0.5</v>
      </c>
      <c r="G27" s="19"/>
      <c r="H27" s="19"/>
      <c r="I27" s="34">
        <f t="shared" ref="I27:I90" si="1">H27/F27</f>
        <v>0</v>
      </c>
    </row>
    <row r="28" spans="1:9" ht="15.6" customHeight="1" x14ac:dyDescent="0.25">
      <c r="A28" s="13">
        <v>24</v>
      </c>
      <c r="B28" s="19" t="s">
        <v>720</v>
      </c>
      <c r="C28" s="19" t="s">
        <v>721</v>
      </c>
      <c r="D28" s="46" t="s">
        <v>1977</v>
      </c>
      <c r="E28" s="47" t="s">
        <v>699</v>
      </c>
      <c r="F28" s="19">
        <v>0.6</v>
      </c>
      <c r="G28" s="19"/>
      <c r="H28" s="19"/>
      <c r="I28" s="34">
        <f t="shared" si="1"/>
        <v>0</v>
      </c>
    </row>
    <row r="29" spans="1:9" ht="15.6" customHeight="1" x14ac:dyDescent="0.25">
      <c r="A29" s="13">
        <v>25</v>
      </c>
      <c r="B29" s="19" t="s">
        <v>722</v>
      </c>
      <c r="C29" s="19" t="s">
        <v>723</v>
      </c>
      <c r="D29" s="46" t="s">
        <v>1978</v>
      </c>
      <c r="E29" s="47" t="s">
        <v>304</v>
      </c>
      <c r="F29" s="19">
        <v>7</v>
      </c>
      <c r="G29" s="19"/>
      <c r="H29" s="19"/>
      <c r="I29" s="34">
        <f t="shared" si="1"/>
        <v>0</v>
      </c>
    </row>
    <row r="30" spans="1:9" ht="15.6" customHeight="1" x14ac:dyDescent="0.25">
      <c r="A30" s="13">
        <v>26</v>
      </c>
      <c r="B30" s="19" t="s">
        <v>724</v>
      </c>
      <c r="C30" s="19" t="s">
        <v>725</v>
      </c>
      <c r="D30" s="46" t="s">
        <v>1979</v>
      </c>
      <c r="E30" s="47" t="s">
        <v>304</v>
      </c>
      <c r="F30" s="19">
        <v>0.5</v>
      </c>
      <c r="G30" s="19"/>
      <c r="H30" s="19"/>
      <c r="I30" s="34">
        <f t="shared" si="1"/>
        <v>0</v>
      </c>
    </row>
    <row r="31" spans="1:9" ht="15.6" customHeight="1" x14ac:dyDescent="0.25">
      <c r="A31" s="13">
        <v>27</v>
      </c>
      <c r="B31" s="19" t="s">
        <v>726</v>
      </c>
      <c r="C31" s="19" t="s">
        <v>727</v>
      </c>
      <c r="D31" s="46" t="s">
        <v>728</v>
      </c>
      <c r="E31" s="47" t="s">
        <v>728</v>
      </c>
      <c r="F31" s="19">
        <v>8</v>
      </c>
      <c r="G31" s="19"/>
      <c r="H31" s="19"/>
      <c r="I31" s="34">
        <f t="shared" si="1"/>
        <v>0</v>
      </c>
    </row>
    <row r="32" spans="1:9" ht="15.6" customHeight="1" x14ac:dyDescent="0.25">
      <c r="A32" s="13">
        <v>28</v>
      </c>
      <c r="B32" s="19" t="s">
        <v>729</v>
      </c>
      <c r="C32" s="19" t="s">
        <v>730</v>
      </c>
      <c r="D32" s="46" t="s">
        <v>1980</v>
      </c>
      <c r="E32" s="47" t="s">
        <v>304</v>
      </c>
      <c r="F32" s="19">
        <v>3</v>
      </c>
      <c r="G32" s="19"/>
      <c r="H32" s="19"/>
      <c r="I32" s="34">
        <f t="shared" si="1"/>
        <v>0</v>
      </c>
    </row>
    <row r="33" spans="1:9" ht="15.6" customHeight="1" x14ac:dyDescent="0.25">
      <c r="A33" s="13">
        <v>29</v>
      </c>
      <c r="B33" s="19" t="s">
        <v>731</v>
      </c>
      <c r="C33" s="19" t="s">
        <v>732</v>
      </c>
      <c r="D33" s="46" t="s">
        <v>1981</v>
      </c>
      <c r="E33" s="47" t="s">
        <v>304</v>
      </c>
      <c r="F33" s="19">
        <v>6.5</v>
      </c>
      <c r="G33" s="19"/>
      <c r="H33" s="19"/>
      <c r="I33" s="34">
        <f t="shared" si="1"/>
        <v>0</v>
      </c>
    </row>
    <row r="34" spans="1:9" ht="15.6" customHeight="1" x14ac:dyDescent="0.25">
      <c r="A34" s="13">
        <v>30</v>
      </c>
      <c r="B34" s="19" t="s">
        <v>733</v>
      </c>
      <c r="C34" s="19" t="s">
        <v>734</v>
      </c>
      <c r="D34" s="46" t="s">
        <v>1982</v>
      </c>
      <c r="E34" s="47" t="s">
        <v>699</v>
      </c>
      <c r="F34" s="19">
        <v>0.9</v>
      </c>
      <c r="G34" s="19"/>
      <c r="H34" s="19"/>
      <c r="I34" s="34">
        <f t="shared" si="1"/>
        <v>0</v>
      </c>
    </row>
    <row r="35" spans="1:9" ht="15.6" customHeight="1" x14ac:dyDescent="0.25">
      <c r="A35" s="13">
        <v>31</v>
      </c>
      <c r="B35" s="19" t="s">
        <v>735</v>
      </c>
      <c r="C35" s="19" t="s">
        <v>736</v>
      </c>
      <c r="D35" s="46" t="s">
        <v>1983</v>
      </c>
      <c r="E35" s="47" t="s">
        <v>304</v>
      </c>
      <c r="F35" s="19">
        <v>1.1000000000000001</v>
      </c>
      <c r="G35" s="19"/>
      <c r="H35" s="19"/>
      <c r="I35" s="34">
        <f t="shared" si="1"/>
        <v>0</v>
      </c>
    </row>
    <row r="36" spans="1:9" ht="15.6" customHeight="1" x14ac:dyDescent="0.25">
      <c r="A36" s="13">
        <v>32</v>
      </c>
      <c r="B36" s="19" t="s">
        <v>737</v>
      </c>
      <c r="C36" s="19" t="s">
        <v>738</v>
      </c>
      <c r="D36" s="46" t="s">
        <v>1984</v>
      </c>
      <c r="E36" s="47" t="s">
        <v>304</v>
      </c>
      <c r="F36" s="19">
        <v>6</v>
      </c>
      <c r="G36" s="19"/>
      <c r="H36" s="19"/>
      <c r="I36" s="34">
        <f t="shared" si="1"/>
        <v>0</v>
      </c>
    </row>
    <row r="37" spans="1:9" ht="15.6" customHeight="1" x14ac:dyDescent="0.25">
      <c r="A37" s="13">
        <v>33</v>
      </c>
      <c r="B37" s="19" t="s">
        <v>739</v>
      </c>
      <c r="C37" s="19" t="s">
        <v>740</v>
      </c>
      <c r="D37" s="46" t="s">
        <v>1985</v>
      </c>
      <c r="E37" s="47" t="s">
        <v>699</v>
      </c>
      <c r="F37" s="19">
        <v>0.6</v>
      </c>
      <c r="G37" s="19"/>
      <c r="H37" s="19"/>
      <c r="I37" s="34">
        <f t="shared" si="1"/>
        <v>0</v>
      </c>
    </row>
    <row r="38" spans="1:9" ht="15.6" customHeight="1" x14ac:dyDescent="0.25">
      <c r="A38" s="13">
        <v>34</v>
      </c>
      <c r="B38" s="19" t="s">
        <v>741</v>
      </c>
      <c r="C38" s="19" t="s">
        <v>742</v>
      </c>
      <c r="D38" s="46" t="s">
        <v>1986</v>
      </c>
      <c r="E38" s="47" t="s">
        <v>304</v>
      </c>
      <c r="F38" s="19">
        <v>0.4</v>
      </c>
      <c r="G38" s="19"/>
      <c r="H38" s="19"/>
      <c r="I38" s="34">
        <f t="shared" si="1"/>
        <v>0</v>
      </c>
    </row>
    <row r="39" spans="1:9" ht="15.6" customHeight="1" x14ac:dyDescent="0.25">
      <c r="A39" s="13">
        <v>35</v>
      </c>
      <c r="B39" s="19" t="s">
        <v>743</v>
      </c>
      <c r="C39" s="19" t="s">
        <v>701</v>
      </c>
      <c r="D39" s="46" t="s">
        <v>1987</v>
      </c>
      <c r="E39" s="47" t="s">
        <v>304</v>
      </c>
      <c r="F39" s="19">
        <v>1.2</v>
      </c>
      <c r="G39" s="19"/>
      <c r="H39" s="19"/>
      <c r="I39" s="34">
        <f t="shared" si="1"/>
        <v>0</v>
      </c>
    </row>
    <row r="40" spans="1:9" ht="15.6" customHeight="1" x14ac:dyDescent="0.25">
      <c r="A40" s="13">
        <v>36</v>
      </c>
      <c r="B40" s="19" t="s">
        <v>744</v>
      </c>
      <c r="C40" s="19" t="s">
        <v>745</v>
      </c>
      <c r="D40" s="46" t="s">
        <v>1988</v>
      </c>
      <c r="E40" s="47" t="s">
        <v>304</v>
      </c>
      <c r="F40" s="19">
        <v>3.71</v>
      </c>
      <c r="G40" s="19"/>
      <c r="H40" s="19"/>
      <c r="I40" s="34">
        <f t="shared" si="1"/>
        <v>0</v>
      </c>
    </row>
    <row r="41" spans="1:9" ht="15.6" customHeight="1" x14ac:dyDescent="0.25">
      <c r="A41" s="13">
        <v>37</v>
      </c>
      <c r="B41" s="19" t="s">
        <v>746</v>
      </c>
      <c r="C41" s="19" t="s">
        <v>747</v>
      </c>
      <c r="D41" s="46" t="s">
        <v>1978</v>
      </c>
      <c r="E41" s="47" t="s">
        <v>304</v>
      </c>
      <c r="F41" s="19">
        <v>27</v>
      </c>
      <c r="G41" s="19"/>
      <c r="H41" s="19"/>
      <c r="I41" s="34">
        <f t="shared" si="1"/>
        <v>0</v>
      </c>
    </row>
    <row r="42" spans="1:9" ht="15.6" customHeight="1" x14ac:dyDescent="0.25">
      <c r="A42" s="13">
        <v>38</v>
      </c>
      <c r="B42" s="19" t="s">
        <v>748</v>
      </c>
      <c r="C42" s="19" t="s">
        <v>749</v>
      </c>
      <c r="D42" s="46" t="s">
        <v>1989</v>
      </c>
      <c r="E42" s="47" t="s">
        <v>304</v>
      </c>
      <c r="F42" s="19">
        <v>0.8</v>
      </c>
      <c r="G42" s="19"/>
      <c r="H42" s="19"/>
      <c r="I42" s="34">
        <f t="shared" si="1"/>
        <v>0</v>
      </c>
    </row>
    <row r="43" spans="1:9" ht="15.6" customHeight="1" x14ac:dyDescent="0.25">
      <c r="A43" s="13">
        <v>39</v>
      </c>
      <c r="B43" s="19" t="s">
        <v>750</v>
      </c>
      <c r="C43" s="19" t="s">
        <v>751</v>
      </c>
      <c r="D43" s="46" t="s">
        <v>1990</v>
      </c>
      <c r="E43" s="47" t="s">
        <v>304</v>
      </c>
      <c r="F43" s="19">
        <v>0.8</v>
      </c>
      <c r="G43" s="19"/>
      <c r="H43" s="19"/>
      <c r="I43" s="34">
        <f t="shared" si="1"/>
        <v>0</v>
      </c>
    </row>
    <row r="44" spans="1:9" ht="15.6" customHeight="1" x14ac:dyDescent="0.25">
      <c r="A44" s="13">
        <v>40</v>
      </c>
      <c r="B44" s="19" t="s">
        <v>752</v>
      </c>
      <c r="C44" s="19" t="s">
        <v>753</v>
      </c>
      <c r="D44" s="46" t="s">
        <v>1991</v>
      </c>
      <c r="E44" s="47" t="s">
        <v>304</v>
      </c>
      <c r="F44" s="19">
        <v>1.5</v>
      </c>
      <c r="G44" s="19"/>
      <c r="H44" s="19"/>
      <c r="I44" s="34">
        <f t="shared" si="1"/>
        <v>0</v>
      </c>
    </row>
    <row r="45" spans="1:9" ht="15.6" customHeight="1" x14ac:dyDescent="0.25">
      <c r="A45" s="13">
        <v>41</v>
      </c>
      <c r="B45" s="19" t="s">
        <v>754</v>
      </c>
      <c r="C45" s="19" t="s">
        <v>755</v>
      </c>
      <c r="D45" s="46" t="s">
        <v>1992</v>
      </c>
      <c r="E45" s="47" t="s">
        <v>304</v>
      </c>
      <c r="F45" s="19">
        <v>0.8</v>
      </c>
      <c r="G45" s="19"/>
      <c r="H45" s="19"/>
      <c r="I45" s="34">
        <f t="shared" si="1"/>
        <v>0</v>
      </c>
    </row>
    <row r="46" spans="1:9" ht="15.6" customHeight="1" x14ac:dyDescent="0.25">
      <c r="A46" s="13">
        <v>42</v>
      </c>
      <c r="B46" s="19" t="s">
        <v>756</v>
      </c>
      <c r="C46" s="19" t="s">
        <v>757</v>
      </c>
      <c r="D46" s="46" t="s">
        <v>1993</v>
      </c>
      <c r="E46" s="47" t="s">
        <v>304</v>
      </c>
      <c r="F46" s="19">
        <v>0.6</v>
      </c>
      <c r="G46" s="19"/>
      <c r="H46" s="19"/>
      <c r="I46" s="34">
        <f t="shared" si="1"/>
        <v>0</v>
      </c>
    </row>
    <row r="47" spans="1:9" ht="15.6" customHeight="1" x14ac:dyDescent="0.25">
      <c r="A47" s="13">
        <v>43</v>
      </c>
      <c r="B47" s="19" t="s">
        <v>758</v>
      </c>
      <c r="C47" s="19" t="s">
        <v>759</v>
      </c>
      <c r="D47" s="46" t="s">
        <v>1994</v>
      </c>
      <c r="E47" s="47" t="s">
        <v>304</v>
      </c>
      <c r="F47" s="19">
        <v>2.5</v>
      </c>
      <c r="G47" s="19"/>
      <c r="H47" s="19"/>
      <c r="I47" s="34">
        <f t="shared" si="1"/>
        <v>0</v>
      </c>
    </row>
    <row r="48" spans="1:9" ht="15.6" customHeight="1" x14ac:dyDescent="0.25">
      <c r="A48" s="13">
        <v>44</v>
      </c>
      <c r="B48" s="19" t="s">
        <v>760</v>
      </c>
      <c r="C48" s="19" t="s">
        <v>761</v>
      </c>
      <c r="D48" s="46" t="s">
        <v>1995</v>
      </c>
      <c r="E48" s="47" t="s">
        <v>699</v>
      </c>
      <c r="F48" s="19">
        <v>0.5</v>
      </c>
      <c r="G48" s="19"/>
      <c r="H48" s="19"/>
      <c r="I48" s="34">
        <f t="shared" si="1"/>
        <v>0</v>
      </c>
    </row>
    <row r="49" spans="1:9" ht="15.6" customHeight="1" x14ac:dyDescent="0.25">
      <c r="A49" s="13">
        <v>45</v>
      </c>
      <c r="B49" s="19" t="s">
        <v>762</v>
      </c>
      <c r="C49" s="19" t="s">
        <v>763</v>
      </c>
      <c r="D49" s="46" t="s">
        <v>1996</v>
      </c>
      <c r="E49" s="47" t="s">
        <v>304</v>
      </c>
      <c r="F49" s="19">
        <v>12</v>
      </c>
      <c r="G49" s="19"/>
      <c r="H49" s="19"/>
      <c r="I49" s="34">
        <f t="shared" si="1"/>
        <v>0</v>
      </c>
    </row>
    <row r="50" spans="1:9" ht="15.6" customHeight="1" x14ac:dyDescent="0.25">
      <c r="A50" s="13">
        <v>46</v>
      </c>
      <c r="B50" s="19" t="s">
        <v>764</v>
      </c>
      <c r="C50" s="19" t="s">
        <v>765</v>
      </c>
      <c r="D50" s="46" t="s">
        <v>1997</v>
      </c>
      <c r="E50" s="47" t="s">
        <v>304</v>
      </c>
      <c r="F50" s="19">
        <v>1.8</v>
      </c>
      <c r="G50" s="19"/>
      <c r="H50" s="19"/>
      <c r="I50" s="34">
        <f t="shared" si="1"/>
        <v>0</v>
      </c>
    </row>
    <row r="51" spans="1:9" ht="15.6" customHeight="1" x14ac:dyDescent="0.25">
      <c r="A51" s="13">
        <v>47</v>
      </c>
      <c r="B51" s="19" t="s">
        <v>766</v>
      </c>
      <c r="C51" s="19" t="s">
        <v>767</v>
      </c>
      <c r="D51" s="46" t="s">
        <v>1998</v>
      </c>
      <c r="E51" s="47" t="s">
        <v>699</v>
      </c>
      <c r="F51" s="19">
        <v>0.6</v>
      </c>
      <c r="G51" s="19"/>
      <c r="H51" s="19"/>
      <c r="I51" s="34">
        <f t="shared" si="1"/>
        <v>0</v>
      </c>
    </row>
    <row r="52" spans="1:9" ht="15.6" customHeight="1" x14ac:dyDescent="0.25">
      <c r="A52" s="13">
        <v>48</v>
      </c>
      <c r="B52" s="19" t="s">
        <v>768</v>
      </c>
      <c r="C52" s="19" t="s">
        <v>769</v>
      </c>
      <c r="D52" s="46" t="s">
        <v>1999</v>
      </c>
      <c r="E52" s="47" t="s">
        <v>699</v>
      </c>
      <c r="F52" s="19">
        <v>4</v>
      </c>
      <c r="G52" s="19"/>
      <c r="H52" s="19"/>
      <c r="I52" s="34">
        <f t="shared" si="1"/>
        <v>0</v>
      </c>
    </row>
    <row r="53" spans="1:9" ht="15.6" customHeight="1" x14ac:dyDescent="0.25">
      <c r="A53" s="13">
        <v>49</v>
      </c>
      <c r="B53" s="19" t="s">
        <v>770</v>
      </c>
      <c r="C53" s="19" t="s">
        <v>771</v>
      </c>
      <c r="D53" s="46" t="s">
        <v>2000</v>
      </c>
      <c r="E53" s="47" t="s">
        <v>304</v>
      </c>
      <c r="F53" s="19">
        <v>5</v>
      </c>
      <c r="G53" s="19"/>
      <c r="H53" s="19"/>
      <c r="I53" s="34">
        <f t="shared" si="1"/>
        <v>0</v>
      </c>
    </row>
    <row r="54" spans="1:9" ht="15.6" customHeight="1" x14ac:dyDescent="0.25">
      <c r="A54" s="13">
        <v>50</v>
      </c>
      <c r="B54" s="19" t="s">
        <v>772</v>
      </c>
      <c r="C54" s="19" t="s">
        <v>773</v>
      </c>
      <c r="D54" s="46" t="s">
        <v>774</v>
      </c>
      <c r="E54" s="47" t="s">
        <v>774</v>
      </c>
      <c r="F54" s="19">
        <v>10</v>
      </c>
      <c r="G54" s="19"/>
      <c r="H54" s="19"/>
      <c r="I54" s="34">
        <f t="shared" si="1"/>
        <v>0</v>
      </c>
    </row>
    <row r="55" spans="1:9" ht="15.6" customHeight="1" x14ac:dyDescent="0.25">
      <c r="A55" s="13">
        <v>51</v>
      </c>
      <c r="B55" s="19" t="s">
        <v>775</v>
      </c>
      <c r="C55" s="19" t="s">
        <v>776</v>
      </c>
      <c r="D55" s="46" t="s">
        <v>2001</v>
      </c>
      <c r="E55" s="47" t="s">
        <v>304</v>
      </c>
      <c r="F55" s="19">
        <v>2</v>
      </c>
      <c r="G55" s="19"/>
      <c r="H55" s="19"/>
      <c r="I55" s="34">
        <f t="shared" si="1"/>
        <v>0</v>
      </c>
    </row>
    <row r="56" spans="1:9" ht="15.6" customHeight="1" x14ac:dyDescent="0.25">
      <c r="A56" s="13">
        <v>52</v>
      </c>
      <c r="B56" s="19" t="s">
        <v>777</v>
      </c>
      <c r="C56" s="19" t="s">
        <v>778</v>
      </c>
      <c r="D56" s="46" t="s">
        <v>2002</v>
      </c>
      <c r="E56" s="47" t="s">
        <v>699</v>
      </c>
      <c r="F56" s="19">
        <v>3.5</v>
      </c>
      <c r="G56" s="19"/>
      <c r="H56" s="19"/>
      <c r="I56" s="34">
        <f t="shared" si="1"/>
        <v>0</v>
      </c>
    </row>
    <row r="57" spans="1:9" ht="15.6" customHeight="1" x14ac:dyDescent="0.25">
      <c r="A57" s="13">
        <v>53</v>
      </c>
      <c r="B57" s="19" t="s">
        <v>779</v>
      </c>
      <c r="C57" s="19" t="s">
        <v>780</v>
      </c>
      <c r="D57" s="46" t="s">
        <v>2003</v>
      </c>
      <c r="E57" s="47" t="s">
        <v>304</v>
      </c>
      <c r="F57" s="19">
        <v>6</v>
      </c>
      <c r="G57" s="19"/>
      <c r="H57" s="19"/>
      <c r="I57" s="34">
        <f t="shared" si="1"/>
        <v>0</v>
      </c>
    </row>
    <row r="58" spans="1:9" ht="15.6" customHeight="1" x14ac:dyDescent="0.25">
      <c r="A58" s="13">
        <v>54</v>
      </c>
      <c r="B58" s="19" t="s">
        <v>781</v>
      </c>
      <c r="C58" s="19" t="s">
        <v>719</v>
      </c>
      <c r="D58" s="46" t="s">
        <v>2004</v>
      </c>
      <c r="E58" s="47" t="s">
        <v>304</v>
      </c>
      <c r="F58" s="19">
        <v>1.1000000000000001</v>
      </c>
      <c r="G58" s="19"/>
      <c r="H58" s="19"/>
      <c r="I58" s="34">
        <f t="shared" si="1"/>
        <v>0</v>
      </c>
    </row>
    <row r="59" spans="1:9" ht="15.6" customHeight="1" x14ac:dyDescent="0.25">
      <c r="A59" s="13">
        <v>55</v>
      </c>
      <c r="B59" s="19" t="s">
        <v>782</v>
      </c>
      <c r="C59" s="19" t="s">
        <v>783</v>
      </c>
      <c r="D59" s="46" t="s">
        <v>2005</v>
      </c>
      <c r="E59" s="47" t="s">
        <v>699</v>
      </c>
      <c r="F59" s="19">
        <v>1.5</v>
      </c>
      <c r="G59" s="19"/>
      <c r="H59" s="19"/>
      <c r="I59" s="34">
        <f t="shared" si="1"/>
        <v>0</v>
      </c>
    </row>
    <row r="60" spans="1:9" ht="15.6" customHeight="1" x14ac:dyDescent="0.25">
      <c r="A60" s="13">
        <v>56</v>
      </c>
      <c r="B60" s="19" t="s">
        <v>784</v>
      </c>
      <c r="C60" s="19" t="s">
        <v>785</v>
      </c>
      <c r="D60" s="46" t="s">
        <v>2006</v>
      </c>
      <c r="E60" s="47" t="s">
        <v>304</v>
      </c>
      <c r="F60" s="19">
        <v>0.8</v>
      </c>
      <c r="G60" s="19"/>
      <c r="H60" s="19"/>
      <c r="I60" s="34">
        <f t="shared" si="1"/>
        <v>0</v>
      </c>
    </row>
    <row r="61" spans="1:9" ht="15.6" customHeight="1" x14ac:dyDescent="0.25">
      <c r="A61" s="13">
        <v>57</v>
      </c>
      <c r="B61" s="19" t="s">
        <v>786</v>
      </c>
      <c r="C61" s="19" t="s">
        <v>787</v>
      </c>
      <c r="D61" s="46" t="s">
        <v>2007</v>
      </c>
      <c r="E61" s="47" t="s">
        <v>699</v>
      </c>
      <c r="F61" s="19">
        <v>2.5</v>
      </c>
      <c r="G61" s="19"/>
      <c r="H61" s="19"/>
      <c r="I61" s="34">
        <f t="shared" si="1"/>
        <v>0</v>
      </c>
    </row>
    <row r="62" spans="1:9" ht="15.6" customHeight="1" x14ac:dyDescent="0.25">
      <c r="A62" s="13">
        <v>58</v>
      </c>
      <c r="B62" s="19" t="s">
        <v>788</v>
      </c>
      <c r="C62" s="19" t="s">
        <v>789</v>
      </c>
      <c r="D62" s="46" t="s">
        <v>2008</v>
      </c>
      <c r="E62" s="47" t="s">
        <v>304</v>
      </c>
      <c r="F62" s="19">
        <v>4</v>
      </c>
      <c r="G62" s="19"/>
      <c r="H62" s="19"/>
      <c r="I62" s="34">
        <f t="shared" si="1"/>
        <v>0</v>
      </c>
    </row>
    <row r="63" spans="1:9" ht="15.6" customHeight="1" x14ac:dyDescent="0.25">
      <c r="A63" s="13">
        <v>59</v>
      </c>
      <c r="B63" s="19" t="s">
        <v>790</v>
      </c>
      <c r="C63" s="19" t="s">
        <v>791</v>
      </c>
      <c r="D63" s="46" t="s">
        <v>2009</v>
      </c>
      <c r="E63" s="47" t="s">
        <v>699</v>
      </c>
      <c r="F63" s="19">
        <v>7</v>
      </c>
      <c r="G63" s="19"/>
      <c r="H63" s="19"/>
      <c r="I63" s="34">
        <f t="shared" si="1"/>
        <v>0</v>
      </c>
    </row>
    <row r="64" spans="1:9" ht="15.6" customHeight="1" x14ac:dyDescent="0.25">
      <c r="A64" s="13">
        <v>60</v>
      </c>
      <c r="B64" s="19" t="s">
        <v>792</v>
      </c>
      <c r="C64" s="19" t="s">
        <v>793</v>
      </c>
      <c r="D64" s="46" t="s">
        <v>2010</v>
      </c>
      <c r="E64" s="47" t="s">
        <v>304</v>
      </c>
      <c r="F64" s="19">
        <v>1.2</v>
      </c>
      <c r="G64" s="19"/>
      <c r="H64" s="19"/>
      <c r="I64" s="34">
        <f t="shared" si="1"/>
        <v>0</v>
      </c>
    </row>
    <row r="65" spans="1:9" ht="15.6" customHeight="1" x14ac:dyDescent="0.25">
      <c r="A65" s="13">
        <v>61</v>
      </c>
      <c r="B65" s="19" t="s">
        <v>794</v>
      </c>
      <c r="C65" s="19" t="s">
        <v>795</v>
      </c>
      <c r="D65" s="46" t="s">
        <v>2011</v>
      </c>
      <c r="E65" s="47" t="s">
        <v>304</v>
      </c>
      <c r="F65" s="19">
        <v>1.5</v>
      </c>
      <c r="G65" s="19"/>
      <c r="H65" s="19"/>
      <c r="I65" s="34">
        <f t="shared" si="1"/>
        <v>0</v>
      </c>
    </row>
    <row r="66" spans="1:9" ht="15.6" customHeight="1" x14ac:dyDescent="0.25">
      <c r="A66" s="13">
        <v>62</v>
      </c>
      <c r="B66" s="19" t="s">
        <v>796</v>
      </c>
      <c r="C66" s="19" t="s">
        <v>797</v>
      </c>
      <c r="D66" s="46" t="s">
        <v>2012</v>
      </c>
      <c r="E66" s="47" t="s">
        <v>304</v>
      </c>
      <c r="F66" s="19">
        <v>1.2</v>
      </c>
      <c r="G66" s="19"/>
      <c r="H66" s="19"/>
      <c r="I66" s="34">
        <f t="shared" si="1"/>
        <v>0</v>
      </c>
    </row>
    <row r="67" spans="1:9" ht="15.6" customHeight="1" x14ac:dyDescent="0.25">
      <c r="A67" s="13">
        <v>63</v>
      </c>
      <c r="B67" s="19" t="s">
        <v>798</v>
      </c>
      <c r="C67" s="19" t="s">
        <v>799</v>
      </c>
      <c r="D67" s="46" t="s">
        <v>2013</v>
      </c>
      <c r="E67" s="47" t="s">
        <v>699</v>
      </c>
      <c r="F67" s="19">
        <v>1.2</v>
      </c>
      <c r="G67" s="19"/>
      <c r="H67" s="19"/>
      <c r="I67" s="34">
        <f t="shared" si="1"/>
        <v>0</v>
      </c>
    </row>
    <row r="68" spans="1:9" ht="15.6" customHeight="1" x14ac:dyDescent="0.25">
      <c r="A68" s="13">
        <v>64</v>
      </c>
      <c r="B68" s="19" t="s">
        <v>800</v>
      </c>
      <c r="C68" s="19" t="s">
        <v>801</v>
      </c>
      <c r="D68" s="46" t="s">
        <v>2014</v>
      </c>
      <c r="E68" s="47" t="s">
        <v>304</v>
      </c>
      <c r="F68" s="19">
        <v>1.2</v>
      </c>
      <c r="G68" s="19"/>
      <c r="H68" s="19"/>
      <c r="I68" s="34">
        <f t="shared" si="1"/>
        <v>0</v>
      </c>
    </row>
    <row r="69" spans="1:9" ht="15.6" customHeight="1" x14ac:dyDescent="0.25">
      <c r="A69" s="13">
        <v>65</v>
      </c>
      <c r="B69" s="19" t="s">
        <v>802</v>
      </c>
      <c r="C69" s="19" t="s">
        <v>803</v>
      </c>
      <c r="D69" s="46" t="s">
        <v>2015</v>
      </c>
      <c r="E69" s="47" t="s">
        <v>699</v>
      </c>
      <c r="F69" s="19">
        <v>6.5</v>
      </c>
      <c r="G69" s="19"/>
      <c r="H69" s="19"/>
      <c r="I69" s="34">
        <f t="shared" si="1"/>
        <v>0</v>
      </c>
    </row>
    <row r="70" spans="1:9" ht="15.6" customHeight="1" x14ac:dyDescent="0.25">
      <c r="A70" s="13">
        <v>66</v>
      </c>
      <c r="B70" s="19" t="s">
        <v>804</v>
      </c>
      <c r="C70" s="19" t="s">
        <v>805</v>
      </c>
      <c r="D70" s="46" t="s">
        <v>2016</v>
      </c>
      <c r="E70" s="47" t="s">
        <v>304</v>
      </c>
      <c r="F70" s="19">
        <v>1.1000000000000001</v>
      </c>
      <c r="G70" s="19"/>
      <c r="H70" s="19"/>
      <c r="I70" s="34">
        <f t="shared" si="1"/>
        <v>0</v>
      </c>
    </row>
    <row r="71" spans="1:9" ht="15.6" customHeight="1" x14ac:dyDescent="0.25">
      <c r="A71" s="13">
        <v>67</v>
      </c>
      <c r="B71" s="19" t="s">
        <v>806</v>
      </c>
      <c r="C71" s="19" t="s">
        <v>807</v>
      </c>
      <c r="D71" s="46" t="s">
        <v>2017</v>
      </c>
      <c r="E71" s="47" t="s">
        <v>699</v>
      </c>
      <c r="F71" s="19">
        <v>0.5</v>
      </c>
      <c r="G71" s="19"/>
      <c r="H71" s="19"/>
      <c r="I71" s="34">
        <f t="shared" si="1"/>
        <v>0</v>
      </c>
    </row>
    <row r="72" spans="1:9" ht="15.6" customHeight="1" x14ac:dyDescent="0.25">
      <c r="A72" s="13">
        <v>68</v>
      </c>
      <c r="B72" s="19" t="s">
        <v>808</v>
      </c>
      <c r="C72" s="19" t="s">
        <v>809</v>
      </c>
      <c r="D72" s="46" t="s">
        <v>2018</v>
      </c>
      <c r="E72" s="47" t="s">
        <v>304</v>
      </c>
      <c r="F72" s="19">
        <v>0.8</v>
      </c>
      <c r="G72" s="19"/>
      <c r="H72" s="19"/>
      <c r="I72" s="34">
        <f t="shared" si="1"/>
        <v>0</v>
      </c>
    </row>
    <row r="73" spans="1:9" ht="15.6" customHeight="1" x14ac:dyDescent="0.25">
      <c r="A73" s="13">
        <v>69</v>
      </c>
      <c r="B73" s="19" t="s">
        <v>810</v>
      </c>
      <c r="C73" s="19" t="s">
        <v>811</v>
      </c>
      <c r="D73" s="46" t="s">
        <v>2019</v>
      </c>
      <c r="E73" s="47" t="s">
        <v>699</v>
      </c>
      <c r="F73" s="19">
        <v>1.5</v>
      </c>
      <c r="G73" s="19"/>
      <c r="H73" s="19"/>
      <c r="I73" s="34">
        <f t="shared" si="1"/>
        <v>0</v>
      </c>
    </row>
    <row r="74" spans="1:9" ht="15.6" customHeight="1" x14ac:dyDescent="0.25">
      <c r="A74" s="13">
        <v>70</v>
      </c>
      <c r="B74" s="19" t="s">
        <v>812</v>
      </c>
      <c r="C74" s="19" t="s">
        <v>813</v>
      </c>
      <c r="D74" s="46" t="s">
        <v>2020</v>
      </c>
      <c r="E74" s="47" t="s">
        <v>304</v>
      </c>
      <c r="F74" s="19">
        <v>1</v>
      </c>
      <c r="G74" s="19"/>
      <c r="H74" s="19"/>
      <c r="I74" s="34">
        <f t="shared" si="1"/>
        <v>0</v>
      </c>
    </row>
    <row r="75" spans="1:9" ht="15.6" customHeight="1" x14ac:dyDescent="0.25">
      <c r="A75" s="13">
        <v>71</v>
      </c>
      <c r="B75" s="19" t="s">
        <v>814</v>
      </c>
      <c r="C75" s="19" t="s">
        <v>815</v>
      </c>
      <c r="D75" s="46" t="s">
        <v>2021</v>
      </c>
      <c r="E75" s="47" t="s">
        <v>304</v>
      </c>
      <c r="F75" s="19">
        <v>0.8</v>
      </c>
      <c r="G75" s="19"/>
      <c r="H75" s="19"/>
      <c r="I75" s="34">
        <f t="shared" si="1"/>
        <v>0</v>
      </c>
    </row>
    <row r="76" spans="1:9" ht="15.6" customHeight="1" x14ac:dyDescent="0.25">
      <c r="A76" s="13">
        <v>72</v>
      </c>
      <c r="B76" s="19" t="s">
        <v>816</v>
      </c>
      <c r="C76" s="19" t="s">
        <v>817</v>
      </c>
      <c r="D76" s="46" t="s">
        <v>2022</v>
      </c>
      <c r="E76" s="47" t="s">
        <v>304</v>
      </c>
      <c r="F76" s="19">
        <v>1.2</v>
      </c>
      <c r="G76" s="19"/>
      <c r="H76" s="19"/>
      <c r="I76" s="34">
        <f t="shared" si="1"/>
        <v>0</v>
      </c>
    </row>
    <row r="77" spans="1:9" ht="15.6" customHeight="1" x14ac:dyDescent="0.25">
      <c r="A77" s="13">
        <v>73</v>
      </c>
      <c r="B77" s="19" t="s">
        <v>818</v>
      </c>
      <c r="C77" s="19" t="s">
        <v>819</v>
      </c>
      <c r="D77" s="46" t="s">
        <v>2023</v>
      </c>
      <c r="E77" s="47" t="s">
        <v>699</v>
      </c>
      <c r="F77" s="19">
        <v>0.6</v>
      </c>
      <c r="G77" s="19"/>
      <c r="H77" s="19"/>
      <c r="I77" s="34">
        <f t="shared" si="1"/>
        <v>0</v>
      </c>
    </row>
    <row r="78" spans="1:9" ht="15.6" customHeight="1" x14ac:dyDescent="0.25">
      <c r="A78" s="13">
        <v>74</v>
      </c>
      <c r="B78" s="19" t="s">
        <v>820</v>
      </c>
      <c r="C78" s="19" t="s">
        <v>821</v>
      </c>
      <c r="D78" s="46" t="s">
        <v>2024</v>
      </c>
      <c r="E78" s="47" t="s">
        <v>304</v>
      </c>
      <c r="F78" s="19">
        <v>0.8</v>
      </c>
      <c r="G78" s="19"/>
      <c r="H78" s="19"/>
      <c r="I78" s="34">
        <f t="shared" si="1"/>
        <v>0</v>
      </c>
    </row>
    <row r="79" spans="1:9" ht="15.6" customHeight="1" x14ac:dyDescent="0.25">
      <c r="A79" s="13">
        <v>75</v>
      </c>
      <c r="B79" s="19" t="s">
        <v>822</v>
      </c>
      <c r="C79" s="19" t="s">
        <v>823</v>
      </c>
      <c r="D79" s="46" t="s">
        <v>2025</v>
      </c>
      <c r="E79" s="47" t="s">
        <v>699</v>
      </c>
      <c r="F79" s="19">
        <v>0.7</v>
      </c>
      <c r="G79" s="19"/>
      <c r="H79" s="19"/>
      <c r="I79" s="34">
        <f t="shared" si="1"/>
        <v>0</v>
      </c>
    </row>
    <row r="80" spans="1:9" ht="15.6" customHeight="1" x14ac:dyDescent="0.25">
      <c r="A80" s="13">
        <v>76</v>
      </c>
      <c r="B80" s="19" t="s">
        <v>824</v>
      </c>
      <c r="C80" s="19" t="s">
        <v>825</v>
      </c>
      <c r="D80" s="46" t="s">
        <v>2026</v>
      </c>
      <c r="E80" s="47" t="s">
        <v>304</v>
      </c>
      <c r="F80" s="19">
        <v>0.9</v>
      </c>
      <c r="G80" s="19"/>
      <c r="H80" s="19"/>
      <c r="I80" s="34">
        <f t="shared" si="1"/>
        <v>0</v>
      </c>
    </row>
    <row r="81" spans="1:9" ht="15.6" customHeight="1" x14ac:dyDescent="0.25">
      <c r="A81" s="13">
        <v>77</v>
      </c>
      <c r="B81" s="19" t="s">
        <v>826</v>
      </c>
      <c r="C81" s="19" t="s">
        <v>827</v>
      </c>
      <c r="D81" s="46" t="s">
        <v>2027</v>
      </c>
      <c r="E81" s="47" t="s">
        <v>304</v>
      </c>
      <c r="F81" s="19">
        <v>0.6</v>
      </c>
      <c r="G81" s="19"/>
      <c r="H81" s="19"/>
      <c r="I81" s="34">
        <f t="shared" si="1"/>
        <v>0</v>
      </c>
    </row>
    <row r="82" spans="1:9" ht="15.6" customHeight="1" x14ac:dyDescent="0.25">
      <c r="A82" s="13">
        <v>78</v>
      </c>
      <c r="B82" s="19" t="s">
        <v>828</v>
      </c>
      <c r="C82" s="19" t="s">
        <v>829</v>
      </c>
      <c r="D82" s="46" t="s">
        <v>2028</v>
      </c>
      <c r="E82" s="47" t="s">
        <v>699</v>
      </c>
      <c r="F82" s="19">
        <v>3</v>
      </c>
      <c r="G82" s="19"/>
      <c r="H82" s="19"/>
      <c r="I82" s="34">
        <f t="shared" si="1"/>
        <v>0</v>
      </c>
    </row>
    <row r="83" spans="1:9" ht="15.6" customHeight="1" x14ac:dyDescent="0.25">
      <c r="A83" s="13">
        <v>79</v>
      </c>
      <c r="B83" s="19" t="s">
        <v>830</v>
      </c>
      <c r="C83" s="19" t="s">
        <v>831</v>
      </c>
      <c r="D83" s="46" t="s">
        <v>2029</v>
      </c>
      <c r="E83" s="47" t="s">
        <v>304</v>
      </c>
      <c r="F83" s="19">
        <v>1.1000000000000001</v>
      </c>
      <c r="G83" s="19"/>
      <c r="H83" s="19"/>
      <c r="I83" s="34">
        <f t="shared" si="1"/>
        <v>0</v>
      </c>
    </row>
    <row r="84" spans="1:9" ht="15.6" customHeight="1" x14ac:dyDescent="0.25">
      <c r="A84" s="13">
        <v>80</v>
      </c>
      <c r="B84" s="19" t="s">
        <v>832</v>
      </c>
      <c r="C84" s="19" t="s">
        <v>833</v>
      </c>
      <c r="D84" s="46" t="s">
        <v>2030</v>
      </c>
      <c r="E84" s="47" t="s">
        <v>304</v>
      </c>
      <c r="F84" s="19">
        <v>1.2</v>
      </c>
      <c r="G84" s="19"/>
      <c r="H84" s="19"/>
      <c r="I84" s="34">
        <f t="shared" si="1"/>
        <v>0</v>
      </c>
    </row>
    <row r="85" spans="1:9" ht="15.6" customHeight="1" x14ac:dyDescent="0.25">
      <c r="A85" s="13">
        <v>81</v>
      </c>
      <c r="B85" s="19" t="s">
        <v>834</v>
      </c>
      <c r="C85" s="19" t="s">
        <v>835</v>
      </c>
      <c r="D85" s="46" t="s">
        <v>682</v>
      </c>
      <c r="E85" s="47" t="s">
        <v>682</v>
      </c>
      <c r="F85" s="19">
        <v>5.5</v>
      </c>
      <c r="G85" s="19"/>
      <c r="H85" s="19"/>
      <c r="I85" s="34">
        <f t="shared" si="1"/>
        <v>0</v>
      </c>
    </row>
    <row r="86" spans="1:9" ht="15.6" customHeight="1" x14ac:dyDescent="0.25">
      <c r="A86" s="13">
        <v>82</v>
      </c>
      <c r="B86" s="19" t="s">
        <v>836</v>
      </c>
      <c r="C86" s="19" t="s">
        <v>837</v>
      </c>
      <c r="D86" s="46" t="s">
        <v>682</v>
      </c>
      <c r="E86" s="47" t="s">
        <v>682</v>
      </c>
      <c r="F86" s="19">
        <v>9</v>
      </c>
      <c r="G86" s="19"/>
      <c r="H86" s="19"/>
      <c r="I86" s="34">
        <f t="shared" si="1"/>
        <v>0</v>
      </c>
    </row>
    <row r="87" spans="1:9" ht="15.6" customHeight="1" x14ac:dyDescent="0.25">
      <c r="A87" s="13">
        <v>83</v>
      </c>
      <c r="B87" s="19" t="s">
        <v>838</v>
      </c>
      <c r="C87" s="19" t="s">
        <v>839</v>
      </c>
      <c r="D87" s="46" t="s">
        <v>682</v>
      </c>
      <c r="E87" s="47" t="s">
        <v>682</v>
      </c>
      <c r="F87" s="19">
        <v>1.2</v>
      </c>
      <c r="G87" s="19"/>
      <c r="H87" s="19"/>
      <c r="I87" s="34">
        <f t="shared" si="1"/>
        <v>0</v>
      </c>
    </row>
    <row r="88" spans="1:9" ht="15.6" customHeight="1" x14ac:dyDescent="0.25">
      <c r="A88" s="13">
        <v>84</v>
      </c>
      <c r="B88" s="19" t="s">
        <v>840</v>
      </c>
      <c r="C88" s="19" t="s">
        <v>841</v>
      </c>
      <c r="D88" s="46" t="s">
        <v>2031</v>
      </c>
      <c r="E88" s="47" t="s">
        <v>304</v>
      </c>
      <c r="F88" s="19">
        <v>7.7</v>
      </c>
      <c r="G88" s="19"/>
      <c r="H88" s="19"/>
      <c r="I88" s="34">
        <f t="shared" si="1"/>
        <v>0</v>
      </c>
    </row>
    <row r="89" spans="1:9" ht="15.6" customHeight="1" x14ac:dyDescent="0.25">
      <c r="A89" s="13">
        <v>85</v>
      </c>
      <c r="B89" s="19" t="s">
        <v>842</v>
      </c>
      <c r="C89" s="19" t="s">
        <v>843</v>
      </c>
      <c r="D89" s="46" t="s">
        <v>682</v>
      </c>
      <c r="E89" s="47" t="s">
        <v>682</v>
      </c>
      <c r="F89" s="19">
        <v>0.39700000000000002</v>
      </c>
      <c r="G89" s="19"/>
      <c r="H89" s="19"/>
      <c r="I89" s="34">
        <f t="shared" si="1"/>
        <v>0</v>
      </c>
    </row>
    <row r="90" spans="1:9" ht="15.6" customHeight="1" x14ac:dyDescent="0.25">
      <c r="A90" s="13">
        <v>86</v>
      </c>
      <c r="B90" s="19" t="s">
        <v>844</v>
      </c>
      <c r="C90" s="19" t="s">
        <v>845</v>
      </c>
      <c r="D90" s="46" t="s">
        <v>682</v>
      </c>
      <c r="E90" s="47" t="s">
        <v>682</v>
      </c>
      <c r="F90" s="19">
        <v>1.4</v>
      </c>
      <c r="G90" s="19"/>
      <c r="H90" s="19"/>
      <c r="I90" s="34">
        <f t="shared" si="1"/>
        <v>0</v>
      </c>
    </row>
    <row r="91" spans="1:9" ht="15.6" customHeight="1" x14ac:dyDescent="0.25">
      <c r="A91" s="13">
        <v>87</v>
      </c>
      <c r="B91" s="19" t="s">
        <v>846</v>
      </c>
      <c r="C91" s="19" t="s">
        <v>847</v>
      </c>
      <c r="D91" s="46" t="s">
        <v>682</v>
      </c>
      <c r="E91" s="47" t="s">
        <v>682</v>
      </c>
      <c r="F91" s="19">
        <v>0.7</v>
      </c>
      <c r="G91" s="19"/>
      <c r="H91" s="19"/>
      <c r="I91" s="34">
        <f t="shared" ref="I91:I97" si="2">H91/F91</f>
        <v>0</v>
      </c>
    </row>
    <row r="92" spans="1:9" ht="15.6" customHeight="1" x14ac:dyDescent="0.25">
      <c r="A92" s="13">
        <v>88</v>
      </c>
      <c r="B92" s="19" t="s">
        <v>848</v>
      </c>
      <c r="C92" s="19" t="s">
        <v>849</v>
      </c>
      <c r="D92" s="46" t="s">
        <v>682</v>
      </c>
      <c r="E92" s="47" t="s">
        <v>682</v>
      </c>
      <c r="F92" s="19">
        <v>0.63</v>
      </c>
      <c r="G92" s="19"/>
      <c r="H92" s="19"/>
      <c r="I92" s="34">
        <f t="shared" si="2"/>
        <v>0</v>
      </c>
    </row>
    <row r="93" spans="1:9" ht="15.6" customHeight="1" x14ac:dyDescent="0.25">
      <c r="A93" s="13">
        <v>89</v>
      </c>
      <c r="B93" s="19" t="s">
        <v>850</v>
      </c>
      <c r="C93" s="19" t="s">
        <v>851</v>
      </c>
      <c r="D93" s="46" t="s">
        <v>682</v>
      </c>
      <c r="E93" s="47" t="s">
        <v>682</v>
      </c>
      <c r="F93" s="19">
        <v>0.7</v>
      </c>
      <c r="G93" s="19"/>
      <c r="H93" s="19"/>
      <c r="I93" s="34">
        <f t="shared" si="2"/>
        <v>0</v>
      </c>
    </row>
    <row r="94" spans="1:9" ht="15.6" customHeight="1" x14ac:dyDescent="0.25">
      <c r="A94" s="13">
        <v>90</v>
      </c>
      <c r="B94" s="19" t="s">
        <v>852</v>
      </c>
      <c r="C94" s="19" t="s">
        <v>853</v>
      </c>
      <c r="D94" s="46" t="s">
        <v>854</v>
      </c>
      <c r="E94" s="47" t="s">
        <v>854</v>
      </c>
      <c r="F94" s="19">
        <v>0.75</v>
      </c>
      <c r="G94" s="19"/>
      <c r="H94" s="19"/>
      <c r="I94" s="34">
        <f t="shared" si="2"/>
        <v>0</v>
      </c>
    </row>
    <row r="95" spans="1:9" ht="15.6" customHeight="1" x14ac:dyDescent="0.25">
      <c r="A95" s="13">
        <v>91</v>
      </c>
      <c r="B95" s="19" t="s">
        <v>855</v>
      </c>
      <c r="C95" s="19" t="s">
        <v>856</v>
      </c>
      <c r="D95" s="46" t="s">
        <v>2032</v>
      </c>
      <c r="E95" s="47" t="s">
        <v>699</v>
      </c>
      <c r="F95" s="19">
        <v>4</v>
      </c>
      <c r="G95" s="19"/>
      <c r="H95" s="19"/>
      <c r="I95" s="34">
        <f t="shared" si="2"/>
        <v>0</v>
      </c>
    </row>
    <row r="96" spans="1:9" ht="15.6" customHeight="1" x14ac:dyDescent="0.25">
      <c r="A96" s="13">
        <v>92</v>
      </c>
      <c r="B96" s="19" t="s">
        <v>857</v>
      </c>
      <c r="C96" s="19" t="s">
        <v>858</v>
      </c>
      <c r="D96" s="46" t="s">
        <v>728</v>
      </c>
      <c r="E96" s="47" t="s">
        <v>728</v>
      </c>
      <c r="F96" s="19">
        <v>8.5</v>
      </c>
      <c r="G96" s="19"/>
      <c r="H96" s="19"/>
      <c r="I96" s="34">
        <f t="shared" si="2"/>
        <v>0</v>
      </c>
    </row>
    <row r="97" spans="1:9" ht="15.6" customHeight="1" x14ac:dyDescent="0.25">
      <c r="A97" s="13">
        <v>93</v>
      </c>
      <c r="B97" s="19" t="s">
        <v>859</v>
      </c>
      <c r="C97" s="19" t="s">
        <v>860</v>
      </c>
      <c r="D97" s="46" t="s">
        <v>728</v>
      </c>
      <c r="E97" s="47" t="s">
        <v>728</v>
      </c>
      <c r="F97" s="19">
        <v>14</v>
      </c>
      <c r="G97" s="19"/>
      <c r="H97" s="19"/>
      <c r="I97" s="34">
        <f t="shared" si="2"/>
        <v>0</v>
      </c>
    </row>
    <row r="98" spans="1:9" ht="16.8" customHeight="1" x14ac:dyDescent="0.25">
      <c r="A98" s="39" t="s">
        <v>1769</v>
      </c>
      <c r="B98" s="39"/>
      <c r="C98" s="39"/>
      <c r="D98" s="39" t="s">
        <v>1962</v>
      </c>
      <c r="E98" s="39"/>
      <c r="F98" s="12">
        <f>SUM(F5:F97)</f>
        <v>325.08699999999993</v>
      </c>
      <c r="G98" s="20"/>
      <c r="H98" s="12">
        <f>SUM(H5:H97)</f>
        <v>0</v>
      </c>
      <c r="I98" s="35">
        <f>H98/F98</f>
        <v>0</v>
      </c>
    </row>
  </sheetData>
  <mergeCells count="101">
    <mergeCell ref="D94:E94"/>
    <mergeCell ref="D95:E95"/>
    <mergeCell ref="D96:E96"/>
    <mergeCell ref="D88:E88"/>
    <mergeCell ref="D89:E89"/>
    <mergeCell ref="D90:E90"/>
    <mergeCell ref="D91:E91"/>
    <mergeCell ref="D92:E92"/>
    <mergeCell ref="D93:E93"/>
    <mergeCell ref="D82:E82"/>
    <mergeCell ref="D83:E83"/>
    <mergeCell ref="D84:E84"/>
    <mergeCell ref="D85:E85"/>
    <mergeCell ref="D86:E86"/>
    <mergeCell ref="D87:E87"/>
    <mergeCell ref="D76:E76"/>
    <mergeCell ref="D77:E77"/>
    <mergeCell ref="D78:E78"/>
    <mergeCell ref="D79:E79"/>
    <mergeCell ref="D80:E80"/>
    <mergeCell ref="D81:E81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D50:E50"/>
    <mergeCell ref="D51:E51"/>
    <mergeCell ref="D40:E40"/>
    <mergeCell ref="D41:E41"/>
    <mergeCell ref="D42:E42"/>
    <mergeCell ref="D43:E43"/>
    <mergeCell ref="D44:E44"/>
    <mergeCell ref="D45:E45"/>
    <mergeCell ref="D58:E58"/>
    <mergeCell ref="D23:E23"/>
    <mergeCell ref="D24:E24"/>
    <mergeCell ref="D25:E25"/>
    <mergeCell ref="D26:E26"/>
    <mergeCell ref="D97:E97"/>
    <mergeCell ref="A98:C98"/>
    <mergeCell ref="D98:E98"/>
    <mergeCell ref="D37:E37"/>
    <mergeCell ref="D38:E38"/>
    <mergeCell ref="D39:E39"/>
    <mergeCell ref="D34:E34"/>
    <mergeCell ref="D35:E35"/>
    <mergeCell ref="D36:E36"/>
    <mergeCell ref="D27:E27"/>
    <mergeCell ref="D28:E28"/>
    <mergeCell ref="D29:E29"/>
    <mergeCell ref="D30:E30"/>
    <mergeCell ref="D31:E31"/>
    <mergeCell ref="D32:E32"/>
    <mergeCell ref="D33:E33"/>
    <mergeCell ref="D46:E46"/>
    <mergeCell ref="D47:E47"/>
    <mergeCell ref="D48:E48"/>
    <mergeCell ref="D49:E49"/>
    <mergeCell ref="A3:A4"/>
    <mergeCell ref="B3:C3"/>
    <mergeCell ref="D3:E4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F3:F4"/>
    <mergeCell ref="G3:G4"/>
    <mergeCell ref="H3:I3"/>
    <mergeCell ref="D5:E5"/>
    <mergeCell ref="D6:E6"/>
    <mergeCell ref="D7:E7"/>
    <mergeCell ref="D8:E8"/>
    <mergeCell ref="D9:E9"/>
    <mergeCell ref="D10:E10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92F0-20B1-49DD-8E33-9568C2686CDD}">
  <sheetPr codeName="Sheet15"/>
  <dimension ref="A1:I24"/>
  <sheetViews>
    <sheetView zoomScaleNormal="100" workbookViewId="0">
      <selection activeCell="C27" sqref="C27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5" t="s">
        <v>861</v>
      </c>
      <c r="C5" s="15" t="s">
        <v>862</v>
      </c>
      <c r="D5" s="46" t="s">
        <v>863</v>
      </c>
      <c r="E5" s="47" t="s">
        <v>863</v>
      </c>
      <c r="F5" s="15">
        <v>44.3</v>
      </c>
      <c r="G5" s="19"/>
      <c r="H5" s="19"/>
      <c r="I5" s="34">
        <f t="shared" ref="I5:I24" si="0">H5/F5</f>
        <v>0</v>
      </c>
    </row>
    <row r="6" spans="1:9" ht="15.6" customHeight="1" x14ac:dyDescent="0.25">
      <c r="A6" s="13">
        <v>2</v>
      </c>
      <c r="B6" s="15" t="s">
        <v>864</v>
      </c>
      <c r="C6" s="15" t="s">
        <v>865</v>
      </c>
      <c r="D6" s="46" t="s">
        <v>866</v>
      </c>
      <c r="E6" s="47" t="s">
        <v>866</v>
      </c>
      <c r="F6" s="15">
        <v>3.8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5" t="s">
        <v>867</v>
      </c>
      <c r="C7" s="15" t="s">
        <v>868</v>
      </c>
      <c r="D7" s="46" t="s">
        <v>869</v>
      </c>
      <c r="E7" s="47" t="s">
        <v>869</v>
      </c>
      <c r="F7" s="15">
        <v>0.7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5" t="s">
        <v>870</v>
      </c>
      <c r="C8" s="15" t="s">
        <v>871</v>
      </c>
      <c r="D8" s="46" t="s">
        <v>872</v>
      </c>
      <c r="E8" s="47" t="s">
        <v>872</v>
      </c>
      <c r="F8" s="15">
        <v>0.5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5" t="s">
        <v>873</v>
      </c>
      <c r="C9" s="15" t="s">
        <v>874</v>
      </c>
      <c r="D9" s="46" t="s">
        <v>875</v>
      </c>
      <c r="E9" s="47" t="s">
        <v>875</v>
      </c>
      <c r="F9" s="15">
        <v>1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5" t="s">
        <v>876</v>
      </c>
      <c r="C10" s="15" t="s">
        <v>877</v>
      </c>
      <c r="D10" s="46" t="s">
        <v>878</v>
      </c>
      <c r="E10" s="47" t="s">
        <v>878</v>
      </c>
      <c r="F10" s="15">
        <v>1.7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5" t="s">
        <v>879</v>
      </c>
      <c r="C11" s="15" t="s">
        <v>880</v>
      </c>
      <c r="D11" s="46" t="s">
        <v>881</v>
      </c>
      <c r="E11" s="47" t="s">
        <v>881</v>
      </c>
      <c r="F11" s="15">
        <v>2.6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5" t="s">
        <v>882</v>
      </c>
      <c r="C12" s="15" t="s">
        <v>883</v>
      </c>
      <c r="D12" s="46" t="s">
        <v>884</v>
      </c>
      <c r="E12" s="47" t="s">
        <v>884</v>
      </c>
      <c r="F12" s="15">
        <v>1.5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5" t="s">
        <v>885</v>
      </c>
      <c r="C13" s="15" t="s">
        <v>886</v>
      </c>
      <c r="D13" s="46" t="s">
        <v>887</v>
      </c>
      <c r="E13" s="47" t="s">
        <v>887</v>
      </c>
      <c r="F13" s="15">
        <v>33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5" t="s">
        <v>888</v>
      </c>
      <c r="C14" s="15" t="s">
        <v>889</v>
      </c>
      <c r="D14" s="46" t="s">
        <v>890</v>
      </c>
      <c r="E14" s="47" t="s">
        <v>890</v>
      </c>
      <c r="F14" s="15">
        <v>1.4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5" t="s">
        <v>891</v>
      </c>
      <c r="C15" s="15" t="s">
        <v>892</v>
      </c>
      <c r="D15" s="46" t="s">
        <v>893</v>
      </c>
      <c r="E15" s="47" t="s">
        <v>893</v>
      </c>
      <c r="F15" s="15">
        <v>2.4500000000000002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5" t="s">
        <v>894</v>
      </c>
      <c r="C16" s="15" t="s">
        <v>895</v>
      </c>
      <c r="D16" s="46" t="s">
        <v>896</v>
      </c>
      <c r="E16" s="47" t="s">
        <v>896</v>
      </c>
      <c r="F16" s="15">
        <v>0.6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5" t="s">
        <v>897</v>
      </c>
      <c r="C17" s="15" t="s">
        <v>898</v>
      </c>
      <c r="D17" s="46" t="s">
        <v>470</v>
      </c>
      <c r="E17" s="47" t="s">
        <v>470</v>
      </c>
      <c r="F17" s="15">
        <v>5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5" t="s">
        <v>899</v>
      </c>
      <c r="C18" s="15" t="s">
        <v>900</v>
      </c>
      <c r="D18" s="46" t="s">
        <v>470</v>
      </c>
      <c r="E18" s="47" t="s">
        <v>470</v>
      </c>
      <c r="F18" s="15">
        <v>2.5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5" t="s">
        <v>901</v>
      </c>
      <c r="C19" s="15" t="s">
        <v>902</v>
      </c>
      <c r="D19" s="46" t="s">
        <v>470</v>
      </c>
      <c r="E19" s="47" t="s">
        <v>470</v>
      </c>
      <c r="F19" s="15">
        <v>3.1300000000000003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5" t="s">
        <v>903</v>
      </c>
      <c r="C20" s="15" t="s">
        <v>904</v>
      </c>
      <c r="D20" s="46" t="s">
        <v>470</v>
      </c>
      <c r="E20" s="47" t="s">
        <v>470</v>
      </c>
      <c r="F20" s="15">
        <v>3.3099999999999996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5" t="s">
        <v>905</v>
      </c>
      <c r="C21" s="15" t="s">
        <v>906</v>
      </c>
      <c r="D21" s="46" t="s">
        <v>881</v>
      </c>
      <c r="E21" s="47" t="s">
        <v>881</v>
      </c>
      <c r="F21" s="15">
        <v>1.5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5" t="s">
        <v>907</v>
      </c>
      <c r="C22" s="15" t="s">
        <v>908</v>
      </c>
      <c r="D22" s="46" t="s">
        <v>866</v>
      </c>
      <c r="E22" s="47" t="s">
        <v>866</v>
      </c>
      <c r="F22" s="15">
        <v>2.65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5" t="s">
        <v>909</v>
      </c>
      <c r="C23" s="15" t="s">
        <v>910</v>
      </c>
      <c r="D23" s="46" t="s">
        <v>887</v>
      </c>
      <c r="E23" s="47" t="s">
        <v>887</v>
      </c>
      <c r="F23" s="15">
        <v>4.21</v>
      </c>
      <c r="G23" s="19"/>
      <c r="H23" s="19"/>
      <c r="I23" s="34">
        <f t="shared" si="0"/>
        <v>0</v>
      </c>
    </row>
    <row r="24" spans="1:9" ht="16.8" customHeight="1" x14ac:dyDescent="0.25">
      <c r="A24" s="39" t="s">
        <v>1769</v>
      </c>
      <c r="B24" s="39"/>
      <c r="C24" s="39"/>
      <c r="D24" s="39" t="s">
        <v>1847</v>
      </c>
      <c r="E24" s="39"/>
      <c r="F24" s="12">
        <f>SUM(F5:F23)</f>
        <v>115.85</v>
      </c>
      <c r="G24" s="20"/>
      <c r="H24" s="12">
        <f>SUM(H5:H23)</f>
        <v>0</v>
      </c>
      <c r="I24" s="35">
        <f t="shared" si="0"/>
        <v>0</v>
      </c>
    </row>
  </sheetData>
  <mergeCells count="27">
    <mergeCell ref="D23:E23"/>
    <mergeCell ref="A24:C24"/>
    <mergeCell ref="D24:E24"/>
    <mergeCell ref="D17:E17"/>
    <mergeCell ref="D18:E18"/>
    <mergeCell ref="D19:E19"/>
    <mergeCell ref="D20:E20"/>
    <mergeCell ref="D21:E21"/>
    <mergeCell ref="D22:E22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B8BD-3652-4378-9A57-4C5EF245272A}">
  <sheetPr codeName="Sheet16"/>
  <dimension ref="A1:I28"/>
  <sheetViews>
    <sheetView zoomScaleNormal="100" workbookViewId="0">
      <selection activeCell="K18" sqref="K18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5" t="s">
        <v>911</v>
      </c>
      <c r="C5" s="19" t="s">
        <v>912</v>
      </c>
      <c r="D5" s="46" t="s">
        <v>913</v>
      </c>
      <c r="E5" s="47" t="s">
        <v>913</v>
      </c>
      <c r="F5" s="19">
        <v>79.5</v>
      </c>
      <c r="G5" s="19"/>
      <c r="H5" s="19"/>
      <c r="I5" s="34">
        <f t="shared" ref="I5:I28" si="0">H5/F5</f>
        <v>0</v>
      </c>
    </row>
    <row r="6" spans="1:9" ht="15.6" customHeight="1" x14ac:dyDescent="0.25">
      <c r="A6" s="13">
        <v>2</v>
      </c>
      <c r="B6" s="15" t="s">
        <v>914</v>
      </c>
      <c r="C6" s="15" t="s">
        <v>915</v>
      </c>
      <c r="D6" s="46" t="s">
        <v>682</v>
      </c>
      <c r="E6" s="47" t="s">
        <v>682</v>
      </c>
      <c r="F6" s="19">
        <v>2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5" t="s">
        <v>916</v>
      </c>
      <c r="C7" s="19" t="s">
        <v>917</v>
      </c>
      <c r="D7" s="46" t="s">
        <v>304</v>
      </c>
      <c r="E7" s="47" t="s">
        <v>304</v>
      </c>
      <c r="F7" s="19">
        <v>2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5" t="s">
        <v>918</v>
      </c>
      <c r="C8" s="19" t="s">
        <v>919</v>
      </c>
      <c r="D8" s="46" t="s">
        <v>304</v>
      </c>
      <c r="E8" s="47" t="s">
        <v>304</v>
      </c>
      <c r="F8" s="19">
        <v>0.5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5" t="s">
        <v>920</v>
      </c>
      <c r="C9" s="15" t="s">
        <v>921</v>
      </c>
      <c r="D9" s="46" t="s">
        <v>304</v>
      </c>
      <c r="E9" s="47" t="s">
        <v>304</v>
      </c>
      <c r="F9" s="19">
        <v>0.5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5" t="s">
        <v>922</v>
      </c>
      <c r="C10" s="19" t="s">
        <v>923</v>
      </c>
      <c r="D10" s="46" t="s">
        <v>682</v>
      </c>
      <c r="E10" s="47" t="s">
        <v>682</v>
      </c>
      <c r="F10" s="19">
        <v>8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5" t="s">
        <v>924</v>
      </c>
      <c r="C11" s="19" t="s">
        <v>925</v>
      </c>
      <c r="D11" s="46" t="s">
        <v>682</v>
      </c>
      <c r="E11" s="47" t="s">
        <v>682</v>
      </c>
      <c r="F11" s="19">
        <v>9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5" t="s">
        <v>926</v>
      </c>
      <c r="C12" s="15" t="s">
        <v>927</v>
      </c>
      <c r="D12" s="46" t="s">
        <v>928</v>
      </c>
      <c r="E12" s="47" t="s">
        <v>928</v>
      </c>
      <c r="F12" s="19">
        <v>4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5" t="s">
        <v>929</v>
      </c>
      <c r="C13" s="19" t="s">
        <v>930</v>
      </c>
      <c r="D13" s="46" t="s">
        <v>699</v>
      </c>
      <c r="E13" s="47" t="s">
        <v>699</v>
      </c>
      <c r="F13" s="19">
        <v>1.5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5" t="s">
        <v>931</v>
      </c>
      <c r="C14" s="19" t="s">
        <v>932</v>
      </c>
      <c r="D14" s="46" t="s">
        <v>304</v>
      </c>
      <c r="E14" s="47" t="s">
        <v>304</v>
      </c>
      <c r="F14" s="19">
        <v>4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5" t="s">
        <v>933</v>
      </c>
      <c r="C15" s="15" t="s">
        <v>934</v>
      </c>
      <c r="D15" s="46" t="s">
        <v>304</v>
      </c>
      <c r="E15" s="47" t="s">
        <v>304</v>
      </c>
      <c r="F15" s="19">
        <v>6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5" t="s">
        <v>935</v>
      </c>
      <c r="C16" s="19" t="s">
        <v>936</v>
      </c>
      <c r="D16" s="46" t="s">
        <v>937</v>
      </c>
      <c r="E16" s="47" t="s">
        <v>937</v>
      </c>
      <c r="F16" s="19">
        <v>6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5" t="s">
        <v>938</v>
      </c>
      <c r="C17" s="19" t="s">
        <v>939</v>
      </c>
      <c r="D17" s="46" t="s">
        <v>304</v>
      </c>
      <c r="E17" s="47" t="s">
        <v>304</v>
      </c>
      <c r="F17" s="19">
        <v>4.4000000000000004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5" t="s">
        <v>940</v>
      </c>
      <c r="C18" s="15" t="s">
        <v>941</v>
      </c>
      <c r="D18" s="46" t="s">
        <v>682</v>
      </c>
      <c r="E18" s="47" t="s">
        <v>682</v>
      </c>
      <c r="F18" s="19">
        <v>11.85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5" t="s">
        <v>942</v>
      </c>
      <c r="C19" s="19" t="s">
        <v>943</v>
      </c>
      <c r="D19" s="46" t="s">
        <v>699</v>
      </c>
      <c r="E19" s="47" t="s">
        <v>699</v>
      </c>
      <c r="F19" s="19">
        <v>4.4000000000000004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5" t="s">
        <v>944</v>
      </c>
      <c r="C20" s="19" t="s">
        <v>945</v>
      </c>
      <c r="D20" s="46" t="s">
        <v>699</v>
      </c>
      <c r="E20" s="47" t="s">
        <v>699</v>
      </c>
      <c r="F20" s="19">
        <v>9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5" t="s">
        <v>946</v>
      </c>
      <c r="C21" s="15" t="s">
        <v>947</v>
      </c>
      <c r="D21" s="46" t="s">
        <v>304</v>
      </c>
      <c r="E21" s="47" t="s">
        <v>304</v>
      </c>
      <c r="F21" s="19">
        <v>1.2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5" t="s">
        <v>948</v>
      </c>
      <c r="C22" s="19" t="s">
        <v>949</v>
      </c>
      <c r="D22" s="46" t="s">
        <v>699</v>
      </c>
      <c r="E22" s="47" t="s">
        <v>699</v>
      </c>
      <c r="F22" s="19">
        <v>17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5" t="s">
        <v>950</v>
      </c>
      <c r="C23" s="19" t="s">
        <v>951</v>
      </c>
      <c r="D23" s="46" t="s">
        <v>699</v>
      </c>
      <c r="E23" s="47" t="s">
        <v>699</v>
      </c>
      <c r="F23" s="19">
        <v>0.5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5" t="s">
        <v>952</v>
      </c>
      <c r="C24" s="15" t="s">
        <v>953</v>
      </c>
      <c r="D24" s="46" t="s">
        <v>304</v>
      </c>
      <c r="E24" s="47" t="s">
        <v>304</v>
      </c>
      <c r="F24" s="19">
        <v>0.8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5" t="s">
        <v>954</v>
      </c>
      <c r="C25" s="19" t="s">
        <v>955</v>
      </c>
      <c r="D25" s="46" t="s">
        <v>699</v>
      </c>
      <c r="E25" s="47" t="s">
        <v>699</v>
      </c>
      <c r="F25" s="19">
        <v>1.5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5" t="s">
        <v>956</v>
      </c>
      <c r="C26" s="19" t="s">
        <v>957</v>
      </c>
      <c r="D26" s="46" t="s">
        <v>682</v>
      </c>
      <c r="E26" s="47" t="s">
        <v>682</v>
      </c>
      <c r="F26" s="19">
        <v>0.4</v>
      </c>
      <c r="G26" s="19"/>
      <c r="H26" s="19"/>
      <c r="I26" s="34">
        <f t="shared" si="0"/>
        <v>0</v>
      </c>
    </row>
    <row r="27" spans="1:9" ht="15.6" customHeight="1" x14ac:dyDescent="0.25">
      <c r="A27" s="13">
        <v>23</v>
      </c>
      <c r="B27" s="15" t="s">
        <v>958</v>
      </c>
      <c r="C27" s="15" t="s">
        <v>959</v>
      </c>
      <c r="D27" s="46" t="s">
        <v>682</v>
      </c>
      <c r="E27" s="47" t="s">
        <v>682</v>
      </c>
      <c r="F27" s="19">
        <v>3.2</v>
      </c>
      <c r="G27" s="19"/>
      <c r="H27" s="19"/>
      <c r="I27" s="34">
        <f t="shared" si="0"/>
        <v>0</v>
      </c>
    </row>
    <row r="28" spans="1:9" ht="16.8" customHeight="1" x14ac:dyDescent="0.25">
      <c r="A28" s="39" t="s">
        <v>1769</v>
      </c>
      <c r="B28" s="39"/>
      <c r="C28" s="39"/>
      <c r="D28" s="39" t="s">
        <v>1770</v>
      </c>
      <c r="E28" s="39"/>
      <c r="F28" s="12">
        <f>SUM(F5:F27)</f>
        <v>177.25</v>
      </c>
      <c r="G28" s="20"/>
      <c r="H28" s="12">
        <f>SUM(H5:H27)</f>
        <v>0</v>
      </c>
      <c r="I28" s="35">
        <f t="shared" si="0"/>
        <v>0</v>
      </c>
    </row>
  </sheetData>
  <mergeCells count="31">
    <mergeCell ref="A28:C28"/>
    <mergeCell ref="D28:E28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1AAE-4E42-4703-B018-B24566C0F610}">
  <sheetPr codeName="Sheet17"/>
  <dimension ref="A1:I23"/>
  <sheetViews>
    <sheetView zoomScaleNormal="100" workbookViewId="0">
      <selection activeCell="J26" sqref="J26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5" t="s">
        <v>960</v>
      </c>
      <c r="C5" s="15" t="s">
        <v>961</v>
      </c>
      <c r="D5" s="46" t="s">
        <v>2034</v>
      </c>
      <c r="E5" s="47" t="s">
        <v>119</v>
      </c>
      <c r="F5" s="15">
        <v>0</v>
      </c>
      <c r="G5" s="19"/>
      <c r="H5" s="19"/>
      <c r="I5" s="34" t="e">
        <f t="shared" ref="I5:I23" si="0">H5/F5</f>
        <v>#DIV/0!</v>
      </c>
    </row>
    <row r="6" spans="1:9" ht="15.6" customHeight="1" x14ac:dyDescent="0.25">
      <c r="A6" s="13">
        <v>2</v>
      </c>
      <c r="B6" s="15" t="s">
        <v>962</v>
      </c>
      <c r="C6" s="15" t="s">
        <v>963</v>
      </c>
      <c r="D6" s="46" t="s">
        <v>2034</v>
      </c>
      <c r="E6" s="47" t="s">
        <v>119</v>
      </c>
      <c r="F6" s="15">
        <v>0</v>
      </c>
      <c r="G6" s="19"/>
      <c r="H6" s="19"/>
      <c r="I6" s="34" t="e">
        <f t="shared" si="0"/>
        <v>#DIV/0!</v>
      </c>
    </row>
    <row r="7" spans="1:9" ht="15.6" customHeight="1" x14ac:dyDescent="0.25">
      <c r="A7" s="13">
        <v>3</v>
      </c>
      <c r="B7" s="15" t="s">
        <v>964</v>
      </c>
      <c r="C7" s="15" t="s">
        <v>965</v>
      </c>
      <c r="D7" s="46" t="s">
        <v>2035</v>
      </c>
      <c r="E7" s="47" t="s">
        <v>243</v>
      </c>
      <c r="F7" s="15">
        <v>32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5" t="s">
        <v>966</v>
      </c>
      <c r="C8" s="15" t="s">
        <v>967</v>
      </c>
      <c r="D8" s="46" t="s">
        <v>2036</v>
      </c>
      <c r="E8" s="47" t="s">
        <v>243</v>
      </c>
      <c r="F8" s="15">
        <v>13.8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5" t="s">
        <v>968</v>
      </c>
      <c r="C9" s="15" t="s">
        <v>969</v>
      </c>
      <c r="D9" s="46" t="s">
        <v>2037</v>
      </c>
      <c r="E9" s="47" t="s">
        <v>243</v>
      </c>
      <c r="F9" s="15">
        <v>7.5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5" t="s">
        <v>970</v>
      </c>
      <c r="C10" s="15" t="s">
        <v>971</v>
      </c>
      <c r="D10" s="46" t="s">
        <v>2038</v>
      </c>
      <c r="E10" s="47" t="s">
        <v>243</v>
      </c>
      <c r="F10" s="15">
        <v>9.4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5" t="s">
        <v>972</v>
      </c>
      <c r="C11" s="15" t="s">
        <v>973</v>
      </c>
      <c r="D11" s="46" t="s">
        <v>2039</v>
      </c>
      <c r="E11" s="47" t="s">
        <v>243</v>
      </c>
      <c r="F11" s="15">
        <v>28.7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5" t="s">
        <v>974</v>
      </c>
      <c r="C12" s="15" t="s">
        <v>975</v>
      </c>
      <c r="D12" s="46" t="s">
        <v>2040</v>
      </c>
      <c r="E12" s="47" t="s">
        <v>243</v>
      </c>
      <c r="F12" s="15">
        <v>59.6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5" t="s">
        <v>976</v>
      </c>
      <c r="C13" s="15" t="s">
        <v>977</v>
      </c>
      <c r="D13" s="46" t="s">
        <v>2040</v>
      </c>
      <c r="E13" s="47" t="s">
        <v>243</v>
      </c>
      <c r="F13" s="15">
        <v>37.9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5" t="s">
        <v>978</v>
      </c>
      <c r="C14" s="15" t="s">
        <v>979</v>
      </c>
      <c r="D14" s="46" t="s">
        <v>2035</v>
      </c>
      <c r="E14" s="47" t="s">
        <v>243</v>
      </c>
      <c r="F14" s="15">
        <v>0</v>
      </c>
      <c r="G14" s="19"/>
      <c r="H14" s="19"/>
      <c r="I14" s="34" t="e">
        <f t="shared" si="0"/>
        <v>#DIV/0!</v>
      </c>
    </row>
    <row r="15" spans="1:9" ht="15.6" customHeight="1" x14ac:dyDescent="0.25">
      <c r="A15" s="13">
        <v>11</v>
      </c>
      <c r="B15" s="15" t="s">
        <v>980</v>
      </c>
      <c r="C15" s="15" t="s">
        <v>981</v>
      </c>
      <c r="D15" s="46" t="s">
        <v>2041</v>
      </c>
      <c r="E15" s="47" t="s">
        <v>243</v>
      </c>
      <c r="F15" s="15">
        <v>12.2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5" t="s">
        <v>982</v>
      </c>
      <c r="C16" s="15" t="s">
        <v>983</v>
      </c>
      <c r="D16" s="46" t="s">
        <v>2042</v>
      </c>
      <c r="E16" s="47" t="s">
        <v>243</v>
      </c>
      <c r="F16" s="15">
        <v>0</v>
      </c>
      <c r="G16" s="15"/>
      <c r="H16" s="15"/>
      <c r="I16" s="34" t="e">
        <f t="shared" si="0"/>
        <v>#DIV/0!</v>
      </c>
    </row>
    <row r="17" spans="1:9" ht="15.6" customHeight="1" x14ac:dyDescent="0.25">
      <c r="A17" s="13">
        <v>13</v>
      </c>
      <c r="B17" s="15" t="s">
        <v>984</v>
      </c>
      <c r="C17" s="15" t="s">
        <v>985</v>
      </c>
      <c r="D17" s="46" t="s">
        <v>2043</v>
      </c>
      <c r="E17" s="47" t="s">
        <v>243</v>
      </c>
      <c r="F17" s="15">
        <v>0</v>
      </c>
      <c r="G17" s="19"/>
      <c r="H17" s="19"/>
      <c r="I17" s="34" t="e">
        <f t="shared" si="0"/>
        <v>#DIV/0!</v>
      </c>
    </row>
    <row r="18" spans="1:9" ht="15.6" customHeight="1" x14ac:dyDescent="0.25">
      <c r="A18" s="13">
        <v>14</v>
      </c>
      <c r="B18" s="15" t="s">
        <v>986</v>
      </c>
      <c r="C18" s="15" t="s">
        <v>987</v>
      </c>
      <c r="D18" s="46" t="s">
        <v>2044</v>
      </c>
      <c r="E18" s="47" t="s">
        <v>243</v>
      </c>
      <c r="F18" s="15">
        <v>0</v>
      </c>
      <c r="G18" s="19"/>
      <c r="H18" s="19"/>
      <c r="I18" s="34" t="e">
        <f t="shared" si="0"/>
        <v>#DIV/0!</v>
      </c>
    </row>
    <row r="19" spans="1:9" ht="15.6" customHeight="1" x14ac:dyDescent="0.25">
      <c r="A19" s="13">
        <v>15</v>
      </c>
      <c r="B19" s="15" t="s">
        <v>988</v>
      </c>
      <c r="C19" s="15" t="s">
        <v>989</v>
      </c>
      <c r="D19" s="46" t="s">
        <v>2045</v>
      </c>
      <c r="E19" s="47" t="s">
        <v>243</v>
      </c>
      <c r="F19" s="15">
        <v>0</v>
      </c>
      <c r="G19" s="15"/>
      <c r="H19" s="15"/>
      <c r="I19" s="34" t="e">
        <f t="shared" si="0"/>
        <v>#DIV/0!</v>
      </c>
    </row>
    <row r="20" spans="1:9" ht="15.6" customHeight="1" x14ac:dyDescent="0.25">
      <c r="A20" s="13">
        <v>16</v>
      </c>
      <c r="B20" s="15" t="s">
        <v>990</v>
      </c>
      <c r="C20" s="15" t="s">
        <v>991</v>
      </c>
      <c r="D20" s="46" t="s">
        <v>2046</v>
      </c>
      <c r="E20" s="47" t="s">
        <v>992</v>
      </c>
      <c r="F20" s="15">
        <v>16.799999999999997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5" t="s">
        <v>993</v>
      </c>
      <c r="C21" s="15" t="s">
        <v>994</v>
      </c>
      <c r="D21" s="46" t="s">
        <v>2047</v>
      </c>
      <c r="E21" s="47" t="s">
        <v>992</v>
      </c>
      <c r="F21" s="15">
        <v>12.899999999999999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5" t="s">
        <v>995</v>
      </c>
      <c r="C22" s="15" t="s">
        <v>996</v>
      </c>
      <c r="D22" s="46" t="s">
        <v>2048</v>
      </c>
      <c r="E22" s="47" t="s">
        <v>992</v>
      </c>
      <c r="F22" s="15">
        <v>0</v>
      </c>
      <c r="G22" s="15"/>
      <c r="H22" s="15"/>
      <c r="I22" s="34" t="e">
        <f t="shared" si="0"/>
        <v>#DIV/0!</v>
      </c>
    </row>
    <row r="23" spans="1:9" ht="16.8" customHeight="1" x14ac:dyDescent="0.25">
      <c r="A23" s="39" t="s">
        <v>1769</v>
      </c>
      <c r="B23" s="39"/>
      <c r="C23" s="39"/>
      <c r="D23" s="39" t="s">
        <v>2033</v>
      </c>
      <c r="E23" s="39"/>
      <c r="F23" s="12">
        <f>SUM(F5:F22)</f>
        <v>230.79999999999998</v>
      </c>
      <c r="G23" s="20"/>
      <c r="H23" s="12">
        <f>SUM(H5:H22)</f>
        <v>0</v>
      </c>
      <c r="I23" s="35">
        <f t="shared" si="0"/>
        <v>0</v>
      </c>
    </row>
  </sheetData>
  <mergeCells count="26">
    <mergeCell ref="A23:C23"/>
    <mergeCell ref="D23:E23"/>
    <mergeCell ref="D17:E17"/>
    <mergeCell ref="D18:E18"/>
    <mergeCell ref="D19:E19"/>
    <mergeCell ref="D20:E20"/>
    <mergeCell ref="D21:E21"/>
    <mergeCell ref="D22:E22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FAFF-CC6C-44AD-A337-6545E5E21757}">
  <sheetPr codeName="Sheet18"/>
  <dimension ref="A1:I50"/>
  <sheetViews>
    <sheetView topLeftCell="A22" zoomScaleNormal="100" workbookViewId="0">
      <selection activeCell="D51" sqref="D51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5" t="s">
        <v>1000</v>
      </c>
      <c r="C5" s="15" t="s">
        <v>1001</v>
      </c>
      <c r="D5" s="46" t="s">
        <v>1002</v>
      </c>
      <c r="E5" s="47" t="s">
        <v>1002</v>
      </c>
      <c r="F5" s="15">
        <v>25</v>
      </c>
      <c r="G5" s="19"/>
      <c r="H5" s="19"/>
      <c r="I5" s="34">
        <f t="shared" ref="I5:I25" si="0">H5/F5</f>
        <v>0</v>
      </c>
    </row>
    <row r="6" spans="1:9" ht="15.6" customHeight="1" x14ac:dyDescent="0.25">
      <c r="A6" s="13">
        <v>2</v>
      </c>
      <c r="B6" s="15" t="s">
        <v>1003</v>
      </c>
      <c r="C6" s="15" t="s">
        <v>1004</v>
      </c>
      <c r="D6" s="46" t="s">
        <v>1002</v>
      </c>
      <c r="E6" s="47" t="s">
        <v>1002</v>
      </c>
      <c r="F6" s="15">
        <v>1.8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5" t="s">
        <v>1005</v>
      </c>
      <c r="C7" s="15" t="s">
        <v>1006</v>
      </c>
      <c r="D7" s="46" t="s">
        <v>1002</v>
      </c>
      <c r="E7" s="47" t="s">
        <v>1002</v>
      </c>
      <c r="F7" s="15">
        <v>2.4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5" t="s">
        <v>1007</v>
      </c>
      <c r="C8" s="15" t="s">
        <v>1008</v>
      </c>
      <c r="D8" s="46" t="s">
        <v>1002</v>
      </c>
      <c r="E8" s="47" t="s">
        <v>1002</v>
      </c>
      <c r="F8" s="15">
        <v>1.7999999999999998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5" t="s">
        <v>1009</v>
      </c>
      <c r="C9" s="15" t="s">
        <v>1010</v>
      </c>
      <c r="D9" s="46" t="s">
        <v>1002</v>
      </c>
      <c r="E9" s="47" t="s">
        <v>1002</v>
      </c>
      <c r="F9" s="15">
        <v>3.35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5" t="s">
        <v>1011</v>
      </c>
      <c r="C10" s="15" t="s">
        <v>1012</v>
      </c>
      <c r="D10" s="46" t="s">
        <v>1002</v>
      </c>
      <c r="E10" s="47" t="s">
        <v>1002</v>
      </c>
      <c r="F10" s="15">
        <v>0.8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5" t="s">
        <v>1013</v>
      </c>
      <c r="C11" s="15" t="s">
        <v>1014</v>
      </c>
      <c r="D11" s="46" t="s">
        <v>1002</v>
      </c>
      <c r="E11" s="47" t="s">
        <v>1002</v>
      </c>
      <c r="F11" s="15">
        <v>8.1999999999999993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5" t="s">
        <v>1015</v>
      </c>
      <c r="C12" s="15" t="s">
        <v>1016</v>
      </c>
      <c r="D12" s="46" t="s">
        <v>1002</v>
      </c>
      <c r="E12" s="47" t="s">
        <v>1002</v>
      </c>
      <c r="F12" s="15">
        <v>12.5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5" t="s">
        <v>1017</v>
      </c>
      <c r="C13" s="15" t="s">
        <v>1018</v>
      </c>
      <c r="D13" s="46" t="s">
        <v>1002</v>
      </c>
      <c r="E13" s="47" t="s">
        <v>1002</v>
      </c>
      <c r="F13" s="15">
        <v>5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5" t="s">
        <v>1019</v>
      </c>
      <c r="C14" s="15" t="s">
        <v>1020</v>
      </c>
      <c r="D14" s="46" t="s">
        <v>1002</v>
      </c>
      <c r="E14" s="47" t="s">
        <v>1002</v>
      </c>
      <c r="F14" s="15">
        <v>36.6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5" t="s">
        <v>1021</v>
      </c>
      <c r="C15" s="15" t="s">
        <v>1022</v>
      </c>
      <c r="D15" s="46" t="s">
        <v>1023</v>
      </c>
      <c r="E15" s="47" t="s">
        <v>1023</v>
      </c>
      <c r="F15" s="15">
        <v>46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5" t="s">
        <v>1024</v>
      </c>
      <c r="C16" s="15" t="s">
        <v>1025</v>
      </c>
      <c r="D16" s="46" t="s">
        <v>230</v>
      </c>
      <c r="E16" s="47" t="s">
        <v>230</v>
      </c>
      <c r="F16" s="15">
        <v>0</v>
      </c>
      <c r="G16" s="15"/>
      <c r="H16" s="15"/>
      <c r="I16" s="34" t="e">
        <f t="shared" si="0"/>
        <v>#DIV/0!</v>
      </c>
    </row>
    <row r="17" spans="1:9" ht="15.6" customHeight="1" x14ac:dyDescent="0.25">
      <c r="A17" s="13">
        <v>13</v>
      </c>
      <c r="B17" s="15" t="s">
        <v>1026</v>
      </c>
      <c r="C17" s="15" t="s">
        <v>1027</v>
      </c>
      <c r="D17" s="46" t="s">
        <v>230</v>
      </c>
      <c r="E17" s="47" t="s">
        <v>230</v>
      </c>
      <c r="F17" s="15">
        <v>7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5" t="s">
        <v>1028</v>
      </c>
      <c r="C18" s="15" t="s">
        <v>1029</v>
      </c>
      <c r="D18" s="46" t="s">
        <v>119</v>
      </c>
      <c r="E18" s="47" t="s">
        <v>119</v>
      </c>
      <c r="F18" s="15">
        <v>6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5" t="s">
        <v>1030</v>
      </c>
      <c r="C19" s="15" t="s">
        <v>1031</v>
      </c>
      <c r="D19" s="46" t="s">
        <v>119</v>
      </c>
      <c r="E19" s="47" t="s">
        <v>119</v>
      </c>
      <c r="F19" s="15">
        <v>1.5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5" t="s">
        <v>1032</v>
      </c>
      <c r="C20" s="15" t="s">
        <v>1033</v>
      </c>
      <c r="D20" s="46" t="s">
        <v>119</v>
      </c>
      <c r="E20" s="47" t="s">
        <v>119</v>
      </c>
      <c r="F20" s="15">
        <v>6.9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5" t="s">
        <v>1034</v>
      </c>
      <c r="C21" s="15" t="s">
        <v>1035</v>
      </c>
      <c r="D21" s="46" t="s">
        <v>119</v>
      </c>
      <c r="E21" s="47" t="s">
        <v>119</v>
      </c>
      <c r="F21" s="15">
        <v>1.2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5" t="s">
        <v>1036</v>
      </c>
      <c r="C22" s="15" t="s">
        <v>1037</v>
      </c>
      <c r="D22" s="46" t="s">
        <v>119</v>
      </c>
      <c r="E22" s="47" t="s">
        <v>119</v>
      </c>
      <c r="F22" s="15">
        <v>1.5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5" t="s">
        <v>1038</v>
      </c>
      <c r="C23" s="15" t="s">
        <v>1039</v>
      </c>
      <c r="D23" s="46" t="s">
        <v>119</v>
      </c>
      <c r="E23" s="47" t="s">
        <v>119</v>
      </c>
      <c r="F23" s="15">
        <v>6.8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5" t="s">
        <v>1040</v>
      </c>
      <c r="C24" s="15" t="s">
        <v>1041</v>
      </c>
      <c r="D24" s="46" t="s">
        <v>1042</v>
      </c>
      <c r="E24" s="47" t="s">
        <v>1042</v>
      </c>
      <c r="F24" s="15">
        <v>81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5" t="s">
        <v>1043</v>
      </c>
      <c r="C25" s="15" t="s">
        <v>1044</v>
      </c>
      <c r="D25" s="46" t="s">
        <v>1045</v>
      </c>
      <c r="E25" s="47" t="s">
        <v>1045</v>
      </c>
      <c r="F25" s="15">
        <v>29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5" t="s">
        <v>1046</v>
      </c>
      <c r="C26" s="15" t="s">
        <v>1047</v>
      </c>
      <c r="D26" s="46" t="s">
        <v>1048</v>
      </c>
      <c r="E26" s="47" t="s">
        <v>1048</v>
      </c>
      <c r="F26" s="15">
        <v>19</v>
      </c>
      <c r="G26" s="19"/>
      <c r="H26" s="19"/>
      <c r="I26" s="34">
        <f t="shared" ref="I26:I41" si="1">H26/F26</f>
        <v>0</v>
      </c>
    </row>
    <row r="27" spans="1:9" ht="15.6" customHeight="1" x14ac:dyDescent="0.25">
      <c r="A27" s="13">
        <v>23</v>
      </c>
      <c r="B27" s="15" t="s">
        <v>1049</v>
      </c>
      <c r="C27" s="15" t="s">
        <v>1050</v>
      </c>
      <c r="D27" s="46" t="s">
        <v>119</v>
      </c>
      <c r="E27" s="47" t="s">
        <v>119</v>
      </c>
      <c r="F27" s="15">
        <v>0</v>
      </c>
      <c r="G27" s="19"/>
      <c r="H27" s="19"/>
      <c r="I27" s="34" t="e">
        <f t="shared" si="1"/>
        <v>#DIV/0!</v>
      </c>
    </row>
    <row r="28" spans="1:9" ht="15.6" customHeight="1" x14ac:dyDescent="0.25">
      <c r="A28" s="13">
        <v>24</v>
      </c>
      <c r="B28" s="15" t="s">
        <v>1051</v>
      </c>
      <c r="C28" s="15" t="s">
        <v>1052</v>
      </c>
      <c r="D28" s="46" t="s">
        <v>119</v>
      </c>
      <c r="E28" s="47" t="s">
        <v>119</v>
      </c>
      <c r="F28" s="15">
        <v>0</v>
      </c>
      <c r="G28" s="19"/>
      <c r="H28" s="19"/>
      <c r="I28" s="34" t="e">
        <f t="shared" si="1"/>
        <v>#DIV/0!</v>
      </c>
    </row>
    <row r="29" spans="1:9" ht="15.6" customHeight="1" x14ac:dyDescent="0.25">
      <c r="A29" s="13">
        <v>25</v>
      </c>
      <c r="B29" s="15" t="s">
        <v>1053</v>
      </c>
      <c r="C29" s="15" t="s">
        <v>1054</v>
      </c>
      <c r="D29" s="46" t="s">
        <v>119</v>
      </c>
      <c r="E29" s="47" t="s">
        <v>119</v>
      </c>
      <c r="F29" s="15">
        <v>0</v>
      </c>
      <c r="G29" s="19"/>
      <c r="H29" s="19"/>
      <c r="I29" s="34" t="e">
        <f t="shared" si="1"/>
        <v>#DIV/0!</v>
      </c>
    </row>
    <row r="30" spans="1:9" ht="15.6" customHeight="1" x14ac:dyDescent="0.25">
      <c r="A30" s="13">
        <v>26</v>
      </c>
      <c r="B30" s="15" t="s">
        <v>1055</v>
      </c>
      <c r="C30" s="15" t="s">
        <v>1056</v>
      </c>
      <c r="D30" s="46" t="s">
        <v>119</v>
      </c>
      <c r="E30" s="47" t="s">
        <v>119</v>
      </c>
      <c r="F30" s="15">
        <v>0</v>
      </c>
      <c r="G30" s="19"/>
      <c r="H30" s="19"/>
      <c r="I30" s="34" t="e">
        <f t="shared" si="1"/>
        <v>#DIV/0!</v>
      </c>
    </row>
    <row r="31" spans="1:9" ht="15.6" customHeight="1" x14ac:dyDescent="0.25">
      <c r="A31" s="13">
        <v>27</v>
      </c>
      <c r="B31" s="15" t="s">
        <v>1057</v>
      </c>
      <c r="C31" s="15" t="s">
        <v>1035</v>
      </c>
      <c r="D31" s="46" t="s">
        <v>119</v>
      </c>
      <c r="E31" s="47" t="s">
        <v>119</v>
      </c>
      <c r="F31" s="15">
        <v>0</v>
      </c>
      <c r="G31" s="19"/>
      <c r="H31" s="19"/>
      <c r="I31" s="34" t="e">
        <f t="shared" si="1"/>
        <v>#DIV/0!</v>
      </c>
    </row>
    <row r="32" spans="1:9" ht="15.6" customHeight="1" x14ac:dyDescent="0.25">
      <c r="A32" s="13">
        <v>28</v>
      </c>
      <c r="B32" s="15" t="s">
        <v>1058</v>
      </c>
      <c r="C32" s="15" t="s">
        <v>1059</v>
      </c>
      <c r="D32" s="46" t="s">
        <v>119</v>
      </c>
      <c r="E32" s="47" t="s">
        <v>119</v>
      </c>
      <c r="F32" s="15">
        <v>0</v>
      </c>
      <c r="G32" s="19"/>
      <c r="H32" s="19"/>
      <c r="I32" s="34" t="e">
        <f t="shared" si="1"/>
        <v>#DIV/0!</v>
      </c>
    </row>
    <row r="33" spans="1:9" ht="15.6" customHeight="1" x14ac:dyDescent="0.25">
      <c r="A33" s="13">
        <v>29</v>
      </c>
      <c r="B33" s="15" t="s">
        <v>1060</v>
      </c>
      <c r="C33" s="15" t="s">
        <v>1061</v>
      </c>
      <c r="D33" s="46" t="s">
        <v>119</v>
      </c>
      <c r="E33" s="47" t="s">
        <v>119</v>
      </c>
      <c r="F33" s="15">
        <v>0</v>
      </c>
      <c r="G33" s="19"/>
      <c r="H33" s="19"/>
      <c r="I33" s="34" t="e">
        <f t="shared" si="1"/>
        <v>#DIV/0!</v>
      </c>
    </row>
    <row r="34" spans="1:9" ht="15.6" customHeight="1" x14ac:dyDescent="0.25">
      <c r="A34" s="13">
        <v>30</v>
      </c>
      <c r="B34" s="15" t="s">
        <v>1062</v>
      </c>
      <c r="C34" s="15" t="s">
        <v>1063</v>
      </c>
      <c r="D34" s="46" t="s">
        <v>119</v>
      </c>
      <c r="E34" s="47" t="s">
        <v>119</v>
      </c>
      <c r="F34" s="15">
        <v>0</v>
      </c>
      <c r="G34" s="19"/>
      <c r="H34" s="19"/>
      <c r="I34" s="34" t="e">
        <f t="shared" si="1"/>
        <v>#DIV/0!</v>
      </c>
    </row>
    <row r="35" spans="1:9" ht="15.6" customHeight="1" x14ac:dyDescent="0.25">
      <c r="A35" s="13">
        <v>31</v>
      </c>
      <c r="B35" s="15" t="s">
        <v>1064</v>
      </c>
      <c r="C35" s="15" t="s">
        <v>1065</v>
      </c>
      <c r="D35" s="46" t="s">
        <v>1066</v>
      </c>
      <c r="E35" s="47" t="s">
        <v>1066</v>
      </c>
      <c r="F35" s="15">
        <v>0</v>
      </c>
      <c r="G35" s="19"/>
      <c r="H35" s="19"/>
      <c r="I35" s="34" t="e">
        <f t="shared" si="1"/>
        <v>#DIV/0!</v>
      </c>
    </row>
    <row r="36" spans="1:9" ht="15.6" customHeight="1" x14ac:dyDescent="0.25">
      <c r="A36" s="13">
        <v>32</v>
      </c>
      <c r="B36" s="15" t="s">
        <v>1067</v>
      </c>
      <c r="C36" s="15" t="s">
        <v>1068</v>
      </c>
      <c r="D36" s="46" t="s">
        <v>1066</v>
      </c>
      <c r="E36" s="47" t="s">
        <v>1066</v>
      </c>
      <c r="F36" s="15">
        <v>0</v>
      </c>
      <c r="G36" s="19"/>
      <c r="H36" s="19"/>
      <c r="I36" s="34" t="e">
        <f t="shared" si="1"/>
        <v>#DIV/0!</v>
      </c>
    </row>
    <row r="37" spans="1:9" ht="15.6" customHeight="1" x14ac:dyDescent="0.25">
      <c r="A37" s="13">
        <v>33</v>
      </c>
      <c r="B37" s="15" t="s">
        <v>1069</v>
      </c>
      <c r="C37" s="15" t="s">
        <v>1070</v>
      </c>
      <c r="D37" s="46" t="s">
        <v>230</v>
      </c>
      <c r="E37" s="47" t="s">
        <v>230</v>
      </c>
      <c r="F37" s="15">
        <v>0</v>
      </c>
      <c r="G37" s="19"/>
      <c r="H37" s="19"/>
      <c r="I37" s="34" t="e">
        <f t="shared" si="1"/>
        <v>#DIV/0!</v>
      </c>
    </row>
    <row r="38" spans="1:9" ht="15.6" customHeight="1" x14ac:dyDescent="0.25">
      <c r="A38" s="13">
        <v>34</v>
      </c>
      <c r="B38" s="15" t="s">
        <v>1071</v>
      </c>
      <c r="C38" s="15" t="s">
        <v>1072</v>
      </c>
      <c r="D38" s="46" t="s">
        <v>230</v>
      </c>
      <c r="E38" s="47" t="s">
        <v>230</v>
      </c>
      <c r="F38" s="15">
        <v>0</v>
      </c>
      <c r="G38" s="19"/>
      <c r="H38" s="19"/>
      <c r="I38" s="34" t="e">
        <f t="shared" si="1"/>
        <v>#DIV/0!</v>
      </c>
    </row>
    <row r="39" spans="1:9" ht="15.6" customHeight="1" x14ac:dyDescent="0.25">
      <c r="A39" s="13">
        <v>35</v>
      </c>
      <c r="B39" s="15" t="s">
        <v>1073</v>
      </c>
      <c r="C39" s="15" t="s">
        <v>1074</v>
      </c>
      <c r="D39" s="46" t="s">
        <v>1075</v>
      </c>
      <c r="E39" s="47" t="s">
        <v>1075</v>
      </c>
      <c r="F39" s="15">
        <v>0</v>
      </c>
      <c r="G39" s="19"/>
      <c r="H39" s="19"/>
      <c r="I39" s="34" t="e">
        <f t="shared" si="1"/>
        <v>#DIV/0!</v>
      </c>
    </row>
    <row r="40" spans="1:9" ht="15.6" customHeight="1" x14ac:dyDescent="0.25">
      <c r="A40" s="13">
        <v>36</v>
      </c>
      <c r="B40" s="15" t="s">
        <v>1076</v>
      </c>
      <c r="C40" s="15" t="s">
        <v>1077</v>
      </c>
      <c r="D40" s="46" t="s">
        <v>1078</v>
      </c>
      <c r="E40" s="47" t="s">
        <v>1078</v>
      </c>
      <c r="F40" s="15">
        <v>0</v>
      </c>
      <c r="G40" s="19"/>
      <c r="H40" s="19"/>
      <c r="I40" s="34" t="e">
        <f t="shared" si="1"/>
        <v>#DIV/0!</v>
      </c>
    </row>
    <row r="41" spans="1:9" ht="15.6" customHeight="1" x14ac:dyDescent="0.25">
      <c r="A41" s="13">
        <v>37</v>
      </c>
      <c r="B41" s="15" t="s">
        <v>1079</v>
      </c>
      <c r="C41" s="15" t="s">
        <v>1080</v>
      </c>
      <c r="D41" s="46" t="s">
        <v>119</v>
      </c>
      <c r="E41" s="47" t="s">
        <v>119</v>
      </c>
      <c r="F41" s="15">
        <v>0</v>
      </c>
      <c r="G41" s="19"/>
      <c r="H41" s="19"/>
      <c r="I41" s="34" t="e">
        <f t="shared" si="1"/>
        <v>#DIV/0!</v>
      </c>
    </row>
    <row r="42" spans="1:9" ht="15.6" customHeight="1" x14ac:dyDescent="0.25">
      <c r="A42" s="13">
        <v>38</v>
      </c>
      <c r="B42" s="15" t="s">
        <v>1081</v>
      </c>
      <c r="C42" s="15" t="s">
        <v>1082</v>
      </c>
      <c r="D42" s="46" t="s">
        <v>119</v>
      </c>
      <c r="E42" s="47" t="s">
        <v>119</v>
      </c>
      <c r="F42" s="15">
        <v>0</v>
      </c>
      <c r="G42" s="19"/>
      <c r="H42" s="19"/>
      <c r="I42" s="34" t="e">
        <f>H42/F42</f>
        <v>#DIV/0!</v>
      </c>
    </row>
    <row r="43" spans="1:9" ht="16.8" customHeight="1" x14ac:dyDescent="0.25">
      <c r="A43" s="39" t="s">
        <v>1769</v>
      </c>
      <c r="B43" s="39"/>
      <c r="C43" s="39"/>
      <c r="D43" s="39" t="s">
        <v>2049</v>
      </c>
      <c r="E43" s="39"/>
      <c r="F43" s="12">
        <f>SUM(F5:F42)</f>
        <v>303.35000000000002</v>
      </c>
      <c r="G43" s="20"/>
      <c r="H43" s="12">
        <f>SUM(H5:H42)</f>
        <v>0</v>
      </c>
      <c r="I43" s="35">
        <f>H43/F43</f>
        <v>0</v>
      </c>
    </row>
    <row r="45" spans="1:9" ht="15" x14ac:dyDescent="0.25">
      <c r="A45" s="17" t="s">
        <v>1766</v>
      </c>
    </row>
    <row r="47" spans="1:9" s="18" customFormat="1" ht="17.399999999999999" customHeight="1" x14ac:dyDescent="0.25">
      <c r="A47" s="63" t="s">
        <v>0</v>
      </c>
      <c r="B47" s="65" t="s">
        <v>1761</v>
      </c>
      <c r="C47" s="66"/>
      <c r="D47" s="42" t="s">
        <v>1763</v>
      </c>
      <c r="E47" s="43"/>
      <c r="F47" s="59" t="s">
        <v>1768</v>
      </c>
      <c r="G47" s="61" t="s">
        <v>1772</v>
      </c>
      <c r="H47" s="54" t="s">
        <v>1773</v>
      </c>
      <c r="I47" s="56"/>
    </row>
    <row r="48" spans="1:9" s="18" customFormat="1" ht="17.399999999999999" customHeight="1" x14ac:dyDescent="0.25">
      <c r="A48" s="64"/>
      <c r="B48" s="11" t="s">
        <v>1</v>
      </c>
      <c r="C48" s="11" t="s">
        <v>1762</v>
      </c>
      <c r="D48" s="44"/>
      <c r="E48" s="45"/>
      <c r="F48" s="60"/>
      <c r="G48" s="62"/>
      <c r="H48" s="11" t="s">
        <v>1774</v>
      </c>
      <c r="I48" s="11" t="s">
        <v>1775</v>
      </c>
    </row>
    <row r="49" spans="1:9" ht="16.2" customHeight="1" x14ac:dyDescent="0.25">
      <c r="A49" s="8">
        <v>1</v>
      </c>
      <c r="B49" s="10" t="s">
        <v>997</v>
      </c>
      <c r="C49" s="10" t="s">
        <v>998</v>
      </c>
      <c r="D49" s="48" t="s">
        <v>999</v>
      </c>
      <c r="E49" s="49"/>
      <c r="F49" s="10">
        <v>278</v>
      </c>
      <c r="G49" s="19"/>
      <c r="H49" s="19"/>
      <c r="I49" s="34">
        <f>H49/F49</f>
        <v>0</v>
      </c>
    </row>
    <row r="50" spans="1:9" ht="16.8" customHeight="1" x14ac:dyDescent="0.25">
      <c r="A50" s="54" t="s">
        <v>1769</v>
      </c>
      <c r="B50" s="55"/>
      <c r="C50" s="56"/>
      <c r="D50" s="54" t="s">
        <v>2050</v>
      </c>
      <c r="E50" s="56"/>
      <c r="F50" s="12">
        <f>SUM(F49:F49)</f>
        <v>278</v>
      </c>
      <c r="G50" s="20"/>
      <c r="H50" s="12">
        <f>SUM(H49:H49)</f>
        <v>0</v>
      </c>
      <c r="I50" s="35">
        <f>H50/F50</f>
        <v>0</v>
      </c>
    </row>
  </sheetData>
  <mergeCells count="55">
    <mergeCell ref="D49:E49"/>
    <mergeCell ref="A50:C50"/>
    <mergeCell ref="D50:E50"/>
    <mergeCell ref="D27:E27"/>
    <mergeCell ref="D28:E28"/>
    <mergeCell ref="D29:E29"/>
    <mergeCell ref="D30:E30"/>
    <mergeCell ref="D31:E31"/>
    <mergeCell ref="D32:E32"/>
    <mergeCell ref="A47:A48"/>
    <mergeCell ref="B47:C47"/>
    <mergeCell ref="D47:E48"/>
    <mergeCell ref="A43:C43"/>
    <mergeCell ref="D36:E36"/>
    <mergeCell ref="D37:E37"/>
    <mergeCell ref="D38:E38"/>
    <mergeCell ref="F47:F48"/>
    <mergeCell ref="G47:G48"/>
    <mergeCell ref="H47:I47"/>
    <mergeCell ref="D23:E23"/>
    <mergeCell ref="D24:E24"/>
    <mergeCell ref="D25:E25"/>
    <mergeCell ref="D26:E26"/>
    <mergeCell ref="D42:E42"/>
    <mergeCell ref="D43:E43"/>
    <mergeCell ref="D33:E33"/>
    <mergeCell ref="D34:E34"/>
    <mergeCell ref="D35:E35"/>
    <mergeCell ref="D41:E41"/>
    <mergeCell ref="D39:E39"/>
    <mergeCell ref="D40:E40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04BE-6DB8-49BB-84E5-6A4DEF7D2E17}">
  <sheetPr codeName="Sheet19"/>
  <dimension ref="A1:I9"/>
  <sheetViews>
    <sheetView zoomScaleNormal="100" workbookViewId="0">
      <selection activeCell="K14" sqref="K14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5" t="s">
        <v>1083</v>
      </c>
      <c r="C5" s="15" t="s">
        <v>1084</v>
      </c>
      <c r="D5" s="46" t="s">
        <v>1085</v>
      </c>
      <c r="E5" s="47" t="s">
        <v>1085</v>
      </c>
      <c r="F5" s="15">
        <v>29</v>
      </c>
      <c r="G5" s="19"/>
      <c r="H5" s="19"/>
      <c r="I5" s="34">
        <f>H5/F5</f>
        <v>0</v>
      </c>
    </row>
    <row r="6" spans="1:9" ht="15.6" customHeight="1" x14ac:dyDescent="0.25">
      <c r="A6" s="13">
        <v>2</v>
      </c>
      <c r="B6" s="15" t="s">
        <v>1086</v>
      </c>
      <c r="C6" s="15" t="s">
        <v>1087</v>
      </c>
      <c r="D6" s="46" t="s">
        <v>119</v>
      </c>
      <c r="E6" s="47" t="s">
        <v>119</v>
      </c>
      <c r="F6" s="15"/>
      <c r="G6" s="19"/>
      <c r="H6" s="19"/>
      <c r="I6" s="34" t="e">
        <f>H6/F6</f>
        <v>#DIV/0!</v>
      </c>
    </row>
    <row r="7" spans="1:9" ht="15.6" customHeight="1" x14ac:dyDescent="0.25">
      <c r="A7" s="13">
        <v>3</v>
      </c>
      <c r="B7" s="15" t="s">
        <v>1088</v>
      </c>
      <c r="C7" s="15" t="s">
        <v>1089</v>
      </c>
      <c r="D7" s="46" t="s">
        <v>119</v>
      </c>
      <c r="E7" s="47" t="s">
        <v>119</v>
      </c>
      <c r="F7" s="15"/>
      <c r="G7" s="15"/>
      <c r="H7" s="15"/>
      <c r="I7" s="34" t="e">
        <f>H7/F7</f>
        <v>#DIV/0!</v>
      </c>
    </row>
    <row r="8" spans="1:9" ht="15.6" customHeight="1" x14ac:dyDescent="0.25">
      <c r="A8" s="13">
        <v>4</v>
      </c>
      <c r="B8" s="15" t="s">
        <v>1090</v>
      </c>
      <c r="C8" s="15" t="s">
        <v>1091</v>
      </c>
      <c r="D8" s="46" t="s">
        <v>119</v>
      </c>
      <c r="E8" s="47" t="s">
        <v>119</v>
      </c>
      <c r="F8" s="15"/>
      <c r="G8" s="19"/>
      <c r="H8" s="19"/>
      <c r="I8" s="34" t="e">
        <f>H8/F8</f>
        <v>#DIV/0!</v>
      </c>
    </row>
    <row r="9" spans="1:9" ht="16.8" customHeight="1" x14ac:dyDescent="0.25">
      <c r="A9" s="39" t="s">
        <v>1769</v>
      </c>
      <c r="B9" s="39"/>
      <c r="C9" s="39"/>
      <c r="D9" s="39" t="s">
        <v>2051</v>
      </c>
      <c r="E9" s="39"/>
      <c r="F9" s="12">
        <f>SUM(F5:F8)</f>
        <v>29</v>
      </c>
      <c r="G9" s="20"/>
      <c r="H9" s="12">
        <f>SUM(H5:H8)</f>
        <v>0</v>
      </c>
      <c r="I9" s="35">
        <f>H9/F9</f>
        <v>0</v>
      </c>
    </row>
  </sheetData>
  <mergeCells count="12">
    <mergeCell ref="A9:C9"/>
    <mergeCell ref="D9:E9"/>
    <mergeCell ref="D5:E5"/>
    <mergeCell ref="D6:E6"/>
    <mergeCell ref="D7:E7"/>
    <mergeCell ref="D8:E8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0E76-F727-433C-880F-ED959940B3F2}">
  <sheetPr codeName="Sheet20"/>
  <dimension ref="A1:I22"/>
  <sheetViews>
    <sheetView zoomScaleNormal="100" workbookViewId="0">
      <selection activeCell="C22" sqref="C22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1093</v>
      </c>
      <c r="C5" s="14" t="s">
        <v>1092</v>
      </c>
      <c r="D5" s="46" t="s">
        <v>119</v>
      </c>
      <c r="E5" s="47" t="s">
        <v>119</v>
      </c>
      <c r="F5" s="15">
        <v>206</v>
      </c>
      <c r="G5" s="19"/>
      <c r="H5" s="19"/>
      <c r="I5" s="34">
        <f t="shared" ref="I5:I12" si="0">H5/F5</f>
        <v>0</v>
      </c>
    </row>
    <row r="6" spans="1:9" ht="15.6" customHeight="1" x14ac:dyDescent="0.25">
      <c r="A6" s="13">
        <v>2</v>
      </c>
      <c r="B6" s="14" t="s">
        <v>1094</v>
      </c>
      <c r="C6" s="14" t="s">
        <v>1095</v>
      </c>
      <c r="D6" s="46" t="s">
        <v>1096</v>
      </c>
      <c r="E6" s="47" t="s">
        <v>1096</v>
      </c>
      <c r="F6" s="15">
        <v>2.36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1097</v>
      </c>
      <c r="C7" s="14" t="s">
        <v>1098</v>
      </c>
      <c r="D7" s="46" t="s">
        <v>1096</v>
      </c>
      <c r="E7" s="47" t="s">
        <v>1096</v>
      </c>
      <c r="F7" s="15">
        <v>3.4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1099</v>
      </c>
      <c r="C8" s="14" t="s">
        <v>1100</v>
      </c>
      <c r="D8" s="46" t="s">
        <v>1101</v>
      </c>
      <c r="E8" s="47" t="s">
        <v>1101</v>
      </c>
      <c r="F8" s="15">
        <v>34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1102</v>
      </c>
      <c r="C9" s="14" t="s">
        <v>1103</v>
      </c>
      <c r="D9" s="46"/>
      <c r="E9" s="47"/>
      <c r="F9" s="15">
        <v>0</v>
      </c>
      <c r="G9" s="19"/>
      <c r="H9" s="19"/>
      <c r="I9" s="34" t="e">
        <f t="shared" si="0"/>
        <v>#DIV/0!</v>
      </c>
    </row>
    <row r="10" spans="1:9" ht="15.6" customHeight="1" x14ac:dyDescent="0.25">
      <c r="A10" s="13">
        <v>6</v>
      </c>
      <c r="B10" s="14" t="s">
        <v>1104</v>
      </c>
      <c r="C10" s="14" t="s">
        <v>1105</v>
      </c>
      <c r="D10" s="46" t="s">
        <v>119</v>
      </c>
      <c r="E10" s="47" t="s">
        <v>119</v>
      </c>
      <c r="F10" s="15">
        <v>0</v>
      </c>
      <c r="G10" s="15"/>
      <c r="H10" s="15"/>
      <c r="I10" s="34" t="e">
        <f t="shared" si="0"/>
        <v>#DIV/0!</v>
      </c>
    </row>
    <row r="11" spans="1:9" ht="15.6" customHeight="1" x14ac:dyDescent="0.25">
      <c r="A11" s="13">
        <v>7</v>
      </c>
      <c r="B11" s="14" t="s">
        <v>1106</v>
      </c>
      <c r="C11" s="14" t="s">
        <v>1107</v>
      </c>
      <c r="D11" s="46" t="s">
        <v>119</v>
      </c>
      <c r="E11" s="47" t="s">
        <v>119</v>
      </c>
      <c r="F11" s="15">
        <v>0</v>
      </c>
      <c r="G11" s="19"/>
      <c r="H11" s="19"/>
      <c r="I11" s="34" t="e">
        <f t="shared" si="0"/>
        <v>#DIV/0!</v>
      </c>
    </row>
    <row r="12" spans="1:9" ht="16.8" customHeight="1" x14ac:dyDescent="0.25">
      <c r="A12" s="39" t="s">
        <v>1769</v>
      </c>
      <c r="B12" s="39"/>
      <c r="C12" s="39"/>
      <c r="D12" s="39" t="s">
        <v>2052</v>
      </c>
      <c r="E12" s="39"/>
      <c r="F12" s="12">
        <f>SUM(F5:F11)</f>
        <v>245.76000000000002</v>
      </c>
      <c r="G12" s="20"/>
      <c r="H12" s="12">
        <f>SUM(H5:H11)</f>
        <v>0</v>
      </c>
      <c r="I12" s="35">
        <f t="shared" si="0"/>
        <v>0</v>
      </c>
    </row>
    <row r="22" spans="3:3" x14ac:dyDescent="0.25">
      <c r="C22" s="15"/>
    </row>
  </sheetData>
  <mergeCells count="15">
    <mergeCell ref="A12:C12"/>
    <mergeCell ref="D12:E12"/>
    <mergeCell ref="D11:E11"/>
    <mergeCell ref="D5:E5"/>
    <mergeCell ref="D6:E6"/>
    <mergeCell ref="D7:E7"/>
    <mergeCell ref="D8:E8"/>
    <mergeCell ref="D9:E9"/>
    <mergeCell ref="D10:E10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4F8D-9997-4F99-A592-65CEA6409B5B}">
  <sheetPr codeName="Sheet21"/>
  <dimension ref="A1:I18"/>
  <sheetViews>
    <sheetView zoomScaleNormal="100" workbookViewId="0">
      <selection activeCell="D25" sqref="D25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1111</v>
      </c>
      <c r="C5" s="14" t="s">
        <v>1112</v>
      </c>
      <c r="D5" s="46" t="s">
        <v>119</v>
      </c>
      <c r="E5" s="47" t="s">
        <v>119</v>
      </c>
      <c r="F5" s="19">
        <v>50.8</v>
      </c>
      <c r="G5" s="19"/>
      <c r="H5" s="19"/>
      <c r="I5" s="34">
        <f t="shared" ref="I5:I11" si="0">H5/F5</f>
        <v>0</v>
      </c>
    </row>
    <row r="6" spans="1:9" ht="15.6" customHeight="1" x14ac:dyDescent="0.25">
      <c r="A6" s="13">
        <v>2</v>
      </c>
      <c r="B6" s="14" t="s">
        <v>1113</v>
      </c>
      <c r="C6" s="14" t="s">
        <v>1114</v>
      </c>
      <c r="D6" s="46"/>
      <c r="E6" s="47"/>
      <c r="F6" s="19">
        <v>22.5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1115</v>
      </c>
      <c r="C7" s="14" t="s">
        <v>1116</v>
      </c>
      <c r="D7" s="46" t="s">
        <v>1117</v>
      </c>
      <c r="E7" s="47" t="s">
        <v>1117</v>
      </c>
      <c r="F7" s="19">
        <v>13.5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1118</v>
      </c>
      <c r="C8" s="14" t="s">
        <v>1119</v>
      </c>
      <c r="D8" s="46" t="s">
        <v>1120</v>
      </c>
      <c r="E8" s="47" t="s">
        <v>1120</v>
      </c>
      <c r="F8" s="19">
        <v>17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1121</v>
      </c>
      <c r="C9" s="14" t="s">
        <v>1122</v>
      </c>
      <c r="D9" s="46" t="s">
        <v>1123</v>
      </c>
      <c r="E9" s="47" t="s">
        <v>1123</v>
      </c>
      <c r="F9" s="19">
        <v>9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4" t="s">
        <v>1124</v>
      </c>
      <c r="C10" s="14" t="s">
        <v>1125</v>
      </c>
      <c r="D10" s="46" t="s">
        <v>1126</v>
      </c>
      <c r="E10" s="47" t="s">
        <v>1126</v>
      </c>
      <c r="F10" s="19">
        <v>2</v>
      </c>
      <c r="G10" s="15"/>
      <c r="H10" s="15"/>
      <c r="I10" s="34">
        <f t="shared" si="0"/>
        <v>0</v>
      </c>
    </row>
    <row r="11" spans="1:9" ht="16.8" customHeight="1" x14ac:dyDescent="0.25">
      <c r="A11" s="39" t="s">
        <v>1769</v>
      </c>
      <c r="B11" s="39"/>
      <c r="C11" s="39"/>
      <c r="D11" s="39" t="s">
        <v>2053</v>
      </c>
      <c r="E11" s="39"/>
      <c r="F11" s="12">
        <f>SUM(F5:F10)</f>
        <v>114.8</v>
      </c>
      <c r="G11" s="20"/>
      <c r="H11" s="12">
        <f>SUM(H5:H10)</f>
        <v>0</v>
      </c>
      <c r="I11" s="35">
        <f t="shared" si="0"/>
        <v>0</v>
      </c>
    </row>
    <row r="13" spans="1:9" ht="15" x14ac:dyDescent="0.25">
      <c r="A13" s="17" t="s">
        <v>1766</v>
      </c>
    </row>
    <row r="15" spans="1:9" s="18" customFormat="1" ht="17.399999999999999" customHeight="1" x14ac:dyDescent="0.25">
      <c r="A15" s="39" t="s">
        <v>0</v>
      </c>
      <c r="B15" s="41" t="s">
        <v>1761</v>
      </c>
      <c r="C15" s="41"/>
      <c r="D15" s="42" t="s">
        <v>1763</v>
      </c>
      <c r="E15" s="43"/>
      <c r="F15" s="41" t="s">
        <v>1768</v>
      </c>
      <c r="G15" s="40" t="s">
        <v>1772</v>
      </c>
      <c r="H15" s="39" t="s">
        <v>1773</v>
      </c>
      <c r="I15" s="39"/>
    </row>
    <row r="16" spans="1:9" s="18" customFormat="1" ht="17.399999999999999" customHeight="1" x14ac:dyDescent="0.25">
      <c r="A16" s="39"/>
      <c r="B16" s="11" t="s">
        <v>1</v>
      </c>
      <c r="C16" s="11" t="s">
        <v>1762</v>
      </c>
      <c r="D16" s="44"/>
      <c r="E16" s="45"/>
      <c r="F16" s="41"/>
      <c r="G16" s="40"/>
      <c r="H16" s="11" t="s">
        <v>1774</v>
      </c>
      <c r="I16" s="11" t="s">
        <v>1775</v>
      </c>
    </row>
    <row r="17" spans="1:9" ht="16.2" customHeight="1" x14ac:dyDescent="0.25">
      <c r="A17" s="8">
        <v>1</v>
      </c>
      <c r="B17" s="9" t="s">
        <v>1108</v>
      </c>
      <c r="C17" s="22" t="s">
        <v>1109</v>
      </c>
      <c r="D17" s="48" t="s">
        <v>1110</v>
      </c>
      <c r="E17" s="49" t="s">
        <v>1110</v>
      </c>
      <c r="F17" s="10">
        <v>71</v>
      </c>
      <c r="G17" s="19"/>
      <c r="H17" s="19"/>
      <c r="I17" s="34">
        <f>H17/F17</f>
        <v>0</v>
      </c>
    </row>
    <row r="18" spans="1:9" ht="16.8" customHeight="1" x14ac:dyDescent="0.25">
      <c r="A18" s="39" t="s">
        <v>1769</v>
      </c>
      <c r="B18" s="39"/>
      <c r="C18" s="39"/>
      <c r="D18" s="39" t="s">
        <v>2050</v>
      </c>
      <c r="E18" s="39"/>
      <c r="F18" s="12">
        <f>SUM(F17:F17)</f>
        <v>71</v>
      </c>
      <c r="G18" s="20"/>
      <c r="H18" s="12">
        <f>SUM(H17:H17)</f>
        <v>0</v>
      </c>
      <c r="I18" s="35">
        <f>H18/F18</f>
        <v>0</v>
      </c>
    </row>
  </sheetData>
  <mergeCells count="23">
    <mergeCell ref="D17:E17"/>
    <mergeCell ref="A18:C18"/>
    <mergeCell ref="D18:E18"/>
    <mergeCell ref="A15:A16"/>
    <mergeCell ref="B15:C15"/>
    <mergeCell ref="D15:E16"/>
    <mergeCell ref="F15:F16"/>
    <mergeCell ref="G15:G16"/>
    <mergeCell ref="H15:I15"/>
    <mergeCell ref="A11:C11"/>
    <mergeCell ref="D11:E1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8CE6-DB62-46DA-BB63-39FA754214F4}">
  <sheetPr codeName="Sheet22"/>
  <dimension ref="A1:I14"/>
  <sheetViews>
    <sheetView zoomScaleNormal="100" workbookViewId="0">
      <selection activeCell="D18" sqref="D18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9.44140625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1127</v>
      </c>
      <c r="C5" s="36" t="s">
        <v>1128</v>
      </c>
      <c r="D5" s="46" t="s">
        <v>1129</v>
      </c>
      <c r="E5" s="47" t="s">
        <v>1129</v>
      </c>
      <c r="F5" s="15">
        <v>67.3</v>
      </c>
      <c r="G5" s="19"/>
      <c r="H5" s="19"/>
      <c r="I5" s="34">
        <f t="shared" ref="I5:I14" si="0">H5/F5</f>
        <v>0</v>
      </c>
    </row>
    <row r="6" spans="1:9" ht="15.6" customHeight="1" x14ac:dyDescent="0.25">
      <c r="A6" s="13">
        <v>2</v>
      </c>
      <c r="B6" s="14" t="s">
        <v>1130</v>
      </c>
      <c r="C6" s="14" t="s">
        <v>1131</v>
      </c>
      <c r="D6" s="46" t="s">
        <v>1132</v>
      </c>
      <c r="E6" s="47" t="s">
        <v>1132</v>
      </c>
      <c r="F6" s="15">
        <v>28.8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1133</v>
      </c>
      <c r="C7" s="14" t="s">
        <v>1134</v>
      </c>
      <c r="D7" s="46" t="s">
        <v>1135</v>
      </c>
      <c r="E7" s="47" t="s">
        <v>1135</v>
      </c>
      <c r="F7" s="15">
        <v>20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1136</v>
      </c>
      <c r="C8" s="14" t="s">
        <v>1137</v>
      </c>
      <c r="D8" s="46" t="s">
        <v>1138</v>
      </c>
      <c r="E8" s="47" t="s">
        <v>1138</v>
      </c>
      <c r="F8" s="15">
        <v>0</v>
      </c>
      <c r="G8" s="19"/>
      <c r="H8" s="19"/>
      <c r="I8" s="34" t="e">
        <f t="shared" si="0"/>
        <v>#DIV/0!</v>
      </c>
    </row>
    <row r="9" spans="1:9" ht="15.6" customHeight="1" x14ac:dyDescent="0.25">
      <c r="A9" s="13">
        <v>5</v>
      </c>
      <c r="B9" s="14" t="s">
        <v>1139</v>
      </c>
      <c r="C9" s="14" t="s">
        <v>1140</v>
      </c>
      <c r="D9" s="46" t="s">
        <v>1141</v>
      </c>
      <c r="E9" s="47" t="s">
        <v>1141</v>
      </c>
      <c r="F9" s="15">
        <v>0</v>
      </c>
      <c r="G9" s="19"/>
      <c r="H9" s="19"/>
      <c r="I9" s="34" t="e">
        <f t="shared" si="0"/>
        <v>#DIV/0!</v>
      </c>
    </row>
    <row r="10" spans="1:9" ht="15.6" customHeight="1" x14ac:dyDescent="0.25">
      <c r="A10" s="13">
        <v>6</v>
      </c>
      <c r="B10" s="14" t="s">
        <v>1142</v>
      </c>
      <c r="C10" s="14" t="s">
        <v>1143</v>
      </c>
      <c r="D10" s="46" t="s">
        <v>1144</v>
      </c>
      <c r="E10" s="47" t="s">
        <v>1144</v>
      </c>
      <c r="F10" s="15">
        <v>0</v>
      </c>
      <c r="G10" s="15"/>
      <c r="H10" s="15"/>
      <c r="I10" s="34" t="e">
        <f t="shared" si="0"/>
        <v>#DIV/0!</v>
      </c>
    </row>
    <row r="11" spans="1:9" ht="15.6" customHeight="1" x14ac:dyDescent="0.25">
      <c r="A11" s="13">
        <v>7</v>
      </c>
      <c r="B11" s="14" t="s">
        <v>1145</v>
      </c>
      <c r="C11" s="14" t="s">
        <v>1146</v>
      </c>
      <c r="D11" s="46" t="s">
        <v>1147</v>
      </c>
      <c r="E11" s="47" t="s">
        <v>1147</v>
      </c>
      <c r="F11" s="15">
        <v>0</v>
      </c>
      <c r="G11" s="19"/>
      <c r="H11" s="19"/>
      <c r="I11" s="34" t="e">
        <f t="shared" si="0"/>
        <v>#DIV/0!</v>
      </c>
    </row>
    <row r="12" spans="1:9" ht="15.6" customHeight="1" x14ac:dyDescent="0.25">
      <c r="A12" s="13">
        <v>8</v>
      </c>
      <c r="B12" s="14" t="s">
        <v>1148</v>
      </c>
      <c r="C12" s="14" t="s">
        <v>1149</v>
      </c>
      <c r="D12" s="46" t="s">
        <v>1150</v>
      </c>
      <c r="E12" s="47" t="s">
        <v>1150</v>
      </c>
      <c r="F12" s="15">
        <v>4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4" t="s">
        <v>1151</v>
      </c>
      <c r="C13" s="14" t="s">
        <v>1152</v>
      </c>
      <c r="D13" s="46" t="s">
        <v>1153</v>
      </c>
      <c r="E13" s="47" t="s">
        <v>1153</v>
      </c>
      <c r="F13" s="15">
        <v>17.5</v>
      </c>
      <c r="G13" s="15"/>
      <c r="H13" s="15"/>
      <c r="I13" s="34">
        <f t="shared" si="0"/>
        <v>0</v>
      </c>
    </row>
    <row r="14" spans="1:9" ht="16.8" customHeight="1" x14ac:dyDescent="0.25">
      <c r="A14" s="39" t="s">
        <v>1769</v>
      </c>
      <c r="B14" s="39"/>
      <c r="C14" s="39"/>
      <c r="D14" s="39" t="s">
        <v>2054</v>
      </c>
      <c r="E14" s="39"/>
      <c r="F14" s="12">
        <f>SUM(F5:F13)</f>
        <v>137.6</v>
      </c>
      <c r="G14" s="20"/>
      <c r="H14" s="12">
        <f>SUM(H5:H13)</f>
        <v>0</v>
      </c>
      <c r="I14" s="35">
        <f t="shared" si="0"/>
        <v>0</v>
      </c>
    </row>
  </sheetData>
  <mergeCells count="17">
    <mergeCell ref="A14:C14"/>
    <mergeCell ref="D14:E14"/>
    <mergeCell ref="D11:E11"/>
    <mergeCell ref="D12:E12"/>
    <mergeCell ref="D13:E13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D584-D4F7-4A18-85AC-18B473421FA4}">
  <sheetPr codeName="Sheet23"/>
  <dimension ref="A1:I12"/>
  <sheetViews>
    <sheetView zoomScaleNormal="100" workbookViewId="0">
      <selection activeCell="D22" sqref="D22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1154</v>
      </c>
      <c r="C5" s="14" t="s">
        <v>1155</v>
      </c>
      <c r="D5" s="46" t="s">
        <v>1156</v>
      </c>
      <c r="E5" s="47" t="s">
        <v>1156</v>
      </c>
      <c r="F5" s="15">
        <v>36.6</v>
      </c>
      <c r="G5" s="19"/>
      <c r="H5" s="19"/>
      <c r="I5" s="34">
        <f t="shared" ref="I5:I12" si="0">H5/F5</f>
        <v>0</v>
      </c>
    </row>
    <row r="6" spans="1:9" ht="15.6" customHeight="1" x14ac:dyDescent="0.25">
      <c r="A6" s="13">
        <v>2</v>
      </c>
      <c r="B6" s="14" t="s">
        <v>1157</v>
      </c>
      <c r="C6" s="14" t="s">
        <v>1158</v>
      </c>
      <c r="D6" s="46" t="s">
        <v>1156</v>
      </c>
      <c r="E6" s="47" t="s">
        <v>1156</v>
      </c>
      <c r="F6" s="15">
        <v>8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1159</v>
      </c>
      <c r="C7" s="14" t="s">
        <v>1160</v>
      </c>
      <c r="D7" s="46" t="s">
        <v>699</v>
      </c>
      <c r="E7" s="47" t="s">
        <v>699</v>
      </c>
      <c r="F7" s="15">
        <v>0</v>
      </c>
      <c r="G7" s="15"/>
      <c r="H7" s="15"/>
      <c r="I7" s="34" t="e">
        <f t="shared" si="0"/>
        <v>#DIV/0!</v>
      </c>
    </row>
    <row r="8" spans="1:9" ht="15.6" customHeight="1" x14ac:dyDescent="0.25">
      <c r="A8" s="13">
        <v>4</v>
      </c>
      <c r="B8" s="14" t="s">
        <v>1161</v>
      </c>
      <c r="C8" s="14" t="s">
        <v>1162</v>
      </c>
      <c r="D8" s="46" t="s">
        <v>119</v>
      </c>
      <c r="E8" s="47" t="s">
        <v>119</v>
      </c>
      <c r="F8" s="15">
        <v>6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1163</v>
      </c>
      <c r="C9" s="14" t="s">
        <v>1164</v>
      </c>
      <c r="D9" s="46" t="s">
        <v>119</v>
      </c>
      <c r="E9" s="47" t="s">
        <v>119</v>
      </c>
      <c r="F9" s="15">
        <v>0</v>
      </c>
      <c r="G9" s="19"/>
      <c r="H9" s="19"/>
      <c r="I9" s="34" t="e">
        <f t="shared" si="0"/>
        <v>#DIV/0!</v>
      </c>
    </row>
    <row r="10" spans="1:9" ht="15.6" customHeight="1" x14ac:dyDescent="0.25">
      <c r="A10" s="13">
        <v>6</v>
      </c>
      <c r="B10" s="14" t="s">
        <v>1165</v>
      </c>
      <c r="C10" s="14" t="s">
        <v>1166</v>
      </c>
      <c r="D10" s="46" t="s">
        <v>119</v>
      </c>
      <c r="E10" s="47" t="s">
        <v>119</v>
      </c>
      <c r="F10" s="15">
        <v>0</v>
      </c>
      <c r="G10" s="15"/>
      <c r="H10" s="15"/>
      <c r="I10" s="34" t="e">
        <f t="shared" si="0"/>
        <v>#DIV/0!</v>
      </c>
    </row>
    <row r="11" spans="1:9" ht="15.6" customHeight="1" x14ac:dyDescent="0.25">
      <c r="A11" s="13">
        <v>7</v>
      </c>
      <c r="B11" s="14" t="s">
        <v>1167</v>
      </c>
      <c r="C11" s="14" t="s">
        <v>1168</v>
      </c>
      <c r="D11" s="46" t="s">
        <v>119</v>
      </c>
      <c r="E11" s="47" t="s">
        <v>119</v>
      </c>
      <c r="F11" s="15">
        <v>0</v>
      </c>
      <c r="G11" s="19"/>
      <c r="H11" s="19"/>
      <c r="I11" s="34" t="e">
        <f t="shared" si="0"/>
        <v>#DIV/0!</v>
      </c>
    </row>
    <row r="12" spans="1:9" ht="16.8" customHeight="1" x14ac:dyDescent="0.25">
      <c r="A12" s="39" t="s">
        <v>1769</v>
      </c>
      <c r="B12" s="39"/>
      <c r="C12" s="39"/>
      <c r="D12" s="39" t="s">
        <v>2052</v>
      </c>
      <c r="E12" s="39"/>
      <c r="F12" s="12">
        <f>SUM(F5:F11)</f>
        <v>50.6</v>
      </c>
      <c r="G12" s="20"/>
      <c r="H12" s="12">
        <f>SUM(H5:H11)</f>
        <v>0</v>
      </c>
      <c r="I12" s="35">
        <f t="shared" si="0"/>
        <v>0</v>
      </c>
    </row>
  </sheetData>
  <mergeCells count="15">
    <mergeCell ref="A12:C12"/>
    <mergeCell ref="D12:E12"/>
    <mergeCell ref="D11:E11"/>
    <mergeCell ref="D5:E5"/>
    <mergeCell ref="D6:E6"/>
    <mergeCell ref="D7:E7"/>
    <mergeCell ref="D8:E8"/>
    <mergeCell ref="D9:E9"/>
    <mergeCell ref="D10:E10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F050-97DA-46DC-88C8-8902EEAD26BB}">
  <sheetPr codeName="Sheet24"/>
  <dimension ref="A1:I13"/>
  <sheetViews>
    <sheetView zoomScaleNormal="100" workbookViewId="0">
      <selection activeCell="C28" sqref="C28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1169</v>
      </c>
      <c r="C5" s="14" t="s">
        <v>1170</v>
      </c>
      <c r="D5" s="46" t="s">
        <v>1171</v>
      </c>
      <c r="E5" s="47" t="s">
        <v>1171</v>
      </c>
      <c r="F5" s="15">
        <v>21.4</v>
      </c>
      <c r="G5" s="19"/>
      <c r="H5" s="19"/>
      <c r="I5" s="34">
        <f t="shared" ref="I5:I13" si="0">H5/F5</f>
        <v>0</v>
      </c>
    </row>
    <row r="6" spans="1:9" ht="15.6" customHeight="1" x14ac:dyDescent="0.25">
      <c r="A6" s="13">
        <v>2</v>
      </c>
      <c r="B6" s="14" t="s">
        <v>1172</v>
      </c>
      <c r="C6" s="14" t="s">
        <v>1173</v>
      </c>
      <c r="D6" s="46" t="s">
        <v>119</v>
      </c>
      <c r="E6" s="47" t="s">
        <v>119</v>
      </c>
      <c r="F6" s="15">
        <v>40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1174</v>
      </c>
      <c r="C7" s="14" t="s">
        <v>79</v>
      </c>
      <c r="D7" s="46" t="s">
        <v>1175</v>
      </c>
      <c r="E7" s="47" t="s">
        <v>1175</v>
      </c>
      <c r="F7" s="15">
        <v>3.5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1176</v>
      </c>
      <c r="C8" s="14" t="s">
        <v>1177</v>
      </c>
      <c r="D8" s="46" t="s">
        <v>1178</v>
      </c>
      <c r="E8" s="47" t="s">
        <v>1178</v>
      </c>
      <c r="F8" s="15">
        <v>5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1179</v>
      </c>
      <c r="C9" s="14" t="s">
        <v>1180</v>
      </c>
      <c r="D9" s="46" t="s">
        <v>1181</v>
      </c>
      <c r="E9" s="47" t="s">
        <v>1181</v>
      </c>
      <c r="F9" s="15">
        <v>4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4" t="s">
        <v>1182</v>
      </c>
      <c r="C10" s="14" t="s">
        <v>1183</v>
      </c>
      <c r="D10" s="46" t="s">
        <v>1184</v>
      </c>
      <c r="E10" s="47" t="s">
        <v>1184</v>
      </c>
      <c r="F10" s="15">
        <v>0</v>
      </c>
      <c r="G10" s="15"/>
      <c r="H10" s="15"/>
      <c r="I10" s="34" t="e">
        <f t="shared" si="0"/>
        <v>#DIV/0!</v>
      </c>
    </row>
    <row r="11" spans="1:9" ht="15.6" customHeight="1" x14ac:dyDescent="0.25">
      <c r="A11" s="13">
        <v>7</v>
      </c>
      <c r="B11" s="14" t="s">
        <v>1185</v>
      </c>
      <c r="C11" s="14" t="s">
        <v>1186</v>
      </c>
      <c r="D11" s="46" t="s">
        <v>1187</v>
      </c>
      <c r="E11" s="47" t="s">
        <v>1187</v>
      </c>
      <c r="F11" s="15">
        <v>0</v>
      </c>
      <c r="G11" s="19"/>
      <c r="H11" s="19"/>
      <c r="I11" s="34" t="e">
        <f t="shared" si="0"/>
        <v>#DIV/0!</v>
      </c>
    </row>
    <row r="12" spans="1:9" ht="15.6" customHeight="1" x14ac:dyDescent="0.25">
      <c r="A12" s="13">
        <v>8</v>
      </c>
      <c r="B12" s="14" t="s">
        <v>1188</v>
      </c>
      <c r="C12" s="14" t="s">
        <v>1189</v>
      </c>
      <c r="D12" s="46" t="s">
        <v>1190</v>
      </c>
      <c r="E12" s="47" t="s">
        <v>1190</v>
      </c>
      <c r="F12" s="15">
        <v>0</v>
      </c>
      <c r="G12" s="19"/>
      <c r="H12" s="19"/>
      <c r="I12" s="34" t="e">
        <f t="shared" si="0"/>
        <v>#DIV/0!</v>
      </c>
    </row>
    <row r="13" spans="1:9" ht="16.8" customHeight="1" x14ac:dyDescent="0.25">
      <c r="A13" s="39" t="s">
        <v>1769</v>
      </c>
      <c r="B13" s="39"/>
      <c r="C13" s="39"/>
      <c r="D13" s="39" t="s">
        <v>2055</v>
      </c>
      <c r="E13" s="39"/>
      <c r="F13" s="12">
        <f>SUM(F5:F12)</f>
        <v>73.900000000000006</v>
      </c>
      <c r="G13" s="20"/>
      <c r="H13" s="12">
        <f>SUM(H5:H12)</f>
        <v>0</v>
      </c>
      <c r="I13" s="35">
        <f t="shared" si="0"/>
        <v>0</v>
      </c>
    </row>
  </sheetData>
  <mergeCells count="16">
    <mergeCell ref="A13:C13"/>
    <mergeCell ref="D13:E13"/>
    <mergeCell ref="D11:E11"/>
    <mergeCell ref="D12:E12"/>
    <mergeCell ref="D5:E5"/>
    <mergeCell ref="D6:E6"/>
    <mergeCell ref="D7:E7"/>
    <mergeCell ref="D8:E8"/>
    <mergeCell ref="D9:E9"/>
    <mergeCell ref="D10:E10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4561-13E7-4B72-80C7-5ED23C228E84}">
  <sheetPr codeName="Sheet25"/>
  <dimension ref="A1:I13"/>
  <sheetViews>
    <sheetView zoomScaleNormal="100" workbookViewId="0">
      <selection activeCell="D23" sqref="D23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1191</v>
      </c>
      <c r="C5" s="14" t="s">
        <v>1192</v>
      </c>
      <c r="D5" s="46" t="s">
        <v>119</v>
      </c>
      <c r="E5" s="47" t="s">
        <v>119</v>
      </c>
      <c r="F5" s="15">
        <v>30</v>
      </c>
      <c r="G5" s="19"/>
      <c r="H5" s="19"/>
      <c r="I5" s="34">
        <f t="shared" ref="I5:I13" si="0">H5/F5</f>
        <v>0</v>
      </c>
    </row>
    <row r="6" spans="1:9" ht="15.6" customHeight="1" x14ac:dyDescent="0.25">
      <c r="A6" s="13">
        <v>2</v>
      </c>
      <c r="B6" s="14" t="s">
        <v>1193</v>
      </c>
      <c r="C6" s="14" t="s">
        <v>1194</v>
      </c>
      <c r="D6" s="46" t="s">
        <v>119</v>
      </c>
      <c r="E6" s="47" t="s">
        <v>119</v>
      </c>
      <c r="F6" s="15">
        <v>20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1195</v>
      </c>
      <c r="C7" s="14" t="s">
        <v>1196</v>
      </c>
      <c r="D7" s="46" t="s">
        <v>76</v>
      </c>
      <c r="E7" s="47" t="s">
        <v>76</v>
      </c>
      <c r="F7" s="15">
        <v>8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1197</v>
      </c>
      <c r="C8" s="14" t="s">
        <v>1198</v>
      </c>
      <c r="D8" s="46" t="s">
        <v>1199</v>
      </c>
      <c r="E8" s="47" t="s">
        <v>1199</v>
      </c>
      <c r="F8" s="15">
        <v>0</v>
      </c>
      <c r="G8" s="19"/>
      <c r="H8" s="19"/>
      <c r="I8" s="34" t="e">
        <f t="shared" si="0"/>
        <v>#DIV/0!</v>
      </c>
    </row>
    <row r="9" spans="1:9" ht="15.6" customHeight="1" x14ac:dyDescent="0.25">
      <c r="A9" s="13">
        <v>5</v>
      </c>
      <c r="B9" s="14" t="s">
        <v>1200</v>
      </c>
      <c r="C9" s="14" t="s">
        <v>1201</v>
      </c>
      <c r="D9" s="46" t="s">
        <v>119</v>
      </c>
      <c r="E9" s="47" t="s">
        <v>119</v>
      </c>
      <c r="F9" s="15">
        <v>0</v>
      </c>
      <c r="G9" s="19"/>
      <c r="H9" s="19"/>
      <c r="I9" s="34" t="e">
        <f t="shared" si="0"/>
        <v>#DIV/0!</v>
      </c>
    </row>
    <row r="10" spans="1:9" ht="15.6" customHeight="1" x14ac:dyDescent="0.25">
      <c r="A10" s="13">
        <v>6</v>
      </c>
      <c r="B10" s="14" t="s">
        <v>1202</v>
      </c>
      <c r="C10" s="14" t="s">
        <v>1203</v>
      </c>
      <c r="D10" s="46" t="s">
        <v>76</v>
      </c>
      <c r="E10" s="47" t="s">
        <v>76</v>
      </c>
      <c r="F10" s="15">
        <v>0</v>
      </c>
      <c r="G10" s="15"/>
      <c r="H10" s="15"/>
      <c r="I10" s="34" t="e">
        <f t="shared" si="0"/>
        <v>#DIV/0!</v>
      </c>
    </row>
    <row r="11" spans="1:9" ht="15.6" customHeight="1" x14ac:dyDescent="0.25">
      <c r="A11" s="13">
        <v>7</v>
      </c>
      <c r="B11" s="14" t="s">
        <v>1204</v>
      </c>
      <c r="C11" s="14" t="s">
        <v>1205</v>
      </c>
      <c r="D11" s="46" t="s">
        <v>1206</v>
      </c>
      <c r="E11" s="47" t="s">
        <v>1206</v>
      </c>
      <c r="F11" s="15">
        <v>0</v>
      </c>
      <c r="G11" s="19"/>
      <c r="H11" s="19"/>
      <c r="I11" s="34" t="e">
        <f t="shared" si="0"/>
        <v>#DIV/0!</v>
      </c>
    </row>
    <row r="12" spans="1:9" ht="15.6" customHeight="1" x14ac:dyDescent="0.25">
      <c r="A12" s="13">
        <v>8</v>
      </c>
      <c r="B12" s="14" t="s">
        <v>1207</v>
      </c>
      <c r="C12" s="14" t="s">
        <v>1208</v>
      </c>
      <c r="D12" s="46" t="s">
        <v>1209</v>
      </c>
      <c r="E12" s="47" t="s">
        <v>1209</v>
      </c>
      <c r="F12" s="15">
        <v>0</v>
      </c>
      <c r="G12" s="19"/>
      <c r="H12" s="19"/>
      <c r="I12" s="34" t="e">
        <f t="shared" si="0"/>
        <v>#DIV/0!</v>
      </c>
    </row>
    <row r="13" spans="1:9" ht="16.8" customHeight="1" x14ac:dyDescent="0.25">
      <c r="A13" s="39" t="s">
        <v>1769</v>
      </c>
      <c r="B13" s="39"/>
      <c r="C13" s="39"/>
      <c r="D13" s="39" t="s">
        <v>2055</v>
      </c>
      <c r="E13" s="39"/>
      <c r="F13" s="12">
        <f>SUM(F5:F12)</f>
        <v>58</v>
      </c>
      <c r="G13" s="20"/>
      <c r="H13" s="12">
        <f>SUM(H5:H12)</f>
        <v>0</v>
      </c>
      <c r="I13" s="35">
        <f t="shared" si="0"/>
        <v>0</v>
      </c>
    </row>
  </sheetData>
  <mergeCells count="16">
    <mergeCell ref="A13:C13"/>
    <mergeCell ref="D13:E13"/>
    <mergeCell ref="D11:E11"/>
    <mergeCell ref="D12:E12"/>
    <mergeCell ref="D5:E5"/>
    <mergeCell ref="D6:E6"/>
    <mergeCell ref="D7:E7"/>
    <mergeCell ref="D8:E8"/>
    <mergeCell ref="D9:E9"/>
    <mergeCell ref="D10:E10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96F7-21CE-4C0B-8A5E-F1B94D7A76CC}">
  <sheetPr codeName="Sheet26"/>
  <dimension ref="A1:I31"/>
  <sheetViews>
    <sheetView zoomScaleNormal="100" workbookViewId="0">
      <selection activeCell="J22" sqref="J22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1210</v>
      </c>
      <c r="C5" s="14" t="s">
        <v>1211</v>
      </c>
      <c r="D5" s="46" t="s">
        <v>1212</v>
      </c>
      <c r="E5" s="47" t="s">
        <v>1212</v>
      </c>
      <c r="F5" s="15">
        <v>6</v>
      </c>
      <c r="G5" s="19"/>
      <c r="H5" s="19"/>
      <c r="I5" s="34">
        <f t="shared" ref="I5:I26" si="0">H5/F5</f>
        <v>0</v>
      </c>
    </row>
    <row r="6" spans="1:9" ht="15.6" customHeight="1" x14ac:dyDescent="0.25">
      <c r="A6" s="13">
        <v>2</v>
      </c>
      <c r="B6" s="14" t="s">
        <v>1213</v>
      </c>
      <c r="C6" s="14" t="s">
        <v>1214</v>
      </c>
      <c r="D6" s="46" t="s">
        <v>1215</v>
      </c>
      <c r="E6" s="47" t="s">
        <v>1215</v>
      </c>
      <c r="F6" s="15">
        <v>17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1216</v>
      </c>
      <c r="C7" s="14" t="s">
        <v>1217</v>
      </c>
      <c r="D7" s="46" t="s">
        <v>1215</v>
      </c>
      <c r="E7" s="47" t="s">
        <v>1215</v>
      </c>
      <c r="F7" s="15">
        <v>12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1218</v>
      </c>
      <c r="C8" s="14" t="s">
        <v>1219</v>
      </c>
      <c r="D8" s="46" t="s">
        <v>1215</v>
      </c>
      <c r="E8" s="47" t="s">
        <v>1215</v>
      </c>
      <c r="F8" s="15">
        <v>5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1220</v>
      </c>
      <c r="C9" s="14" t="s">
        <v>1221</v>
      </c>
      <c r="D9" s="46" t="s">
        <v>699</v>
      </c>
      <c r="E9" s="47" t="s">
        <v>699</v>
      </c>
      <c r="F9" s="15">
        <v>0</v>
      </c>
      <c r="G9" s="19"/>
      <c r="H9" s="19"/>
      <c r="I9" s="34" t="e">
        <f t="shared" si="0"/>
        <v>#DIV/0!</v>
      </c>
    </row>
    <row r="10" spans="1:9" ht="15.6" customHeight="1" x14ac:dyDescent="0.25">
      <c r="A10" s="13">
        <v>6</v>
      </c>
      <c r="B10" s="14" t="s">
        <v>1222</v>
      </c>
      <c r="C10" s="14" t="s">
        <v>1223</v>
      </c>
      <c r="D10" s="46" t="s">
        <v>1215</v>
      </c>
      <c r="E10" s="47" t="s">
        <v>1215</v>
      </c>
      <c r="F10" s="15">
        <v>0</v>
      </c>
      <c r="G10" s="15"/>
      <c r="H10" s="15"/>
      <c r="I10" s="34" t="e">
        <f t="shared" si="0"/>
        <v>#DIV/0!</v>
      </c>
    </row>
    <row r="11" spans="1:9" ht="15.6" customHeight="1" x14ac:dyDescent="0.25">
      <c r="A11" s="13">
        <v>7</v>
      </c>
      <c r="B11" s="14" t="s">
        <v>1224</v>
      </c>
      <c r="C11" s="14" t="s">
        <v>1225</v>
      </c>
      <c r="D11" s="46" t="s">
        <v>699</v>
      </c>
      <c r="E11" s="47" t="s">
        <v>699</v>
      </c>
      <c r="F11" s="15">
        <v>0</v>
      </c>
      <c r="G11" s="19"/>
      <c r="H11" s="19"/>
      <c r="I11" s="34" t="e">
        <f t="shared" si="0"/>
        <v>#DIV/0!</v>
      </c>
    </row>
    <row r="12" spans="1:9" ht="15.6" customHeight="1" x14ac:dyDescent="0.25">
      <c r="A12" s="13">
        <v>8</v>
      </c>
      <c r="B12" s="14" t="s">
        <v>1226</v>
      </c>
      <c r="C12" s="14" t="s">
        <v>1227</v>
      </c>
      <c r="D12" s="46" t="s">
        <v>699</v>
      </c>
      <c r="E12" s="47" t="s">
        <v>699</v>
      </c>
      <c r="F12" s="15">
        <v>0</v>
      </c>
      <c r="G12" s="19"/>
      <c r="H12" s="19"/>
      <c r="I12" s="34" t="e">
        <f t="shared" si="0"/>
        <v>#DIV/0!</v>
      </c>
    </row>
    <row r="13" spans="1:9" ht="15.6" customHeight="1" x14ac:dyDescent="0.25">
      <c r="A13" s="13">
        <v>9</v>
      </c>
      <c r="B13" s="14" t="s">
        <v>1228</v>
      </c>
      <c r="C13" s="14" t="s">
        <v>1229</v>
      </c>
      <c r="D13" s="46" t="s">
        <v>699</v>
      </c>
      <c r="E13" s="47" t="s">
        <v>699</v>
      </c>
      <c r="F13" s="15">
        <v>0</v>
      </c>
      <c r="G13" s="15"/>
      <c r="H13" s="15"/>
      <c r="I13" s="34" t="e">
        <f t="shared" si="0"/>
        <v>#DIV/0!</v>
      </c>
    </row>
    <row r="14" spans="1:9" ht="15.6" customHeight="1" x14ac:dyDescent="0.25">
      <c r="A14" s="13">
        <v>10</v>
      </c>
      <c r="B14" s="14" t="s">
        <v>1230</v>
      </c>
      <c r="C14" s="14" t="s">
        <v>1231</v>
      </c>
      <c r="D14" s="46" t="s">
        <v>699</v>
      </c>
      <c r="E14" s="47" t="s">
        <v>699</v>
      </c>
      <c r="F14" s="15">
        <v>0</v>
      </c>
      <c r="G14" s="19"/>
      <c r="H14" s="19"/>
      <c r="I14" s="34" t="e">
        <f t="shared" si="0"/>
        <v>#DIV/0!</v>
      </c>
    </row>
    <row r="15" spans="1:9" ht="15.6" customHeight="1" x14ac:dyDescent="0.25">
      <c r="A15" s="13">
        <v>11</v>
      </c>
      <c r="B15" s="14" t="s">
        <v>1232</v>
      </c>
      <c r="C15" s="14" t="s">
        <v>1233</v>
      </c>
      <c r="D15" s="46" t="s">
        <v>119</v>
      </c>
      <c r="E15" s="47" t="s">
        <v>119</v>
      </c>
      <c r="F15" s="15">
        <v>0</v>
      </c>
      <c r="G15" s="19"/>
      <c r="H15" s="19"/>
      <c r="I15" s="34" t="e">
        <f t="shared" si="0"/>
        <v>#DIV/0!</v>
      </c>
    </row>
    <row r="16" spans="1:9" ht="15.6" customHeight="1" x14ac:dyDescent="0.25">
      <c r="A16" s="13">
        <v>12</v>
      </c>
      <c r="B16" s="14" t="s">
        <v>1234</v>
      </c>
      <c r="C16" s="14" t="s">
        <v>1235</v>
      </c>
      <c r="D16" s="46" t="s">
        <v>699</v>
      </c>
      <c r="E16" s="47" t="s">
        <v>699</v>
      </c>
      <c r="F16" s="15">
        <v>0</v>
      </c>
      <c r="G16" s="15"/>
      <c r="H16" s="15"/>
      <c r="I16" s="34" t="e">
        <f t="shared" si="0"/>
        <v>#DIV/0!</v>
      </c>
    </row>
    <row r="17" spans="1:9" ht="15.6" customHeight="1" x14ac:dyDescent="0.25">
      <c r="A17" s="13">
        <v>13</v>
      </c>
      <c r="B17" s="14" t="s">
        <v>1236</v>
      </c>
      <c r="C17" s="14" t="s">
        <v>1237</v>
      </c>
      <c r="D17" s="46" t="s">
        <v>699</v>
      </c>
      <c r="E17" s="47" t="s">
        <v>699</v>
      </c>
      <c r="F17" s="15">
        <v>5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4" t="s">
        <v>1238</v>
      </c>
      <c r="C18" s="14" t="s">
        <v>1239</v>
      </c>
      <c r="D18" s="46" t="s">
        <v>699</v>
      </c>
      <c r="E18" s="47" t="s">
        <v>699</v>
      </c>
      <c r="F18" s="15">
        <v>0</v>
      </c>
      <c r="G18" s="19"/>
      <c r="H18" s="19"/>
      <c r="I18" s="34" t="e">
        <f t="shared" si="0"/>
        <v>#DIV/0!</v>
      </c>
    </row>
    <row r="19" spans="1:9" ht="15.6" customHeight="1" x14ac:dyDescent="0.25">
      <c r="A19" s="13">
        <v>15</v>
      </c>
      <c r="B19" s="14" t="s">
        <v>1240</v>
      </c>
      <c r="C19" s="14" t="s">
        <v>1241</v>
      </c>
      <c r="D19" s="46" t="s">
        <v>699</v>
      </c>
      <c r="E19" s="47" t="s">
        <v>699</v>
      </c>
      <c r="F19" s="15">
        <v>0</v>
      </c>
      <c r="G19" s="15"/>
      <c r="H19" s="15"/>
      <c r="I19" s="34" t="e">
        <f t="shared" si="0"/>
        <v>#DIV/0!</v>
      </c>
    </row>
    <row r="20" spans="1:9" ht="15.6" customHeight="1" x14ac:dyDescent="0.25">
      <c r="A20" s="13">
        <v>16</v>
      </c>
      <c r="B20" s="14" t="s">
        <v>1242</v>
      </c>
      <c r="C20" s="14" t="s">
        <v>1243</v>
      </c>
      <c r="D20" s="46" t="s">
        <v>699</v>
      </c>
      <c r="E20" s="47" t="s">
        <v>699</v>
      </c>
      <c r="F20" s="15">
        <v>0</v>
      </c>
      <c r="G20" s="19"/>
      <c r="H20" s="19"/>
      <c r="I20" s="34" t="e">
        <f t="shared" si="0"/>
        <v>#DIV/0!</v>
      </c>
    </row>
    <row r="21" spans="1:9" ht="15.6" customHeight="1" x14ac:dyDescent="0.25">
      <c r="A21" s="13">
        <v>17</v>
      </c>
      <c r="B21" s="14" t="s">
        <v>1244</v>
      </c>
      <c r="C21" s="14" t="s">
        <v>1245</v>
      </c>
      <c r="D21" s="46" t="s">
        <v>119</v>
      </c>
      <c r="E21" s="47" t="s">
        <v>119</v>
      </c>
      <c r="F21" s="16">
        <v>0</v>
      </c>
      <c r="G21" s="19"/>
      <c r="H21" s="19"/>
      <c r="I21" s="34" t="e">
        <f t="shared" si="0"/>
        <v>#DIV/0!</v>
      </c>
    </row>
    <row r="22" spans="1:9" ht="15.6" customHeight="1" x14ac:dyDescent="0.25">
      <c r="A22" s="13">
        <v>18</v>
      </c>
      <c r="B22" s="14" t="s">
        <v>1246</v>
      </c>
      <c r="C22" s="14" t="s">
        <v>1247</v>
      </c>
      <c r="D22" s="46" t="s">
        <v>699</v>
      </c>
      <c r="E22" s="47" t="s">
        <v>699</v>
      </c>
      <c r="F22" s="15">
        <v>0</v>
      </c>
      <c r="G22" s="15"/>
      <c r="H22" s="15"/>
      <c r="I22" s="34" t="e">
        <f t="shared" si="0"/>
        <v>#DIV/0!</v>
      </c>
    </row>
    <row r="23" spans="1:9" ht="15.6" customHeight="1" x14ac:dyDescent="0.25">
      <c r="A23" s="13">
        <v>19</v>
      </c>
      <c r="B23" s="14" t="s">
        <v>1248</v>
      </c>
      <c r="C23" s="14" t="s">
        <v>1249</v>
      </c>
      <c r="D23" s="46" t="s">
        <v>1215</v>
      </c>
      <c r="E23" s="47" t="s">
        <v>1215</v>
      </c>
      <c r="F23" s="15">
        <v>4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4" t="s">
        <v>1250</v>
      </c>
      <c r="C24" s="14" t="s">
        <v>1251</v>
      </c>
      <c r="D24" s="46" t="s">
        <v>699</v>
      </c>
      <c r="E24" s="47" t="s">
        <v>699</v>
      </c>
      <c r="F24" s="15">
        <v>0</v>
      </c>
      <c r="G24" s="19"/>
      <c r="H24" s="19"/>
      <c r="I24" s="34" t="e">
        <f t="shared" si="0"/>
        <v>#DIV/0!</v>
      </c>
    </row>
    <row r="25" spans="1:9" ht="15.6" customHeight="1" x14ac:dyDescent="0.25">
      <c r="A25" s="13">
        <v>21</v>
      </c>
      <c r="B25" s="14" t="s">
        <v>1252</v>
      </c>
      <c r="C25" s="14" t="s">
        <v>1253</v>
      </c>
      <c r="D25" s="46" t="s">
        <v>699</v>
      </c>
      <c r="E25" s="47" t="s">
        <v>699</v>
      </c>
      <c r="F25" s="15">
        <v>0</v>
      </c>
      <c r="G25" s="15"/>
      <c r="H25" s="15"/>
      <c r="I25" s="34" t="e">
        <f t="shared" si="0"/>
        <v>#DIV/0!</v>
      </c>
    </row>
    <row r="26" spans="1:9" ht="15.6" customHeight="1" x14ac:dyDescent="0.25">
      <c r="A26" s="13">
        <v>22</v>
      </c>
      <c r="B26" s="14" t="s">
        <v>1254</v>
      </c>
      <c r="C26" s="14" t="s">
        <v>1255</v>
      </c>
      <c r="D26" s="46" t="s">
        <v>699</v>
      </c>
      <c r="E26" s="47" t="s">
        <v>699</v>
      </c>
      <c r="F26" s="15">
        <v>0</v>
      </c>
      <c r="G26" s="19"/>
      <c r="H26" s="19"/>
      <c r="I26" s="34" t="e">
        <f t="shared" si="0"/>
        <v>#DIV/0!</v>
      </c>
    </row>
    <row r="27" spans="1:9" ht="15.6" customHeight="1" x14ac:dyDescent="0.25">
      <c r="A27" s="13">
        <v>23</v>
      </c>
      <c r="B27" s="14" t="s">
        <v>1256</v>
      </c>
      <c r="C27" s="14" t="s">
        <v>1257</v>
      </c>
      <c r="D27" s="46" t="s">
        <v>699</v>
      </c>
      <c r="E27" s="47" t="s">
        <v>699</v>
      </c>
      <c r="F27" s="15">
        <v>0</v>
      </c>
      <c r="G27" s="19"/>
      <c r="H27" s="19"/>
      <c r="I27" s="34" t="e">
        <f t="shared" ref="I27:I29" si="1">H27/F27</f>
        <v>#DIV/0!</v>
      </c>
    </row>
    <row r="28" spans="1:9" ht="15.6" customHeight="1" x14ac:dyDescent="0.25">
      <c r="A28" s="13">
        <v>24</v>
      </c>
      <c r="B28" s="14" t="s">
        <v>1258</v>
      </c>
      <c r="C28" s="14" t="s">
        <v>1259</v>
      </c>
      <c r="D28" s="46" t="s">
        <v>699</v>
      </c>
      <c r="E28" s="47" t="s">
        <v>699</v>
      </c>
      <c r="F28" s="15">
        <v>0</v>
      </c>
      <c r="G28" s="19"/>
      <c r="H28" s="19"/>
      <c r="I28" s="34" t="e">
        <f t="shared" si="1"/>
        <v>#DIV/0!</v>
      </c>
    </row>
    <row r="29" spans="1:9" ht="15.6" customHeight="1" x14ac:dyDescent="0.25">
      <c r="A29" s="13">
        <v>25</v>
      </c>
      <c r="B29" s="14" t="s">
        <v>1260</v>
      </c>
      <c r="C29" s="14" t="s">
        <v>1261</v>
      </c>
      <c r="D29" s="46" t="s">
        <v>699</v>
      </c>
      <c r="E29" s="47" t="s">
        <v>699</v>
      </c>
      <c r="F29" s="15">
        <v>0</v>
      </c>
      <c r="G29" s="19"/>
      <c r="H29" s="19"/>
      <c r="I29" s="34" t="e">
        <f t="shared" si="1"/>
        <v>#DIV/0!</v>
      </c>
    </row>
    <row r="30" spans="1:9" ht="15.6" customHeight="1" x14ac:dyDescent="0.25">
      <c r="A30" s="13">
        <v>26</v>
      </c>
      <c r="B30" s="14" t="s">
        <v>1262</v>
      </c>
      <c r="C30" s="14" t="s">
        <v>1263</v>
      </c>
      <c r="D30" s="46" t="s">
        <v>699</v>
      </c>
      <c r="E30" s="47" t="s">
        <v>699</v>
      </c>
      <c r="F30" s="15">
        <v>0</v>
      </c>
      <c r="G30" s="19"/>
      <c r="H30" s="19"/>
      <c r="I30" s="34" t="e">
        <f>H30/F30</f>
        <v>#DIV/0!</v>
      </c>
    </row>
    <row r="31" spans="1:9" ht="16.8" customHeight="1" x14ac:dyDescent="0.25">
      <c r="A31" s="39" t="s">
        <v>1769</v>
      </c>
      <c r="B31" s="39"/>
      <c r="C31" s="39"/>
      <c r="D31" s="39" t="s">
        <v>2056</v>
      </c>
      <c r="E31" s="39"/>
      <c r="F31" s="12">
        <f>SUM(F5:F30)</f>
        <v>49</v>
      </c>
      <c r="G31" s="20"/>
      <c r="H31" s="12">
        <f>SUM(H5:H30)</f>
        <v>0</v>
      </c>
      <c r="I31" s="35">
        <f>H31/F31</f>
        <v>0</v>
      </c>
    </row>
  </sheetData>
  <mergeCells count="34">
    <mergeCell ref="D30:E30"/>
    <mergeCell ref="A31:C31"/>
    <mergeCell ref="D31:E31"/>
    <mergeCell ref="D17:E17"/>
    <mergeCell ref="D18:E18"/>
    <mergeCell ref="D19:E19"/>
    <mergeCell ref="D20:E20"/>
    <mergeCell ref="D21:E21"/>
    <mergeCell ref="D22:E22"/>
    <mergeCell ref="D27:E27"/>
    <mergeCell ref="D28:E28"/>
    <mergeCell ref="D29:E29"/>
    <mergeCell ref="D23:E23"/>
    <mergeCell ref="D24:E24"/>
    <mergeCell ref="D25:E25"/>
    <mergeCell ref="D26:E26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20A7-F7DF-4F6C-A0DC-17D4854D02F9}">
  <sheetPr codeName="Sheet27"/>
  <dimension ref="A1:I8"/>
  <sheetViews>
    <sheetView zoomScaleNormal="100" workbookViewId="0">
      <selection activeCell="C26" sqref="C26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1264</v>
      </c>
      <c r="C5" s="14" t="s">
        <v>1265</v>
      </c>
      <c r="D5" s="46" t="s">
        <v>2057</v>
      </c>
      <c r="E5" s="47" t="s">
        <v>76</v>
      </c>
      <c r="F5" s="15">
        <v>0</v>
      </c>
      <c r="G5" s="19"/>
      <c r="H5" s="19"/>
      <c r="I5" s="34" t="e">
        <f>H5/F5</f>
        <v>#DIV/0!</v>
      </c>
    </row>
    <row r="6" spans="1:9" ht="15.6" customHeight="1" x14ac:dyDescent="0.25">
      <c r="A6" s="13">
        <v>2</v>
      </c>
      <c r="B6" s="14" t="s">
        <v>1266</v>
      </c>
      <c r="C6" s="14" t="s">
        <v>1267</v>
      </c>
      <c r="D6" s="46" t="s">
        <v>2058</v>
      </c>
      <c r="E6" s="47" t="s">
        <v>76</v>
      </c>
      <c r="F6" s="15">
        <v>0</v>
      </c>
      <c r="G6" s="19"/>
      <c r="H6" s="19"/>
      <c r="I6" s="34" t="e">
        <f>H6/F6</f>
        <v>#DIV/0!</v>
      </c>
    </row>
    <row r="7" spans="1:9" ht="15.6" customHeight="1" x14ac:dyDescent="0.25">
      <c r="A7" s="13">
        <v>3</v>
      </c>
      <c r="B7" s="14" t="s">
        <v>1268</v>
      </c>
      <c r="C7" s="14" t="s">
        <v>1269</v>
      </c>
      <c r="D7" s="46" t="s">
        <v>2059</v>
      </c>
      <c r="E7" s="47" t="s">
        <v>119</v>
      </c>
      <c r="F7" s="15">
        <v>0</v>
      </c>
      <c r="G7" s="15"/>
      <c r="H7" s="15"/>
      <c r="I7" s="34" t="e">
        <f>H7/F7</f>
        <v>#DIV/0!</v>
      </c>
    </row>
    <row r="8" spans="1:9" ht="16.8" customHeight="1" x14ac:dyDescent="0.25">
      <c r="A8" s="39" t="s">
        <v>1769</v>
      </c>
      <c r="B8" s="39"/>
      <c r="C8" s="39"/>
      <c r="D8" s="39" t="s">
        <v>2060</v>
      </c>
      <c r="E8" s="39"/>
      <c r="F8" s="12">
        <f>SUM(F5:F7)</f>
        <v>0</v>
      </c>
      <c r="G8" s="20"/>
      <c r="H8" s="12">
        <f>SUM(H5:H7)</f>
        <v>0</v>
      </c>
      <c r="I8" s="35" t="e">
        <f>H8/F8</f>
        <v>#DIV/0!</v>
      </c>
    </row>
  </sheetData>
  <mergeCells count="11">
    <mergeCell ref="A8:C8"/>
    <mergeCell ref="D8:E8"/>
    <mergeCell ref="D5:E5"/>
    <mergeCell ref="D6:E6"/>
    <mergeCell ref="D7:E7"/>
    <mergeCell ref="H3:I3"/>
    <mergeCell ref="A3:A4"/>
    <mergeCell ref="B3:C3"/>
    <mergeCell ref="D3:E4"/>
    <mergeCell ref="F3:F4"/>
    <mergeCell ref="G3:G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044F-018F-43B0-89ED-59B5633CD1A5}">
  <sheetPr codeName="Sheet28"/>
  <dimension ref="A1:I60"/>
  <sheetViews>
    <sheetView zoomScaleNormal="100" workbookViewId="0">
      <selection activeCell="D65" sqref="D65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1271</v>
      </c>
      <c r="C5" s="14" t="s">
        <v>1272</v>
      </c>
      <c r="D5" s="46" t="s">
        <v>1273</v>
      </c>
      <c r="E5" s="47" t="s">
        <v>1273</v>
      </c>
      <c r="F5" s="15">
        <v>25.5</v>
      </c>
      <c r="G5" s="19"/>
      <c r="H5" s="19"/>
      <c r="I5" s="34">
        <f t="shared" ref="I5:I26" si="0">H5/F5</f>
        <v>0</v>
      </c>
    </row>
    <row r="6" spans="1:9" ht="15.6" customHeight="1" x14ac:dyDescent="0.25">
      <c r="A6" s="13">
        <v>2</v>
      </c>
      <c r="B6" s="14" t="s">
        <v>1274</v>
      </c>
      <c r="C6" s="14" t="s">
        <v>1275</v>
      </c>
      <c r="D6" s="46" t="s">
        <v>1276</v>
      </c>
      <c r="E6" s="47" t="s">
        <v>1276</v>
      </c>
      <c r="F6" s="15">
        <v>50.9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1277</v>
      </c>
      <c r="C7" s="14" t="s">
        <v>1278</v>
      </c>
      <c r="D7" s="46" t="s">
        <v>243</v>
      </c>
      <c r="E7" s="47" t="s">
        <v>243</v>
      </c>
      <c r="F7" s="15">
        <v>7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1279</v>
      </c>
      <c r="C8" s="14" t="s">
        <v>1280</v>
      </c>
      <c r="D8" s="46" t="s">
        <v>1281</v>
      </c>
      <c r="E8" s="47" t="s">
        <v>1281</v>
      </c>
      <c r="F8" s="15">
        <v>79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1282</v>
      </c>
      <c r="C9" s="14" t="s">
        <v>1283</v>
      </c>
      <c r="D9" s="46"/>
      <c r="E9" s="47"/>
      <c r="F9" s="15">
        <v>2.5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4" t="s">
        <v>1284</v>
      </c>
      <c r="C10" s="14" t="s">
        <v>1285</v>
      </c>
      <c r="D10" s="46"/>
      <c r="E10" s="47"/>
      <c r="F10" s="15">
        <v>2.5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4" t="s">
        <v>1286</v>
      </c>
      <c r="C11" s="14" t="s">
        <v>1287</v>
      </c>
      <c r="D11" s="46"/>
      <c r="E11" s="47"/>
      <c r="F11" s="15">
        <v>2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4" t="s">
        <v>1288</v>
      </c>
      <c r="C12" s="14" t="s">
        <v>1289</v>
      </c>
      <c r="D12" s="46"/>
      <c r="E12" s="47"/>
      <c r="F12" s="15">
        <v>9.6999999999999993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4" t="s">
        <v>1290</v>
      </c>
      <c r="C13" s="14" t="s">
        <v>1291</v>
      </c>
      <c r="D13" s="46"/>
      <c r="E13" s="47"/>
      <c r="F13" s="15">
        <v>3.7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4" t="s">
        <v>1292</v>
      </c>
      <c r="C14" s="14" t="s">
        <v>1293</v>
      </c>
      <c r="D14" s="46"/>
      <c r="E14" s="47"/>
      <c r="F14" s="15">
        <v>2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4" t="s">
        <v>1294</v>
      </c>
      <c r="C15" s="14" t="s">
        <v>1295</v>
      </c>
      <c r="D15" s="46"/>
      <c r="E15" s="47"/>
      <c r="F15" s="15">
        <v>5.2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4" t="s">
        <v>1296</v>
      </c>
      <c r="C16" s="14" t="s">
        <v>1297</v>
      </c>
      <c r="D16" s="46" t="s">
        <v>1298</v>
      </c>
      <c r="E16" s="47" t="s">
        <v>1298</v>
      </c>
      <c r="F16" s="15">
        <v>11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4" t="s">
        <v>1299</v>
      </c>
      <c r="C17" s="14" t="s">
        <v>1300</v>
      </c>
      <c r="D17" s="46" t="s">
        <v>1298</v>
      </c>
      <c r="E17" s="47" t="s">
        <v>1298</v>
      </c>
      <c r="F17" s="15">
        <v>0</v>
      </c>
      <c r="G17" s="19"/>
      <c r="H17" s="19"/>
      <c r="I17" s="34" t="e">
        <f t="shared" si="0"/>
        <v>#DIV/0!</v>
      </c>
    </row>
    <row r="18" spans="1:9" ht="15.6" customHeight="1" x14ac:dyDescent="0.25">
      <c r="A18" s="13">
        <v>14</v>
      </c>
      <c r="B18" s="14" t="s">
        <v>1301</v>
      </c>
      <c r="C18" s="14" t="s">
        <v>1302</v>
      </c>
      <c r="D18" s="46"/>
      <c r="E18" s="47"/>
      <c r="F18" s="15">
        <v>5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4" t="s">
        <v>1303</v>
      </c>
      <c r="C19" s="14" t="s">
        <v>1304</v>
      </c>
      <c r="D19" s="46" t="s">
        <v>1298</v>
      </c>
      <c r="E19" s="47" t="s">
        <v>1298</v>
      </c>
      <c r="F19" s="15">
        <v>0</v>
      </c>
      <c r="G19" s="15"/>
      <c r="H19" s="15"/>
      <c r="I19" s="34" t="e">
        <f t="shared" si="0"/>
        <v>#DIV/0!</v>
      </c>
    </row>
    <row r="20" spans="1:9" ht="15.6" customHeight="1" x14ac:dyDescent="0.25">
      <c r="A20" s="13">
        <v>16</v>
      </c>
      <c r="B20" s="14" t="s">
        <v>1305</v>
      </c>
      <c r="C20" s="14" t="s">
        <v>1306</v>
      </c>
      <c r="D20" s="46" t="s">
        <v>1298</v>
      </c>
      <c r="E20" s="47" t="s">
        <v>1298</v>
      </c>
      <c r="F20" s="15">
        <v>2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4" t="s">
        <v>1307</v>
      </c>
      <c r="C21" s="14" t="s">
        <v>1308</v>
      </c>
      <c r="D21" s="46"/>
      <c r="E21" s="47"/>
      <c r="F21" s="16">
        <v>3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4" t="s">
        <v>1309</v>
      </c>
      <c r="C22" s="14" t="s">
        <v>1310</v>
      </c>
      <c r="D22" s="46"/>
      <c r="E22" s="47"/>
      <c r="F22" s="15">
        <v>5.7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4" t="s">
        <v>1311</v>
      </c>
      <c r="C23" s="14" t="s">
        <v>1312</v>
      </c>
      <c r="D23" s="46" t="s">
        <v>1298</v>
      </c>
      <c r="E23" s="47" t="s">
        <v>1298</v>
      </c>
      <c r="F23" s="15">
        <v>0</v>
      </c>
      <c r="G23" s="19"/>
      <c r="H23" s="19"/>
      <c r="I23" s="34" t="e">
        <f t="shared" si="0"/>
        <v>#DIV/0!</v>
      </c>
    </row>
    <row r="24" spans="1:9" ht="15.6" customHeight="1" x14ac:dyDescent="0.25">
      <c r="A24" s="13">
        <v>20</v>
      </c>
      <c r="B24" s="14" t="s">
        <v>1313</v>
      </c>
      <c r="C24" s="14" t="s">
        <v>1314</v>
      </c>
      <c r="D24" s="46" t="s">
        <v>1298</v>
      </c>
      <c r="E24" s="47" t="s">
        <v>1298</v>
      </c>
      <c r="F24" s="15">
        <v>0</v>
      </c>
      <c r="G24" s="19"/>
      <c r="H24" s="19"/>
      <c r="I24" s="34" t="e">
        <f t="shared" si="0"/>
        <v>#DIV/0!</v>
      </c>
    </row>
    <row r="25" spans="1:9" ht="15.6" customHeight="1" x14ac:dyDescent="0.25">
      <c r="A25" s="13">
        <v>21</v>
      </c>
      <c r="B25" s="14" t="s">
        <v>1315</v>
      </c>
      <c r="C25" s="14" t="s">
        <v>1316</v>
      </c>
      <c r="D25" s="46" t="s">
        <v>1298</v>
      </c>
      <c r="E25" s="47" t="s">
        <v>1298</v>
      </c>
      <c r="F25" s="15">
        <v>0</v>
      </c>
      <c r="G25" s="15"/>
      <c r="H25" s="15"/>
      <c r="I25" s="34" t="e">
        <f t="shared" si="0"/>
        <v>#DIV/0!</v>
      </c>
    </row>
    <row r="26" spans="1:9" ht="15.6" customHeight="1" x14ac:dyDescent="0.25">
      <c r="A26" s="13">
        <v>22</v>
      </c>
      <c r="B26" s="14" t="s">
        <v>1317</v>
      </c>
      <c r="C26" s="14" t="s">
        <v>1318</v>
      </c>
      <c r="D26" s="46" t="s">
        <v>1298</v>
      </c>
      <c r="E26" s="47" t="s">
        <v>1298</v>
      </c>
      <c r="F26" s="15">
        <v>0</v>
      </c>
      <c r="G26" s="19"/>
      <c r="H26" s="19"/>
      <c r="I26" s="34" t="e">
        <f t="shared" si="0"/>
        <v>#DIV/0!</v>
      </c>
    </row>
    <row r="27" spans="1:9" ht="15.6" customHeight="1" x14ac:dyDescent="0.25">
      <c r="A27" s="13">
        <v>23</v>
      </c>
      <c r="B27" s="14" t="s">
        <v>1319</v>
      </c>
      <c r="C27" s="14" t="s">
        <v>1320</v>
      </c>
      <c r="D27" s="46" t="s">
        <v>243</v>
      </c>
      <c r="E27" s="47" t="s">
        <v>243</v>
      </c>
      <c r="F27" s="15">
        <v>6</v>
      </c>
      <c r="G27" s="19"/>
      <c r="H27" s="19"/>
      <c r="I27" s="34">
        <f t="shared" ref="I27:I58" si="1">H27/F27</f>
        <v>0</v>
      </c>
    </row>
    <row r="28" spans="1:9" ht="15.6" customHeight="1" x14ac:dyDescent="0.25">
      <c r="A28" s="13">
        <v>24</v>
      </c>
      <c r="B28" s="14" t="s">
        <v>1321</v>
      </c>
      <c r="C28" s="14" t="s">
        <v>1322</v>
      </c>
      <c r="D28" s="46" t="s">
        <v>243</v>
      </c>
      <c r="E28" s="47" t="s">
        <v>243</v>
      </c>
      <c r="F28" s="15">
        <v>4</v>
      </c>
      <c r="G28" s="19"/>
      <c r="H28" s="19"/>
      <c r="I28" s="34">
        <f t="shared" si="1"/>
        <v>0</v>
      </c>
    </row>
    <row r="29" spans="1:9" ht="15.6" customHeight="1" x14ac:dyDescent="0.25">
      <c r="A29" s="13">
        <v>25</v>
      </c>
      <c r="B29" s="14" t="s">
        <v>1323</v>
      </c>
      <c r="C29" s="14" t="s">
        <v>1324</v>
      </c>
      <c r="D29" s="46" t="s">
        <v>1298</v>
      </c>
      <c r="E29" s="47" t="s">
        <v>1298</v>
      </c>
      <c r="F29" s="15">
        <v>1</v>
      </c>
      <c r="G29" s="19"/>
      <c r="H29" s="19"/>
      <c r="I29" s="34">
        <f t="shared" si="1"/>
        <v>0</v>
      </c>
    </row>
    <row r="30" spans="1:9" ht="15.6" customHeight="1" x14ac:dyDescent="0.25">
      <c r="A30" s="13">
        <v>26</v>
      </c>
      <c r="B30" s="14" t="s">
        <v>1325</v>
      </c>
      <c r="C30" s="14" t="s">
        <v>1326</v>
      </c>
      <c r="D30" s="46"/>
      <c r="E30" s="47"/>
      <c r="F30" s="15">
        <v>2</v>
      </c>
      <c r="G30" s="19"/>
      <c r="H30" s="19"/>
      <c r="I30" s="34">
        <f t="shared" si="1"/>
        <v>0</v>
      </c>
    </row>
    <row r="31" spans="1:9" ht="15.6" customHeight="1" x14ac:dyDescent="0.25">
      <c r="A31" s="13">
        <v>27</v>
      </c>
      <c r="B31" s="14" t="s">
        <v>1327</v>
      </c>
      <c r="C31" s="14" t="s">
        <v>1328</v>
      </c>
      <c r="D31" s="46" t="s">
        <v>243</v>
      </c>
      <c r="E31" s="47" t="s">
        <v>243</v>
      </c>
      <c r="F31" s="15">
        <v>1</v>
      </c>
      <c r="G31" s="19"/>
      <c r="H31" s="19"/>
      <c r="I31" s="34">
        <f t="shared" si="1"/>
        <v>0</v>
      </c>
    </row>
    <row r="32" spans="1:9" ht="15.6" customHeight="1" x14ac:dyDescent="0.25">
      <c r="A32" s="13">
        <v>28</v>
      </c>
      <c r="B32" s="14" t="s">
        <v>1329</v>
      </c>
      <c r="C32" s="14" t="s">
        <v>1330</v>
      </c>
      <c r="D32" s="46" t="s">
        <v>1331</v>
      </c>
      <c r="E32" s="47" t="s">
        <v>1331</v>
      </c>
      <c r="F32" s="15">
        <v>140.5</v>
      </c>
      <c r="G32" s="19"/>
      <c r="H32" s="19"/>
      <c r="I32" s="34">
        <f t="shared" si="1"/>
        <v>0</v>
      </c>
    </row>
    <row r="33" spans="1:9" ht="15.6" customHeight="1" x14ac:dyDescent="0.25">
      <c r="A33" s="13">
        <v>29</v>
      </c>
      <c r="B33" s="14" t="s">
        <v>1332</v>
      </c>
      <c r="C33" s="14" t="s">
        <v>1333</v>
      </c>
      <c r="D33" s="46" t="s">
        <v>1298</v>
      </c>
      <c r="E33" s="47" t="s">
        <v>1298</v>
      </c>
      <c r="F33" s="15">
        <v>1</v>
      </c>
      <c r="G33" s="19"/>
      <c r="H33" s="19"/>
      <c r="I33" s="34">
        <f t="shared" si="1"/>
        <v>0</v>
      </c>
    </row>
    <row r="34" spans="1:9" ht="15.6" customHeight="1" x14ac:dyDescent="0.25">
      <c r="A34" s="13">
        <v>30</v>
      </c>
      <c r="B34" s="14" t="s">
        <v>1334</v>
      </c>
      <c r="C34" s="14" t="s">
        <v>1335</v>
      </c>
      <c r="D34" s="46" t="s">
        <v>1298</v>
      </c>
      <c r="E34" s="47" t="s">
        <v>1298</v>
      </c>
      <c r="F34" s="15">
        <v>4</v>
      </c>
      <c r="G34" s="19"/>
      <c r="H34" s="19"/>
      <c r="I34" s="34">
        <f t="shared" si="1"/>
        <v>0</v>
      </c>
    </row>
    <row r="35" spans="1:9" ht="15.6" customHeight="1" x14ac:dyDescent="0.25">
      <c r="A35" s="13">
        <v>31</v>
      </c>
      <c r="B35" s="14" t="s">
        <v>1336</v>
      </c>
      <c r="C35" s="14" t="s">
        <v>1337</v>
      </c>
      <c r="D35" s="46" t="s">
        <v>1298</v>
      </c>
      <c r="E35" s="47" t="s">
        <v>1298</v>
      </c>
      <c r="F35" s="15">
        <v>3</v>
      </c>
      <c r="G35" s="19"/>
      <c r="H35" s="19"/>
      <c r="I35" s="34">
        <f t="shared" si="1"/>
        <v>0</v>
      </c>
    </row>
    <row r="36" spans="1:9" ht="15.6" customHeight="1" x14ac:dyDescent="0.25">
      <c r="A36" s="13">
        <v>32</v>
      </c>
      <c r="B36" s="14" t="s">
        <v>1338</v>
      </c>
      <c r="C36" s="14" t="s">
        <v>1339</v>
      </c>
      <c r="D36" s="46" t="s">
        <v>1298</v>
      </c>
      <c r="E36" s="47" t="s">
        <v>1298</v>
      </c>
      <c r="F36" s="15">
        <v>2.5</v>
      </c>
      <c r="G36" s="19"/>
      <c r="H36" s="19"/>
      <c r="I36" s="34">
        <f t="shared" si="1"/>
        <v>0</v>
      </c>
    </row>
    <row r="37" spans="1:9" ht="15.6" customHeight="1" x14ac:dyDescent="0.25">
      <c r="A37" s="13">
        <v>33</v>
      </c>
      <c r="B37" s="14" t="s">
        <v>1340</v>
      </c>
      <c r="C37" s="14" t="s">
        <v>1341</v>
      </c>
      <c r="D37" s="46" t="s">
        <v>1298</v>
      </c>
      <c r="E37" s="47" t="s">
        <v>1298</v>
      </c>
      <c r="F37" s="15">
        <v>0.5</v>
      </c>
      <c r="G37" s="19"/>
      <c r="H37" s="19"/>
      <c r="I37" s="34">
        <f t="shared" si="1"/>
        <v>0</v>
      </c>
    </row>
    <row r="38" spans="1:9" ht="15.6" customHeight="1" x14ac:dyDescent="0.25">
      <c r="A38" s="13">
        <v>34</v>
      </c>
      <c r="B38" s="14" t="s">
        <v>1342</v>
      </c>
      <c r="C38" s="14" t="s">
        <v>1343</v>
      </c>
      <c r="D38" s="46" t="s">
        <v>1298</v>
      </c>
      <c r="E38" s="47" t="s">
        <v>1298</v>
      </c>
      <c r="F38" s="15">
        <v>1</v>
      </c>
      <c r="G38" s="19"/>
      <c r="H38" s="19"/>
      <c r="I38" s="34">
        <f t="shared" si="1"/>
        <v>0</v>
      </c>
    </row>
    <row r="39" spans="1:9" ht="15.6" customHeight="1" x14ac:dyDescent="0.25">
      <c r="A39" s="13">
        <v>35</v>
      </c>
      <c r="B39" s="14" t="s">
        <v>1344</v>
      </c>
      <c r="C39" s="14" t="s">
        <v>1345</v>
      </c>
      <c r="D39" s="46" t="s">
        <v>1298</v>
      </c>
      <c r="E39" s="47" t="s">
        <v>1298</v>
      </c>
      <c r="F39" s="15">
        <v>1.5</v>
      </c>
      <c r="G39" s="19"/>
      <c r="H39" s="19"/>
      <c r="I39" s="34">
        <f t="shared" si="1"/>
        <v>0</v>
      </c>
    </row>
    <row r="40" spans="1:9" ht="15.6" customHeight="1" x14ac:dyDescent="0.25">
      <c r="A40" s="13">
        <v>36</v>
      </c>
      <c r="B40" s="14" t="s">
        <v>1346</v>
      </c>
      <c r="C40" s="14" t="s">
        <v>1347</v>
      </c>
      <c r="D40" s="46" t="s">
        <v>1298</v>
      </c>
      <c r="E40" s="47" t="s">
        <v>1298</v>
      </c>
      <c r="F40" s="15">
        <v>0.5</v>
      </c>
      <c r="G40" s="19"/>
      <c r="H40" s="19"/>
      <c r="I40" s="34">
        <f t="shared" si="1"/>
        <v>0</v>
      </c>
    </row>
    <row r="41" spans="1:9" ht="15.6" customHeight="1" x14ac:dyDescent="0.25">
      <c r="A41" s="13">
        <v>37</v>
      </c>
      <c r="B41" s="14" t="s">
        <v>1348</v>
      </c>
      <c r="C41" s="14" t="s">
        <v>1349</v>
      </c>
      <c r="D41" s="46" t="s">
        <v>1298</v>
      </c>
      <c r="E41" s="47" t="s">
        <v>1298</v>
      </c>
      <c r="F41" s="15">
        <v>1</v>
      </c>
      <c r="G41" s="19"/>
      <c r="H41" s="19"/>
      <c r="I41" s="34">
        <f t="shared" si="1"/>
        <v>0</v>
      </c>
    </row>
    <row r="42" spans="1:9" ht="15.6" customHeight="1" x14ac:dyDescent="0.25">
      <c r="A42" s="13">
        <v>38</v>
      </c>
      <c r="B42" s="14" t="s">
        <v>1350</v>
      </c>
      <c r="C42" s="14" t="s">
        <v>1351</v>
      </c>
      <c r="D42" s="46" t="s">
        <v>1298</v>
      </c>
      <c r="E42" s="47" t="s">
        <v>1298</v>
      </c>
      <c r="F42" s="15">
        <v>2</v>
      </c>
      <c r="G42" s="19"/>
      <c r="H42" s="19"/>
      <c r="I42" s="34">
        <f t="shared" si="1"/>
        <v>0</v>
      </c>
    </row>
    <row r="43" spans="1:9" ht="15.6" customHeight="1" x14ac:dyDescent="0.25">
      <c r="A43" s="13">
        <v>39</v>
      </c>
      <c r="B43" s="14" t="s">
        <v>1352</v>
      </c>
      <c r="C43" s="14" t="s">
        <v>1353</v>
      </c>
      <c r="D43" s="46"/>
      <c r="E43" s="47"/>
      <c r="F43" s="15">
        <v>4</v>
      </c>
      <c r="G43" s="19"/>
      <c r="H43" s="19"/>
      <c r="I43" s="34">
        <f t="shared" si="1"/>
        <v>0</v>
      </c>
    </row>
    <row r="44" spans="1:9" ht="15.6" customHeight="1" x14ac:dyDescent="0.25">
      <c r="A44" s="13">
        <v>40</v>
      </c>
      <c r="B44" s="14" t="s">
        <v>1325</v>
      </c>
      <c r="C44" s="14" t="s">
        <v>1354</v>
      </c>
      <c r="D44" s="46" t="s">
        <v>1355</v>
      </c>
      <c r="E44" s="47" t="s">
        <v>1355</v>
      </c>
      <c r="F44" s="15">
        <v>0</v>
      </c>
      <c r="G44" s="19"/>
      <c r="H44" s="19"/>
      <c r="I44" s="34" t="e">
        <f t="shared" si="1"/>
        <v>#DIV/0!</v>
      </c>
    </row>
    <row r="45" spans="1:9" ht="15.6" customHeight="1" x14ac:dyDescent="0.25">
      <c r="A45" s="13">
        <v>41</v>
      </c>
      <c r="B45" s="14" t="s">
        <v>1294</v>
      </c>
      <c r="C45" s="14" t="s">
        <v>1356</v>
      </c>
      <c r="D45" s="46"/>
      <c r="E45" s="47"/>
      <c r="F45" s="15">
        <v>0</v>
      </c>
      <c r="G45" s="19"/>
      <c r="H45" s="19"/>
      <c r="I45" s="34" t="e">
        <f t="shared" si="1"/>
        <v>#DIV/0!</v>
      </c>
    </row>
    <row r="46" spans="1:9" ht="15.6" customHeight="1" x14ac:dyDescent="0.25">
      <c r="A46" s="13">
        <v>42</v>
      </c>
      <c r="B46" s="14" t="s">
        <v>1357</v>
      </c>
      <c r="C46" s="14" t="s">
        <v>1358</v>
      </c>
      <c r="D46" s="46"/>
      <c r="E46" s="47"/>
      <c r="F46" s="15">
        <v>0</v>
      </c>
      <c r="G46" s="19"/>
      <c r="H46" s="19"/>
      <c r="I46" s="34" t="e">
        <f t="shared" si="1"/>
        <v>#DIV/0!</v>
      </c>
    </row>
    <row r="47" spans="1:9" ht="15.6" customHeight="1" x14ac:dyDescent="0.25">
      <c r="A47" s="13">
        <v>43</v>
      </c>
      <c r="B47" s="14" t="s">
        <v>1359</v>
      </c>
      <c r="C47" s="14" t="s">
        <v>1360</v>
      </c>
      <c r="D47" s="46"/>
      <c r="E47" s="47"/>
      <c r="F47" s="15">
        <v>0</v>
      </c>
      <c r="G47" s="19"/>
      <c r="H47" s="19"/>
      <c r="I47" s="34" t="e">
        <f t="shared" si="1"/>
        <v>#DIV/0!</v>
      </c>
    </row>
    <row r="48" spans="1:9" ht="15.6" customHeight="1" x14ac:dyDescent="0.25">
      <c r="A48" s="13">
        <v>44</v>
      </c>
      <c r="B48" s="14" t="s">
        <v>1361</v>
      </c>
      <c r="C48" s="14" t="s">
        <v>1362</v>
      </c>
      <c r="D48" s="46" t="s">
        <v>1331</v>
      </c>
      <c r="E48" s="47" t="s">
        <v>1331</v>
      </c>
      <c r="F48" s="15">
        <v>3.6</v>
      </c>
      <c r="G48" s="19"/>
      <c r="H48" s="19"/>
      <c r="I48" s="34">
        <f t="shared" si="1"/>
        <v>0</v>
      </c>
    </row>
    <row r="49" spans="1:9" ht="15.6" customHeight="1" x14ac:dyDescent="0.25">
      <c r="A49" s="13">
        <v>45</v>
      </c>
      <c r="B49" s="14" t="s">
        <v>1363</v>
      </c>
      <c r="C49" s="14" t="s">
        <v>1364</v>
      </c>
      <c r="D49" s="46"/>
      <c r="E49" s="47"/>
      <c r="F49" s="15">
        <v>4.5</v>
      </c>
      <c r="G49" s="19"/>
      <c r="H49" s="19"/>
      <c r="I49" s="34">
        <f t="shared" si="1"/>
        <v>0</v>
      </c>
    </row>
    <row r="50" spans="1:9" ht="15.6" customHeight="1" x14ac:dyDescent="0.25">
      <c r="A50" s="13">
        <v>46</v>
      </c>
      <c r="B50" s="14" t="s">
        <v>1365</v>
      </c>
      <c r="C50" s="14" t="s">
        <v>1366</v>
      </c>
      <c r="D50" s="46"/>
      <c r="E50" s="47"/>
      <c r="F50" s="15">
        <v>0</v>
      </c>
      <c r="G50" s="19"/>
      <c r="H50" s="19"/>
      <c r="I50" s="34" t="e">
        <f t="shared" si="1"/>
        <v>#DIV/0!</v>
      </c>
    </row>
    <row r="51" spans="1:9" ht="15.6" customHeight="1" x14ac:dyDescent="0.25">
      <c r="A51" s="13">
        <v>47</v>
      </c>
      <c r="B51" s="14" t="s">
        <v>1367</v>
      </c>
      <c r="C51" s="14" t="s">
        <v>1368</v>
      </c>
      <c r="D51" s="46" t="s">
        <v>1369</v>
      </c>
      <c r="E51" s="47" t="s">
        <v>1369</v>
      </c>
      <c r="F51" s="15">
        <v>0</v>
      </c>
      <c r="G51" s="19"/>
      <c r="H51" s="19"/>
      <c r="I51" s="34" t="e">
        <f t="shared" si="1"/>
        <v>#DIV/0!</v>
      </c>
    </row>
    <row r="52" spans="1:9" ht="15.6" customHeight="1" x14ac:dyDescent="0.25">
      <c r="A52" s="13">
        <v>48</v>
      </c>
      <c r="B52" s="14" t="s">
        <v>1370</v>
      </c>
      <c r="C52" s="14" t="s">
        <v>1371</v>
      </c>
      <c r="D52" s="46" t="s">
        <v>1355</v>
      </c>
      <c r="E52" s="47" t="s">
        <v>1355</v>
      </c>
      <c r="F52" s="15">
        <v>20.5</v>
      </c>
      <c r="G52" s="19"/>
      <c r="H52" s="19"/>
      <c r="I52" s="34">
        <f t="shared" si="1"/>
        <v>0</v>
      </c>
    </row>
    <row r="53" spans="1:9" ht="15.6" customHeight="1" x14ac:dyDescent="0.25">
      <c r="A53" s="13">
        <v>49</v>
      </c>
      <c r="B53" s="14" t="s">
        <v>1372</v>
      </c>
      <c r="C53" s="14" t="s">
        <v>1373</v>
      </c>
      <c r="D53" s="46" t="s">
        <v>1374</v>
      </c>
      <c r="E53" s="47" t="s">
        <v>1374</v>
      </c>
      <c r="F53" s="15">
        <v>0</v>
      </c>
      <c r="G53" s="19"/>
      <c r="H53" s="19"/>
      <c r="I53" s="34" t="e">
        <f t="shared" si="1"/>
        <v>#DIV/0!</v>
      </c>
    </row>
    <row r="54" spans="1:9" ht="15.6" customHeight="1" x14ac:dyDescent="0.25">
      <c r="A54" s="13">
        <v>50</v>
      </c>
      <c r="B54" s="14" t="s">
        <v>1375</v>
      </c>
      <c r="C54" s="14" t="s">
        <v>1376</v>
      </c>
      <c r="D54" s="46"/>
      <c r="E54" s="47"/>
      <c r="F54" s="15">
        <v>0</v>
      </c>
      <c r="G54" s="19"/>
      <c r="H54" s="19"/>
      <c r="I54" s="34" t="e">
        <f t="shared" si="1"/>
        <v>#DIV/0!</v>
      </c>
    </row>
    <row r="55" spans="1:9" ht="15.6" customHeight="1" x14ac:dyDescent="0.25">
      <c r="A55" s="13">
        <v>51</v>
      </c>
      <c r="B55" s="14" t="s">
        <v>1377</v>
      </c>
      <c r="C55" s="14" t="s">
        <v>1378</v>
      </c>
      <c r="D55" s="46" t="s">
        <v>1355</v>
      </c>
      <c r="E55" s="47" t="s">
        <v>1355</v>
      </c>
      <c r="F55" s="15">
        <v>0</v>
      </c>
      <c r="G55" s="19"/>
      <c r="H55" s="19"/>
      <c r="I55" s="34" t="e">
        <f t="shared" si="1"/>
        <v>#DIV/0!</v>
      </c>
    </row>
    <row r="56" spans="1:9" ht="15.6" customHeight="1" x14ac:dyDescent="0.25">
      <c r="A56" s="13">
        <v>52</v>
      </c>
      <c r="B56" s="14" t="s">
        <v>1379</v>
      </c>
      <c r="C56" s="14" t="s">
        <v>1380</v>
      </c>
      <c r="D56" s="46" t="s">
        <v>1331</v>
      </c>
      <c r="E56" s="47" t="s">
        <v>1331</v>
      </c>
      <c r="F56" s="15">
        <v>0</v>
      </c>
      <c r="G56" s="19"/>
      <c r="H56" s="19"/>
      <c r="I56" s="34" t="e">
        <f t="shared" si="1"/>
        <v>#DIV/0!</v>
      </c>
    </row>
    <row r="57" spans="1:9" ht="15.6" customHeight="1" x14ac:dyDescent="0.25">
      <c r="A57" s="13">
        <v>53</v>
      </c>
      <c r="B57" s="14" t="s">
        <v>1381</v>
      </c>
      <c r="C57" s="14" t="s">
        <v>1382</v>
      </c>
      <c r="D57" s="46" t="s">
        <v>1383</v>
      </c>
      <c r="E57" s="47" t="s">
        <v>1383</v>
      </c>
      <c r="F57" s="15">
        <v>0</v>
      </c>
      <c r="G57" s="19"/>
      <c r="H57" s="19"/>
      <c r="I57" s="34" t="e">
        <f t="shared" si="1"/>
        <v>#DIV/0!</v>
      </c>
    </row>
    <row r="58" spans="1:9" ht="15.6" customHeight="1" x14ac:dyDescent="0.25">
      <c r="A58" s="13">
        <v>54</v>
      </c>
      <c r="B58" s="14" t="s">
        <v>1384</v>
      </c>
      <c r="C58" s="14" t="s">
        <v>1385</v>
      </c>
      <c r="D58" s="46" t="s">
        <v>1386</v>
      </c>
      <c r="E58" s="47" t="s">
        <v>1386</v>
      </c>
      <c r="F58" s="15">
        <v>5.4</v>
      </c>
      <c r="G58" s="19"/>
      <c r="H58" s="19"/>
      <c r="I58" s="34">
        <f t="shared" si="1"/>
        <v>0</v>
      </c>
    </row>
    <row r="59" spans="1:9" ht="15.6" customHeight="1" x14ac:dyDescent="0.25">
      <c r="A59" s="13">
        <v>55</v>
      </c>
      <c r="B59" s="14" t="s">
        <v>1387</v>
      </c>
      <c r="C59" s="14" t="s">
        <v>1388</v>
      </c>
      <c r="D59" s="46" t="s">
        <v>1298</v>
      </c>
      <c r="E59" s="47" t="s">
        <v>1298</v>
      </c>
      <c r="F59" s="15">
        <v>0</v>
      </c>
      <c r="G59" s="19"/>
      <c r="H59" s="19"/>
      <c r="I59" s="34" t="e">
        <f>H59/F59</f>
        <v>#DIV/0!</v>
      </c>
    </row>
    <row r="60" spans="1:9" ht="16.8" customHeight="1" x14ac:dyDescent="0.25">
      <c r="A60" s="39" t="s">
        <v>1769</v>
      </c>
      <c r="B60" s="39"/>
      <c r="C60" s="39"/>
      <c r="D60" s="54" t="s">
        <v>2061</v>
      </c>
      <c r="E60" s="56"/>
      <c r="F60" s="12">
        <f>SUM(F5:F59)</f>
        <v>426.19999999999993</v>
      </c>
      <c r="G60" s="20"/>
      <c r="H60" s="12">
        <f>SUM(H5:H59)</f>
        <v>0</v>
      </c>
      <c r="I60" s="35">
        <f>H60/F60</f>
        <v>0</v>
      </c>
    </row>
  </sheetData>
  <mergeCells count="63">
    <mergeCell ref="D58:E58"/>
    <mergeCell ref="D52:E52"/>
    <mergeCell ref="D53:E53"/>
    <mergeCell ref="D54:E54"/>
    <mergeCell ref="D55:E55"/>
    <mergeCell ref="D56:E56"/>
    <mergeCell ref="D57:E57"/>
    <mergeCell ref="D23:E23"/>
    <mergeCell ref="D24:E24"/>
    <mergeCell ref="D25:E25"/>
    <mergeCell ref="D26:E26"/>
    <mergeCell ref="D59:E59"/>
    <mergeCell ref="D34:E34"/>
    <mergeCell ref="D35:E35"/>
    <mergeCell ref="D36:E36"/>
    <mergeCell ref="D27:E27"/>
    <mergeCell ref="D28:E28"/>
    <mergeCell ref="D29:E29"/>
    <mergeCell ref="D30:E30"/>
    <mergeCell ref="D31:E31"/>
    <mergeCell ref="D32:E32"/>
    <mergeCell ref="D33:E33"/>
    <mergeCell ref="D51:E51"/>
    <mergeCell ref="A60:C60"/>
    <mergeCell ref="D60:E60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EA02-834E-435E-AB99-2175B45C2F09}">
  <sheetPr codeName="Sheet29"/>
  <dimension ref="A1:I56"/>
  <sheetViews>
    <sheetView topLeftCell="A31" zoomScaleNormal="100" workbookViewId="0">
      <selection activeCell="J49" sqref="J49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1389</v>
      </c>
      <c r="C5" s="14" t="s">
        <v>1390</v>
      </c>
      <c r="D5" s="46" t="s">
        <v>119</v>
      </c>
      <c r="E5" s="47" t="s">
        <v>119</v>
      </c>
      <c r="F5" s="15">
        <v>14</v>
      </c>
      <c r="G5" s="19"/>
      <c r="H5" s="19"/>
      <c r="I5" s="34">
        <f t="shared" ref="I5:I26" si="0">H5/F5</f>
        <v>0</v>
      </c>
    </row>
    <row r="6" spans="1:9" ht="15.6" customHeight="1" x14ac:dyDescent="0.25">
      <c r="A6" s="13">
        <v>2</v>
      </c>
      <c r="B6" s="14" t="s">
        <v>1391</v>
      </c>
      <c r="C6" s="14" t="s">
        <v>1392</v>
      </c>
      <c r="D6" s="46" t="s">
        <v>119</v>
      </c>
      <c r="E6" s="47" t="s">
        <v>119</v>
      </c>
      <c r="F6" s="15">
        <v>3.5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1393</v>
      </c>
      <c r="C7" s="14" t="s">
        <v>1394</v>
      </c>
      <c r="D7" s="46" t="s">
        <v>119</v>
      </c>
      <c r="E7" s="47" t="s">
        <v>119</v>
      </c>
      <c r="F7" s="15">
        <v>1.4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1395</v>
      </c>
      <c r="C8" s="14" t="s">
        <v>1396</v>
      </c>
      <c r="D8" s="46" t="s">
        <v>119</v>
      </c>
      <c r="E8" s="47" t="s">
        <v>119</v>
      </c>
      <c r="F8" s="15">
        <v>1.1000000000000001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1397</v>
      </c>
      <c r="C9" s="14" t="s">
        <v>1398</v>
      </c>
      <c r="D9" s="46" t="s">
        <v>119</v>
      </c>
      <c r="E9" s="47" t="s">
        <v>119</v>
      </c>
      <c r="F9" s="15">
        <v>1.6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4" t="s">
        <v>1399</v>
      </c>
      <c r="C10" s="14" t="s">
        <v>1400</v>
      </c>
      <c r="D10" s="46" t="s">
        <v>119</v>
      </c>
      <c r="E10" s="47" t="s">
        <v>119</v>
      </c>
      <c r="F10" s="15">
        <v>1.5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4" t="s">
        <v>1401</v>
      </c>
      <c r="C11" s="14" t="s">
        <v>1402</v>
      </c>
      <c r="D11" s="46" t="s">
        <v>119</v>
      </c>
      <c r="E11" s="47" t="s">
        <v>119</v>
      </c>
      <c r="F11" s="15">
        <v>3.5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4" t="s">
        <v>1403</v>
      </c>
      <c r="C12" s="14" t="s">
        <v>1404</v>
      </c>
      <c r="D12" s="46" t="s">
        <v>119</v>
      </c>
      <c r="E12" s="47" t="s">
        <v>119</v>
      </c>
      <c r="F12" s="15">
        <v>2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4" t="s">
        <v>1405</v>
      </c>
      <c r="C13" s="14" t="s">
        <v>1406</v>
      </c>
      <c r="D13" s="46" t="s">
        <v>119</v>
      </c>
      <c r="E13" s="47" t="s">
        <v>119</v>
      </c>
      <c r="F13" s="15">
        <v>1.8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4" t="s">
        <v>1407</v>
      </c>
      <c r="C14" s="14" t="s">
        <v>1408</v>
      </c>
      <c r="D14" s="46" t="s">
        <v>119</v>
      </c>
      <c r="E14" s="47" t="s">
        <v>119</v>
      </c>
      <c r="F14" s="15">
        <v>1.1000000000000001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4" t="s">
        <v>1409</v>
      </c>
      <c r="C15" s="14" t="s">
        <v>1410</v>
      </c>
      <c r="D15" s="46" t="s">
        <v>119</v>
      </c>
      <c r="E15" s="47" t="s">
        <v>119</v>
      </c>
      <c r="F15" s="15">
        <v>1.2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4" t="s">
        <v>1411</v>
      </c>
      <c r="C16" s="14" t="s">
        <v>1412</v>
      </c>
      <c r="D16" s="46" t="s">
        <v>119</v>
      </c>
      <c r="E16" s="47" t="s">
        <v>119</v>
      </c>
      <c r="F16" s="15">
        <v>2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4" t="s">
        <v>1413</v>
      </c>
      <c r="C17" s="14" t="s">
        <v>1414</v>
      </c>
      <c r="D17" s="46" t="s">
        <v>119</v>
      </c>
      <c r="E17" s="47" t="s">
        <v>119</v>
      </c>
      <c r="F17" s="15">
        <v>4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4" t="s">
        <v>1415</v>
      </c>
      <c r="C18" s="14" t="s">
        <v>1416</v>
      </c>
      <c r="D18" s="46" t="s">
        <v>119</v>
      </c>
      <c r="E18" s="47" t="s">
        <v>119</v>
      </c>
      <c r="F18" s="15">
        <v>5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4" t="s">
        <v>1417</v>
      </c>
      <c r="C19" s="14" t="s">
        <v>1418</v>
      </c>
      <c r="D19" s="46" t="s">
        <v>119</v>
      </c>
      <c r="E19" s="47" t="s">
        <v>119</v>
      </c>
      <c r="F19" s="15">
        <v>8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4" t="s">
        <v>1419</v>
      </c>
      <c r="C20" s="14" t="s">
        <v>1420</v>
      </c>
      <c r="D20" s="46" t="s">
        <v>119</v>
      </c>
      <c r="E20" s="47" t="s">
        <v>119</v>
      </c>
      <c r="F20" s="15">
        <v>5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4" t="s">
        <v>1421</v>
      </c>
      <c r="C21" s="14" t="s">
        <v>1422</v>
      </c>
      <c r="D21" s="46" t="s">
        <v>119</v>
      </c>
      <c r="E21" s="47" t="s">
        <v>119</v>
      </c>
      <c r="F21" s="16">
        <v>8.5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4" t="s">
        <v>1423</v>
      </c>
      <c r="C22" s="14" t="s">
        <v>1424</v>
      </c>
      <c r="D22" s="46" t="s">
        <v>119</v>
      </c>
      <c r="E22" s="47" t="s">
        <v>119</v>
      </c>
      <c r="F22" s="15">
        <v>21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4" t="s">
        <v>1425</v>
      </c>
      <c r="C23" s="14" t="s">
        <v>1426</v>
      </c>
      <c r="D23" s="46" t="s">
        <v>119</v>
      </c>
      <c r="E23" s="47" t="s">
        <v>119</v>
      </c>
      <c r="F23" s="15">
        <v>1.5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4" t="s">
        <v>1427</v>
      </c>
      <c r="C24" s="14" t="s">
        <v>1428</v>
      </c>
      <c r="D24" s="46" t="s">
        <v>119</v>
      </c>
      <c r="E24" s="47" t="s">
        <v>119</v>
      </c>
      <c r="F24" s="15">
        <v>5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4" t="s">
        <v>1429</v>
      </c>
      <c r="C25" s="14" t="s">
        <v>1430</v>
      </c>
      <c r="D25" s="46" t="s">
        <v>119</v>
      </c>
      <c r="E25" s="47" t="s">
        <v>119</v>
      </c>
      <c r="F25" s="15">
        <v>11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4" t="s">
        <v>1431</v>
      </c>
      <c r="C26" s="14" t="s">
        <v>1432</v>
      </c>
      <c r="D26" s="46" t="s">
        <v>119</v>
      </c>
      <c r="E26" s="47" t="s">
        <v>119</v>
      </c>
      <c r="F26" s="15">
        <v>1.4</v>
      </c>
      <c r="G26" s="19"/>
      <c r="H26" s="19"/>
      <c r="I26" s="34">
        <f t="shared" si="0"/>
        <v>0</v>
      </c>
    </row>
    <row r="27" spans="1:9" ht="15.6" customHeight="1" x14ac:dyDescent="0.25">
      <c r="A27" s="13">
        <v>23</v>
      </c>
      <c r="B27" s="14" t="s">
        <v>1433</v>
      </c>
      <c r="C27" s="14" t="s">
        <v>1434</v>
      </c>
      <c r="D27" s="46" t="s">
        <v>119</v>
      </c>
      <c r="E27" s="47" t="s">
        <v>119</v>
      </c>
      <c r="F27" s="15">
        <v>1.5</v>
      </c>
      <c r="G27" s="19"/>
      <c r="H27" s="19"/>
      <c r="I27" s="34">
        <f t="shared" ref="I27:I54" si="1">H27/F27</f>
        <v>0</v>
      </c>
    </row>
    <row r="28" spans="1:9" ht="15.6" customHeight="1" x14ac:dyDescent="0.25">
      <c r="A28" s="13">
        <v>24</v>
      </c>
      <c r="B28" s="14" t="s">
        <v>1435</v>
      </c>
      <c r="C28" s="14" t="s">
        <v>1436</v>
      </c>
      <c r="D28" s="46" t="s">
        <v>119</v>
      </c>
      <c r="E28" s="47" t="s">
        <v>119</v>
      </c>
      <c r="F28" s="15">
        <v>1.8</v>
      </c>
      <c r="G28" s="19"/>
      <c r="H28" s="19"/>
      <c r="I28" s="34">
        <f t="shared" si="1"/>
        <v>0</v>
      </c>
    </row>
    <row r="29" spans="1:9" ht="15.6" customHeight="1" x14ac:dyDescent="0.25">
      <c r="A29" s="13">
        <v>25</v>
      </c>
      <c r="B29" s="14" t="s">
        <v>1437</v>
      </c>
      <c r="C29" s="14" t="s">
        <v>1438</v>
      </c>
      <c r="D29" s="46" t="s">
        <v>119</v>
      </c>
      <c r="E29" s="47" t="s">
        <v>119</v>
      </c>
      <c r="F29" s="15">
        <v>1.7</v>
      </c>
      <c r="G29" s="19"/>
      <c r="H29" s="19"/>
      <c r="I29" s="34">
        <f t="shared" si="1"/>
        <v>0</v>
      </c>
    </row>
    <row r="30" spans="1:9" ht="15.6" customHeight="1" x14ac:dyDescent="0.25">
      <c r="A30" s="13">
        <v>26</v>
      </c>
      <c r="B30" s="14" t="s">
        <v>1439</v>
      </c>
      <c r="C30" s="14" t="s">
        <v>1440</v>
      </c>
      <c r="D30" s="46" t="s">
        <v>119</v>
      </c>
      <c r="E30" s="47" t="s">
        <v>119</v>
      </c>
      <c r="F30" s="15">
        <v>0</v>
      </c>
      <c r="G30" s="19"/>
      <c r="H30" s="19"/>
      <c r="I30" s="34" t="e">
        <f t="shared" si="1"/>
        <v>#DIV/0!</v>
      </c>
    </row>
    <row r="31" spans="1:9" ht="15.6" customHeight="1" x14ac:dyDescent="0.25">
      <c r="A31" s="13">
        <v>27</v>
      </c>
      <c r="B31" s="14" t="s">
        <v>1441</v>
      </c>
      <c r="C31" s="14" t="s">
        <v>1442</v>
      </c>
      <c r="D31" s="46"/>
      <c r="E31" s="47"/>
      <c r="F31" s="15">
        <v>2.8</v>
      </c>
      <c r="G31" s="19"/>
      <c r="H31" s="19"/>
      <c r="I31" s="34">
        <f t="shared" si="1"/>
        <v>0</v>
      </c>
    </row>
    <row r="32" spans="1:9" ht="15.6" customHeight="1" x14ac:dyDescent="0.25">
      <c r="A32" s="13">
        <v>28</v>
      </c>
      <c r="B32" s="14" t="s">
        <v>1443</v>
      </c>
      <c r="C32" s="14" t="s">
        <v>1444</v>
      </c>
      <c r="D32" s="46" t="s">
        <v>1445</v>
      </c>
      <c r="E32" s="47" t="s">
        <v>1445</v>
      </c>
      <c r="F32" s="15">
        <v>11.3</v>
      </c>
      <c r="G32" s="19"/>
      <c r="H32" s="19"/>
      <c r="I32" s="34">
        <f t="shared" si="1"/>
        <v>0</v>
      </c>
    </row>
    <row r="33" spans="1:9" ht="15.6" customHeight="1" x14ac:dyDescent="0.25">
      <c r="A33" s="13">
        <v>29</v>
      </c>
      <c r="B33" s="14" t="s">
        <v>1446</v>
      </c>
      <c r="C33" s="14" t="s">
        <v>1447</v>
      </c>
      <c r="D33" s="46" t="s">
        <v>1445</v>
      </c>
      <c r="E33" s="47" t="s">
        <v>1445</v>
      </c>
      <c r="F33" s="15">
        <v>8.5</v>
      </c>
      <c r="G33" s="19"/>
      <c r="H33" s="19"/>
      <c r="I33" s="34">
        <f t="shared" si="1"/>
        <v>0</v>
      </c>
    </row>
    <row r="34" spans="1:9" ht="15.6" customHeight="1" x14ac:dyDescent="0.25">
      <c r="A34" s="13">
        <v>30</v>
      </c>
      <c r="B34" s="14" t="s">
        <v>1448</v>
      </c>
      <c r="C34" s="14" t="s">
        <v>1449</v>
      </c>
      <c r="D34" s="46" t="s">
        <v>1445</v>
      </c>
      <c r="E34" s="47" t="s">
        <v>1445</v>
      </c>
      <c r="F34" s="15">
        <v>1.5</v>
      </c>
      <c r="G34" s="19"/>
      <c r="H34" s="19"/>
      <c r="I34" s="34">
        <f t="shared" si="1"/>
        <v>0</v>
      </c>
    </row>
    <row r="35" spans="1:9" ht="15.6" customHeight="1" x14ac:dyDescent="0.25">
      <c r="A35" s="13">
        <v>31</v>
      </c>
      <c r="B35" s="14" t="s">
        <v>1450</v>
      </c>
      <c r="C35" s="14" t="s">
        <v>1451</v>
      </c>
      <c r="D35" s="46" t="s">
        <v>1445</v>
      </c>
      <c r="E35" s="47" t="s">
        <v>1445</v>
      </c>
      <c r="F35" s="15">
        <v>1.8</v>
      </c>
      <c r="G35" s="19"/>
      <c r="H35" s="19"/>
      <c r="I35" s="34">
        <f t="shared" si="1"/>
        <v>0</v>
      </c>
    </row>
    <row r="36" spans="1:9" ht="15.6" customHeight="1" x14ac:dyDescent="0.25">
      <c r="A36" s="13">
        <v>32</v>
      </c>
      <c r="B36" s="14" t="s">
        <v>1452</v>
      </c>
      <c r="C36" s="14" t="s">
        <v>1453</v>
      </c>
      <c r="D36" s="46" t="s">
        <v>1445</v>
      </c>
      <c r="E36" s="47" t="s">
        <v>1445</v>
      </c>
      <c r="F36" s="15">
        <v>1.2</v>
      </c>
      <c r="G36" s="19"/>
      <c r="H36" s="19"/>
      <c r="I36" s="34">
        <f t="shared" si="1"/>
        <v>0</v>
      </c>
    </row>
    <row r="37" spans="1:9" ht="15.6" customHeight="1" x14ac:dyDescent="0.25">
      <c r="A37" s="13">
        <v>33</v>
      </c>
      <c r="B37" s="14" t="s">
        <v>1454</v>
      </c>
      <c r="C37" s="14" t="s">
        <v>1455</v>
      </c>
      <c r="D37" s="46" t="s">
        <v>1445</v>
      </c>
      <c r="E37" s="47" t="s">
        <v>1445</v>
      </c>
      <c r="F37" s="15">
        <v>1.3</v>
      </c>
      <c r="G37" s="19"/>
      <c r="H37" s="19"/>
      <c r="I37" s="34">
        <f t="shared" si="1"/>
        <v>0</v>
      </c>
    </row>
    <row r="38" spans="1:9" ht="15.6" customHeight="1" x14ac:dyDescent="0.25">
      <c r="A38" s="13">
        <v>34</v>
      </c>
      <c r="B38" s="14" t="s">
        <v>1456</v>
      </c>
      <c r="C38" s="14" t="s">
        <v>1457</v>
      </c>
      <c r="D38" s="46" t="s">
        <v>1445</v>
      </c>
      <c r="E38" s="47" t="s">
        <v>1445</v>
      </c>
      <c r="F38" s="15">
        <v>8</v>
      </c>
      <c r="G38" s="19"/>
      <c r="H38" s="19"/>
      <c r="I38" s="34">
        <f t="shared" si="1"/>
        <v>0</v>
      </c>
    </row>
    <row r="39" spans="1:9" ht="15.6" customHeight="1" x14ac:dyDescent="0.25">
      <c r="A39" s="13">
        <v>35</v>
      </c>
      <c r="B39" s="14" t="s">
        <v>1458</v>
      </c>
      <c r="C39" s="14" t="s">
        <v>1459</v>
      </c>
      <c r="D39" s="46" t="s">
        <v>1445</v>
      </c>
      <c r="E39" s="47" t="s">
        <v>1445</v>
      </c>
      <c r="F39" s="15">
        <v>1.7</v>
      </c>
      <c r="G39" s="19"/>
      <c r="H39" s="19"/>
      <c r="I39" s="34">
        <f t="shared" si="1"/>
        <v>0</v>
      </c>
    </row>
    <row r="40" spans="1:9" ht="15.6" customHeight="1" x14ac:dyDescent="0.25">
      <c r="A40" s="13">
        <v>36</v>
      </c>
      <c r="B40" s="14" t="s">
        <v>1460</v>
      </c>
      <c r="C40" s="14" t="s">
        <v>1461</v>
      </c>
      <c r="D40" s="46" t="s">
        <v>1445</v>
      </c>
      <c r="E40" s="47" t="s">
        <v>1445</v>
      </c>
      <c r="F40" s="15">
        <v>2.5</v>
      </c>
      <c r="G40" s="19"/>
      <c r="H40" s="19"/>
      <c r="I40" s="34">
        <f t="shared" si="1"/>
        <v>0</v>
      </c>
    </row>
    <row r="41" spans="1:9" ht="15.6" customHeight="1" x14ac:dyDescent="0.25">
      <c r="A41" s="13">
        <v>37</v>
      </c>
      <c r="B41" s="14" t="s">
        <v>1462</v>
      </c>
      <c r="C41" s="14" t="s">
        <v>1463</v>
      </c>
      <c r="D41" s="46" t="s">
        <v>1445</v>
      </c>
      <c r="E41" s="47" t="s">
        <v>1445</v>
      </c>
      <c r="F41" s="15">
        <v>1.5</v>
      </c>
      <c r="G41" s="19"/>
      <c r="H41" s="19"/>
      <c r="I41" s="34">
        <f t="shared" si="1"/>
        <v>0</v>
      </c>
    </row>
    <row r="42" spans="1:9" ht="15.6" customHeight="1" x14ac:dyDescent="0.25">
      <c r="A42" s="13">
        <v>38</v>
      </c>
      <c r="B42" s="14" t="s">
        <v>1464</v>
      </c>
      <c r="C42" s="14" t="s">
        <v>1465</v>
      </c>
      <c r="D42" s="46" t="s">
        <v>1445</v>
      </c>
      <c r="E42" s="47" t="s">
        <v>1445</v>
      </c>
      <c r="F42" s="15">
        <v>1</v>
      </c>
      <c r="G42" s="19"/>
      <c r="H42" s="19"/>
      <c r="I42" s="34">
        <f t="shared" si="1"/>
        <v>0</v>
      </c>
    </row>
    <row r="43" spans="1:9" ht="15.6" customHeight="1" x14ac:dyDescent="0.25">
      <c r="A43" s="13">
        <v>39</v>
      </c>
      <c r="B43" s="14" t="s">
        <v>1466</v>
      </c>
      <c r="C43" s="14" t="s">
        <v>1467</v>
      </c>
      <c r="D43" s="46" t="s">
        <v>1445</v>
      </c>
      <c r="E43" s="47" t="s">
        <v>1445</v>
      </c>
      <c r="F43" s="15">
        <v>1.5</v>
      </c>
      <c r="G43" s="19"/>
      <c r="H43" s="19"/>
      <c r="I43" s="34">
        <f t="shared" si="1"/>
        <v>0</v>
      </c>
    </row>
    <row r="44" spans="1:9" ht="15.6" customHeight="1" x14ac:dyDescent="0.25">
      <c r="A44" s="13">
        <v>40</v>
      </c>
      <c r="B44" s="14" t="s">
        <v>1468</v>
      </c>
      <c r="C44" s="14" t="s">
        <v>1469</v>
      </c>
      <c r="D44" s="46" t="s">
        <v>1445</v>
      </c>
      <c r="E44" s="47" t="s">
        <v>1445</v>
      </c>
      <c r="F44" s="15">
        <v>1.5</v>
      </c>
      <c r="G44" s="19"/>
      <c r="H44" s="19"/>
      <c r="I44" s="34">
        <f t="shared" si="1"/>
        <v>0</v>
      </c>
    </row>
    <row r="45" spans="1:9" ht="15.6" customHeight="1" x14ac:dyDescent="0.25">
      <c r="A45" s="13">
        <v>41</v>
      </c>
      <c r="B45" s="14" t="s">
        <v>1470</v>
      </c>
      <c r="C45" s="14" t="s">
        <v>1471</v>
      </c>
      <c r="D45" s="46" t="s">
        <v>1445</v>
      </c>
      <c r="E45" s="47" t="s">
        <v>1445</v>
      </c>
      <c r="F45" s="15">
        <v>2.2000000000000002</v>
      </c>
      <c r="G45" s="19"/>
      <c r="H45" s="19"/>
      <c r="I45" s="34">
        <f t="shared" si="1"/>
        <v>0</v>
      </c>
    </row>
    <row r="46" spans="1:9" ht="15.6" customHeight="1" x14ac:dyDescent="0.25">
      <c r="A46" s="13">
        <v>42</v>
      </c>
      <c r="B46" s="14" t="s">
        <v>1472</v>
      </c>
      <c r="C46" s="14" t="s">
        <v>1473</v>
      </c>
      <c r="D46" s="46"/>
      <c r="E46" s="47"/>
      <c r="F46" s="15">
        <v>23.3</v>
      </c>
      <c r="G46" s="19"/>
      <c r="H46" s="19"/>
      <c r="I46" s="34">
        <f t="shared" si="1"/>
        <v>0</v>
      </c>
    </row>
    <row r="47" spans="1:9" ht="15.6" customHeight="1" x14ac:dyDescent="0.25">
      <c r="A47" s="13">
        <v>43</v>
      </c>
      <c r="B47" s="14" t="s">
        <v>1474</v>
      </c>
      <c r="C47" s="14" t="s">
        <v>1475</v>
      </c>
      <c r="D47" s="46"/>
      <c r="E47" s="47"/>
      <c r="F47" s="15">
        <v>0</v>
      </c>
      <c r="G47" s="19"/>
      <c r="H47" s="19"/>
      <c r="I47" s="34" t="e">
        <f t="shared" si="1"/>
        <v>#DIV/0!</v>
      </c>
    </row>
    <row r="48" spans="1:9" ht="15.6" customHeight="1" x14ac:dyDescent="0.25">
      <c r="A48" s="13">
        <v>44</v>
      </c>
      <c r="B48" s="14" t="s">
        <v>1476</v>
      </c>
      <c r="C48" s="14" t="s">
        <v>1477</v>
      </c>
      <c r="D48" s="46"/>
      <c r="E48" s="47"/>
      <c r="F48" s="15">
        <v>0</v>
      </c>
      <c r="G48" s="19"/>
      <c r="H48" s="19"/>
      <c r="I48" s="34" t="e">
        <f t="shared" si="1"/>
        <v>#DIV/0!</v>
      </c>
    </row>
    <row r="49" spans="1:9" ht="15.6" customHeight="1" x14ac:dyDescent="0.25">
      <c r="A49" s="13">
        <v>45</v>
      </c>
      <c r="B49" s="14" t="s">
        <v>1478</v>
      </c>
      <c r="C49" s="14" t="s">
        <v>1479</v>
      </c>
      <c r="D49" s="46" t="s">
        <v>1480</v>
      </c>
      <c r="E49" s="47" t="s">
        <v>1480</v>
      </c>
      <c r="F49" s="15">
        <v>1.5</v>
      </c>
      <c r="G49" s="19"/>
      <c r="H49" s="19"/>
      <c r="I49" s="34">
        <f t="shared" si="1"/>
        <v>0</v>
      </c>
    </row>
    <row r="50" spans="1:9" ht="15.6" customHeight="1" x14ac:dyDescent="0.25">
      <c r="A50" s="13">
        <v>46</v>
      </c>
      <c r="B50" s="14" t="s">
        <v>1481</v>
      </c>
      <c r="C50" s="14" t="s">
        <v>1482</v>
      </c>
      <c r="D50" s="46" t="s">
        <v>1483</v>
      </c>
      <c r="E50" s="47" t="s">
        <v>1483</v>
      </c>
      <c r="F50" s="15">
        <v>2</v>
      </c>
      <c r="G50" s="19"/>
      <c r="H50" s="19"/>
      <c r="I50" s="34">
        <f t="shared" si="1"/>
        <v>0</v>
      </c>
    </row>
    <row r="51" spans="1:9" ht="15.6" customHeight="1" x14ac:dyDescent="0.25">
      <c r="A51" s="13">
        <v>47</v>
      </c>
      <c r="B51" s="14" t="s">
        <v>1484</v>
      </c>
      <c r="C51" s="14" t="s">
        <v>1485</v>
      </c>
      <c r="D51" s="46"/>
      <c r="E51" s="47"/>
      <c r="F51" s="15">
        <v>1.2</v>
      </c>
      <c r="G51" s="19"/>
      <c r="H51" s="19"/>
      <c r="I51" s="34">
        <f t="shared" si="1"/>
        <v>0</v>
      </c>
    </row>
    <row r="52" spans="1:9" ht="15.6" customHeight="1" x14ac:dyDescent="0.25">
      <c r="A52" s="13">
        <v>48</v>
      </c>
      <c r="B52" s="14" t="s">
        <v>1486</v>
      </c>
      <c r="C52" s="14" t="s">
        <v>1487</v>
      </c>
      <c r="D52" s="46"/>
      <c r="E52" s="47"/>
      <c r="F52" s="15">
        <v>6.8</v>
      </c>
      <c r="G52" s="19"/>
      <c r="H52" s="19"/>
      <c r="I52" s="34">
        <f t="shared" si="1"/>
        <v>0</v>
      </c>
    </row>
    <row r="53" spans="1:9" ht="15.6" customHeight="1" x14ac:dyDescent="0.25">
      <c r="A53" s="13">
        <v>49</v>
      </c>
      <c r="B53" s="14" t="s">
        <v>1488</v>
      </c>
      <c r="C53" s="14" t="s">
        <v>1489</v>
      </c>
      <c r="D53" s="46" t="s">
        <v>1490</v>
      </c>
      <c r="E53" s="47" t="s">
        <v>1490</v>
      </c>
      <c r="F53" s="15">
        <v>2</v>
      </c>
      <c r="G53" s="19"/>
      <c r="H53" s="19"/>
      <c r="I53" s="34">
        <f t="shared" si="1"/>
        <v>0</v>
      </c>
    </row>
    <row r="54" spans="1:9" ht="15.6" customHeight="1" x14ac:dyDescent="0.25">
      <c r="A54" s="13">
        <v>50</v>
      </c>
      <c r="B54" s="14" t="s">
        <v>1491</v>
      </c>
      <c r="C54" s="14" t="s">
        <v>1471</v>
      </c>
      <c r="D54" s="46" t="s">
        <v>1445</v>
      </c>
      <c r="E54" s="47" t="s">
        <v>1445</v>
      </c>
      <c r="F54" s="15">
        <v>2.2000000000000002</v>
      </c>
      <c r="G54" s="19"/>
      <c r="H54" s="19"/>
      <c r="I54" s="34">
        <f t="shared" si="1"/>
        <v>0</v>
      </c>
    </row>
    <row r="55" spans="1:9" ht="15.6" customHeight="1" x14ac:dyDescent="0.25">
      <c r="A55" s="13">
        <v>51</v>
      </c>
      <c r="B55" s="14" t="s">
        <v>1492</v>
      </c>
      <c r="C55" s="14" t="s">
        <v>1493</v>
      </c>
      <c r="D55" s="46"/>
      <c r="E55" s="47"/>
      <c r="F55" s="15">
        <v>0</v>
      </c>
      <c r="G55" s="19"/>
      <c r="H55" s="19"/>
      <c r="I55" s="34" t="e">
        <f>H55/F55</f>
        <v>#DIV/0!</v>
      </c>
    </row>
    <row r="56" spans="1:9" ht="16.8" customHeight="1" x14ac:dyDescent="0.25">
      <c r="A56" s="39" t="s">
        <v>1769</v>
      </c>
      <c r="B56" s="39"/>
      <c r="C56" s="39"/>
      <c r="D56" s="39" t="s">
        <v>2062</v>
      </c>
      <c r="E56" s="39"/>
      <c r="F56" s="12">
        <f>SUM(F5:F55)</f>
        <v>197.39999999999998</v>
      </c>
      <c r="G56" s="20"/>
      <c r="H56" s="12">
        <f>SUM(H5:H55)</f>
        <v>0</v>
      </c>
      <c r="I56" s="35">
        <f>H56/F56</f>
        <v>0</v>
      </c>
    </row>
  </sheetData>
  <mergeCells count="59">
    <mergeCell ref="D50:E50"/>
    <mergeCell ref="D51:E51"/>
    <mergeCell ref="D52:E52"/>
    <mergeCell ref="D23:E23"/>
    <mergeCell ref="D24:E24"/>
    <mergeCell ref="D25:E25"/>
    <mergeCell ref="D26:E26"/>
    <mergeCell ref="D55:E55"/>
    <mergeCell ref="D27:E27"/>
    <mergeCell ref="D28:E28"/>
    <mergeCell ref="D29:E29"/>
    <mergeCell ref="D30:E30"/>
    <mergeCell ref="D31:E31"/>
    <mergeCell ref="D46:E46"/>
    <mergeCell ref="D35:E35"/>
    <mergeCell ref="D36:E36"/>
    <mergeCell ref="D37:E37"/>
    <mergeCell ref="D38:E38"/>
    <mergeCell ref="D39:E39"/>
    <mergeCell ref="A56:C56"/>
    <mergeCell ref="D56:E56"/>
    <mergeCell ref="D32:E32"/>
    <mergeCell ref="D33:E33"/>
    <mergeCell ref="D34:E34"/>
    <mergeCell ref="D40:E40"/>
    <mergeCell ref="D41:E41"/>
    <mergeCell ref="D42:E42"/>
    <mergeCell ref="D43:E43"/>
    <mergeCell ref="D44:E44"/>
    <mergeCell ref="D45:E45"/>
    <mergeCell ref="D53:E53"/>
    <mergeCell ref="D54:E54"/>
    <mergeCell ref="D47:E47"/>
    <mergeCell ref="D48:E48"/>
    <mergeCell ref="D49:E4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2BD0-2836-4F22-A54B-1860AC261A28}">
  <sheetPr codeName="Sheet30"/>
  <dimension ref="A1:I44"/>
  <sheetViews>
    <sheetView topLeftCell="A19" zoomScaleNormal="100" workbookViewId="0">
      <selection activeCell="J37" sqref="J37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1494</v>
      </c>
      <c r="C5" s="14" t="s">
        <v>1495</v>
      </c>
      <c r="D5" s="46" t="s">
        <v>1496</v>
      </c>
      <c r="E5" s="47" t="s">
        <v>1496</v>
      </c>
      <c r="F5" s="15">
        <v>0</v>
      </c>
      <c r="G5" s="19"/>
      <c r="H5" s="19"/>
      <c r="I5" s="34" t="e">
        <f t="shared" ref="I5:I25" si="0">H5/F5</f>
        <v>#DIV/0!</v>
      </c>
    </row>
    <row r="6" spans="1:9" ht="15.6" customHeight="1" x14ac:dyDescent="0.25">
      <c r="A6" s="13">
        <v>2</v>
      </c>
      <c r="B6" s="14" t="s">
        <v>1500</v>
      </c>
      <c r="C6" s="14" t="s">
        <v>1501</v>
      </c>
      <c r="D6" s="46" t="s">
        <v>243</v>
      </c>
      <c r="E6" s="47" t="s">
        <v>243</v>
      </c>
      <c r="F6" s="15">
        <v>3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1502</v>
      </c>
      <c r="C7" s="14" t="s">
        <v>1503</v>
      </c>
      <c r="D7" s="46" t="s">
        <v>243</v>
      </c>
      <c r="E7" s="47" t="s">
        <v>243</v>
      </c>
      <c r="F7" s="15">
        <v>0.5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1504</v>
      </c>
      <c r="C8" s="14" t="s">
        <v>1505</v>
      </c>
      <c r="D8" s="46" t="s">
        <v>243</v>
      </c>
      <c r="E8" s="47" t="s">
        <v>243</v>
      </c>
      <c r="F8" s="15">
        <v>2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1506</v>
      </c>
      <c r="C9" s="14" t="s">
        <v>1507</v>
      </c>
      <c r="D9" s="46" t="s">
        <v>243</v>
      </c>
      <c r="E9" s="47" t="s">
        <v>243</v>
      </c>
      <c r="F9" s="15">
        <v>1.2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4" t="s">
        <v>1508</v>
      </c>
      <c r="C10" s="14" t="s">
        <v>1509</v>
      </c>
      <c r="D10" s="46" t="s">
        <v>243</v>
      </c>
      <c r="E10" s="47" t="s">
        <v>243</v>
      </c>
      <c r="F10" s="15">
        <v>2.5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4" t="s">
        <v>1510</v>
      </c>
      <c r="C11" s="14" t="s">
        <v>1511</v>
      </c>
      <c r="D11" s="46" t="s">
        <v>243</v>
      </c>
      <c r="E11" s="47" t="s">
        <v>243</v>
      </c>
      <c r="F11" s="15">
        <v>0.5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4" t="s">
        <v>1512</v>
      </c>
      <c r="C12" s="14" t="s">
        <v>1513</v>
      </c>
      <c r="D12" s="46" t="s">
        <v>243</v>
      </c>
      <c r="E12" s="47" t="s">
        <v>243</v>
      </c>
      <c r="F12" s="15">
        <v>0</v>
      </c>
      <c r="G12" s="19"/>
      <c r="H12" s="19"/>
      <c r="I12" s="34" t="e">
        <f t="shared" si="0"/>
        <v>#DIV/0!</v>
      </c>
    </row>
    <row r="13" spans="1:9" ht="15.6" customHeight="1" x14ac:dyDescent="0.25">
      <c r="A13" s="13">
        <v>9</v>
      </c>
      <c r="B13" s="14" t="s">
        <v>1514</v>
      </c>
      <c r="C13" s="14" t="s">
        <v>1515</v>
      </c>
      <c r="D13" s="46" t="s">
        <v>243</v>
      </c>
      <c r="E13" s="47" t="s">
        <v>243</v>
      </c>
      <c r="F13" s="15">
        <v>2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4" t="s">
        <v>1516</v>
      </c>
      <c r="C14" s="14" t="s">
        <v>1517</v>
      </c>
      <c r="D14" s="46" t="s">
        <v>243</v>
      </c>
      <c r="E14" s="47" t="s">
        <v>243</v>
      </c>
      <c r="F14" s="15">
        <v>0</v>
      </c>
      <c r="G14" s="19"/>
      <c r="H14" s="19"/>
      <c r="I14" s="34" t="e">
        <f t="shared" si="0"/>
        <v>#DIV/0!</v>
      </c>
    </row>
    <row r="15" spans="1:9" ht="15.6" customHeight="1" x14ac:dyDescent="0.25">
      <c r="A15" s="13">
        <v>11</v>
      </c>
      <c r="B15" s="14" t="s">
        <v>1518</v>
      </c>
      <c r="C15" s="14" t="s">
        <v>1519</v>
      </c>
      <c r="D15" s="46" t="s">
        <v>243</v>
      </c>
      <c r="E15" s="47" t="s">
        <v>243</v>
      </c>
      <c r="F15" s="15">
        <v>2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4" t="s">
        <v>1520</v>
      </c>
      <c r="C16" s="14" t="s">
        <v>1521</v>
      </c>
      <c r="D16" s="46" t="s">
        <v>243</v>
      </c>
      <c r="E16" s="47" t="s">
        <v>243</v>
      </c>
      <c r="F16" s="15">
        <v>1.5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4" t="s">
        <v>1522</v>
      </c>
      <c r="C17" s="14" t="s">
        <v>1523</v>
      </c>
      <c r="D17" s="46" t="s">
        <v>243</v>
      </c>
      <c r="E17" s="47" t="s">
        <v>243</v>
      </c>
      <c r="F17" s="15">
        <v>0</v>
      </c>
      <c r="G17" s="19"/>
      <c r="H17" s="19"/>
      <c r="I17" s="34" t="e">
        <f t="shared" si="0"/>
        <v>#DIV/0!</v>
      </c>
    </row>
    <row r="18" spans="1:9" ht="15.6" customHeight="1" x14ac:dyDescent="0.25">
      <c r="A18" s="13">
        <v>14</v>
      </c>
      <c r="B18" s="14" t="s">
        <v>1524</v>
      </c>
      <c r="C18" s="14" t="s">
        <v>1525</v>
      </c>
      <c r="D18" s="46" t="s">
        <v>243</v>
      </c>
      <c r="E18" s="47" t="s">
        <v>243</v>
      </c>
      <c r="F18" s="15">
        <v>2.5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4" t="s">
        <v>1526</v>
      </c>
      <c r="C19" s="14" t="s">
        <v>1527</v>
      </c>
      <c r="D19" s="46" t="s">
        <v>243</v>
      </c>
      <c r="E19" s="47" t="s">
        <v>243</v>
      </c>
      <c r="F19" s="15">
        <v>0.5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4" t="s">
        <v>1528</v>
      </c>
      <c r="C20" s="14" t="s">
        <v>1529</v>
      </c>
      <c r="D20" s="46" t="s">
        <v>243</v>
      </c>
      <c r="E20" s="47" t="s">
        <v>243</v>
      </c>
      <c r="F20" s="15">
        <v>21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4" t="s">
        <v>1530</v>
      </c>
      <c r="C21" s="14" t="s">
        <v>1531</v>
      </c>
      <c r="D21" s="46" t="s">
        <v>243</v>
      </c>
      <c r="E21" s="47" t="s">
        <v>243</v>
      </c>
      <c r="F21" s="16">
        <v>0</v>
      </c>
      <c r="G21" s="19"/>
      <c r="H21" s="19"/>
      <c r="I21" s="34" t="e">
        <f t="shared" si="0"/>
        <v>#DIV/0!</v>
      </c>
    </row>
    <row r="22" spans="1:9" ht="15.6" customHeight="1" x14ac:dyDescent="0.25">
      <c r="A22" s="13">
        <v>18</v>
      </c>
      <c r="B22" s="14" t="s">
        <v>1532</v>
      </c>
      <c r="C22" s="14" t="s">
        <v>1533</v>
      </c>
      <c r="D22" s="46" t="s">
        <v>243</v>
      </c>
      <c r="E22" s="47" t="s">
        <v>243</v>
      </c>
      <c r="F22" s="15">
        <v>2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4" t="s">
        <v>1534</v>
      </c>
      <c r="C23" s="14" t="s">
        <v>1535</v>
      </c>
      <c r="D23" s="46" t="s">
        <v>243</v>
      </c>
      <c r="E23" s="47" t="s">
        <v>243</v>
      </c>
      <c r="F23" s="15">
        <v>1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4" t="s">
        <v>1536</v>
      </c>
      <c r="C24" s="14" t="s">
        <v>1537</v>
      </c>
      <c r="D24" s="46" t="s">
        <v>243</v>
      </c>
      <c r="E24" s="47" t="s">
        <v>243</v>
      </c>
      <c r="F24" s="15">
        <v>1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4" t="s">
        <v>1538</v>
      </c>
      <c r="C25" s="14" t="s">
        <v>1539</v>
      </c>
      <c r="D25" s="46" t="s">
        <v>243</v>
      </c>
      <c r="E25" s="47" t="s">
        <v>243</v>
      </c>
      <c r="F25" s="15">
        <v>2.5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4" t="s">
        <v>1540</v>
      </c>
      <c r="C26" s="14" t="s">
        <v>1541</v>
      </c>
      <c r="D26" s="46" t="s">
        <v>243</v>
      </c>
      <c r="E26" s="47"/>
      <c r="F26" s="15">
        <v>0</v>
      </c>
      <c r="G26" s="15"/>
      <c r="H26" s="15"/>
      <c r="I26" s="34" t="e">
        <f t="shared" ref="I26:I34" si="1">H26/F26</f>
        <v>#DIV/0!</v>
      </c>
    </row>
    <row r="27" spans="1:9" ht="15.6" customHeight="1" x14ac:dyDescent="0.25">
      <c r="A27" s="13">
        <v>23</v>
      </c>
      <c r="B27" s="14" t="s">
        <v>1542</v>
      </c>
      <c r="C27" s="14" t="s">
        <v>1543</v>
      </c>
      <c r="D27" s="46" t="s">
        <v>243</v>
      </c>
      <c r="E27" s="47"/>
      <c r="F27" s="15">
        <v>0</v>
      </c>
      <c r="G27" s="15"/>
      <c r="H27" s="15"/>
      <c r="I27" s="34" t="e">
        <f t="shared" si="1"/>
        <v>#DIV/0!</v>
      </c>
    </row>
    <row r="28" spans="1:9" ht="15.6" customHeight="1" x14ac:dyDescent="0.25">
      <c r="A28" s="13">
        <v>24</v>
      </c>
      <c r="B28" s="14" t="s">
        <v>1544</v>
      </c>
      <c r="C28" s="14" t="s">
        <v>1545</v>
      </c>
      <c r="D28" s="46" t="s">
        <v>243</v>
      </c>
      <c r="E28" s="47"/>
      <c r="F28" s="15">
        <v>0</v>
      </c>
      <c r="G28" s="15"/>
      <c r="H28" s="15"/>
      <c r="I28" s="34" t="e">
        <f t="shared" si="1"/>
        <v>#DIV/0!</v>
      </c>
    </row>
    <row r="29" spans="1:9" ht="15.6" customHeight="1" x14ac:dyDescent="0.25">
      <c r="A29" s="13">
        <v>25</v>
      </c>
      <c r="B29" s="14" t="s">
        <v>1546</v>
      </c>
      <c r="C29" s="14" t="s">
        <v>1547</v>
      </c>
      <c r="D29" s="46" t="s">
        <v>243</v>
      </c>
      <c r="E29" s="47" t="s">
        <v>243</v>
      </c>
      <c r="F29" s="15">
        <v>0.5</v>
      </c>
      <c r="G29" s="19"/>
      <c r="H29" s="19"/>
      <c r="I29" s="34">
        <f t="shared" si="1"/>
        <v>0</v>
      </c>
    </row>
    <row r="30" spans="1:9" ht="15.6" customHeight="1" x14ac:dyDescent="0.25">
      <c r="A30" s="13">
        <v>26</v>
      </c>
      <c r="B30" s="14" t="s">
        <v>1548</v>
      </c>
      <c r="C30" s="14" t="s">
        <v>1549</v>
      </c>
      <c r="D30" s="46" t="s">
        <v>699</v>
      </c>
      <c r="E30" s="47"/>
      <c r="F30" s="15">
        <v>3</v>
      </c>
      <c r="G30" s="19"/>
      <c r="H30" s="19"/>
      <c r="I30" s="34">
        <f t="shared" si="1"/>
        <v>0</v>
      </c>
    </row>
    <row r="31" spans="1:9" ht="15.6" customHeight="1" x14ac:dyDescent="0.25">
      <c r="A31" s="13">
        <v>27</v>
      </c>
      <c r="B31" s="14" t="s">
        <v>1550</v>
      </c>
      <c r="C31" s="14" t="s">
        <v>1551</v>
      </c>
      <c r="D31" s="46" t="s">
        <v>699</v>
      </c>
      <c r="E31" s="47"/>
      <c r="F31" s="15">
        <v>2</v>
      </c>
      <c r="G31" s="19"/>
      <c r="H31" s="19"/>
      <c r="I31" s="34">
        <f t="shared" si="1"/>
        <v>0</v>
      </c>
    </row>
    <row r="32" spans="1:9" ht="15.6" customHeight="1" x14ac:dyDescent="0.25">
      <c r="A32" s="13">
        <v>28</v>
      </c>
      <c r="B32" s="14" t="s">
        <v>1552</v>
      </c>
      <c r="C32" s="14" t="s">
        <v>1553</v>
      </c>
      <c r="D32" s="46" t="s">
        <v>243</v>
      </c>
      <c r="E32" s="47"/>
      <c r="F32" s="15">
        <v>2.5</v>
      </c>
      <c r="G32" s="19"/>
      <c r="H32" s="19"/>
      <c r="I32" s="34">
        <f t="shared" si="1"/>
        <v>0</v>
      </c>
    </row>
    <row r="33" spans="1:9" ht="15.6" customHeight="1" x14ac:dyDescent="0.25">
      <c r="A33" s="13">
        <v>29</v>
      </c>
      <c r="B33" s="14" t="s">
        <v>1554</v>
      </c>
      <c r="C33" s="14" t="s">
        <v>1555</v>
      </c>
      <c r="D33" s="46" t="s">
        <v>1355</v>
      </c>
      <c r="E33" s="47"/>
      <c r="F33" s="15">
        <v>0</v>
      </c>
      <c r="G33" s="19"/>
      <c r="H33" s="19"/>
      <c r="I33" s="34" t="e">
        <f t="shared" si="1"/>
        <v>#DIV/0!</v>
      </c>
    </row>
    <row r="34" spans="1:9" ht="15.6" customHeight="1" x14ac:dyDescent="0.25">
      <c r="A34" s="13">
        <v>30</v>
      </c>
      <c r="B34" s="14" t="s">
        <v>1556</v>
      </c>
      <c r="C34" s="14" t="s">
        <v>1557</v>
      </c>
      <c r="D34" s="46" t="s">
        <v>1355</v>
      </c>
      <c r="E34" s="47"/>
      <c r="F34" s="15">
        <v>0</v>
      </c>
      <c r="G34" s="19"/>
      <c r="H34" s="19"/>
      <c r="I34" s="34" t="e">
        <f t="shared" si="1"/>
        <v>#DIV/0!</v>
      </c>
    </row>
    <row r="35" spans="1:9" ht="15.6" customHeight="1" x14ac:dyDescent="0.25">
      <c r="A35" s="13">
        <v>31</v>
      </c>
      <c r="B35" s="14" t="s">
        <v>1561</v>
      </c>
      <c r="C35" s="14" t="s">
        <v>1562</v>
      </c>
      <c r="D35" s="46" t="s">
        <v>243</v>
      </c>
      <c r="E35" s="47"/>
      <c r="F35" s="15">
        <v>0</v>
      </c>
      <c r="G35" s="19"/>
      <c r="H35" s="19"/>
      <c r="I35" s="34" t="e">
        <f>H35/F35</f>
        <v>#DIV/0!</v>
      </c>
    </row>
    <row r="36" spans="1:9" ht="16.8" customHeight="1" x14ac:dyDescent="0.25">
      <c r="A36" s="39" t="s">
        <v>1769</v>
      </c>
      <c r="B36" s="39"/>
      <c r="C36" s="39"/>
      <c r="D36" s="39" t="s">
        <v>2063</v>
      </c>
      <c r="E36" s="39"/>
      <c r="F36" s="12">
        <f>SUM(F5:F35)</f>
        <v>53.7</v>
      </c>
      <c r="G36" s="20"/>
      <c r="H36" s="12">
        <f>SUM(H5:H35)</f>
        <v>0</v>
      </c>
      <c r="I36" s="35">
        <f>H36/F36</f>
        <v>0</v>
      </c>
    </row>
    <row r="38" spans="1:9" ht="15" x14ac:dyDescent="0.25">
      <c r="A38" s="17" t="s">
        <v>1766</v>
      </c>
    </row>
    <row r="40" spans="1:9" s="18" customFormat="1" ht="17.399999999999999" customHeight="1" x14ac:dyDescent="0.25">
      <c r="A40" s="39" t="s">
        <v>0</v>
      </c>
      <c r="B40" s="41" t="s">
        <v>1761</v>
      </c>
      <c r="C40" s="41"/>
      <c r="D40" s="42" t="s">
        <v>1763</v>
      </c>
      <c r="E40" s="43"/>
      <c r="F40" s="41" t="s">
        <v>1768</v>
      </c>
      <c r="G40" s="40" t="s">
        <v>1772</v>
      </c>
      <c r="H40" s="39" t="s">
        <v>1773</v>
      </c>
      <c r="I40" s="39"/>
    </row>
    <row r="41" spans="1:9" s="18" customFormat="1" ht="17.399999999999999" customHeight="1" x14ac:dyDescent="0.25">
      <c r="A41" s="39"/>
      <c r="B41" s="11" t="s">
        <v>1</v>
      </c>
      <c r="C41" s="11" t="s">
        <v>1762</v>
      </c>
      <c r="D41" s="44"/>
      <c r="E41" s="45"/>
      <c r="F41" s="41"/>
      <c r="G41" s="40"/>
      <c r="H41" s="11" t="s">
        <v>1774</v>
      </c>
      <c r="I41" s="11" t="s">
        <v>1775</v>
      </c>
    </row>
    <row r="42" spans="1:9" ht="16.2" customHeight="1" x14ac:dyDescent="0.25">
      <c r="A42" s="8">
        <v>1</v>
      </c>
      <c r="B42" s="9" t="s">
        <v>1497</v>
      </c>
      <c r="C42" s="22" t="s">
        <v>1498</v>
      </c>
      <c r="D42" s="48" t="s">
        <v>1499</v>
      </c>
      <c r="E42" s="49" t="s">
        <v>1499</v>
      </c>
      <c r="F42" s="10">
        <v>192</v>
      </c>
      <c r="G42" s="19"/>
      <c r="H42" s="19"/>
      <c r="I42" s="34">
        <f>H42/F42</f>
        <v>0</v>
      </c>
    </row>
    <row r="43" spans="1:9" ht="16.2" customHeight="1" x14ac:dyDescent="0.25">
      <c r="A43" s="8">
        <v>2</v>
      </c>
      <c r="B43" s="9" t="s">
        <v>1558</v>
      </c>
      <c r="C43" s="23" t="s">
        <v>1559</v>
      </c>
      <c r="D43" s="48" t="s">
        <v>1560</v>
      </c>
      <c r="E43" s="49" t="s">
        <v>1560</v>
      </c>
      <c r="F43" s="10">
        <v>90</v>
      </c>
      <c r="G43" s="19"/>
      <c r="H43" s="19"/>
      <c r="I43" s="34">
        <f>H43/F43</f>
        <v>0</v>
      </c>
    </row>
    <row r="44" spans="1:9" ht="16.8" customHeight="1" x14ac:dyDescent="0.25">
      <c r="A44" s="39" t="s">
        <v>1769</v>
      </c>
      <c r="B44" s="39"/>
      <c r="C44" s="39"/>
      <c r="D44" s="39" t="s">
        <v>1771</v>
      </c>
      <c r="E44" s="39"/>
      <c r="F44" s="12">
        <f>SUM(F42:F43)</f>
        <v>282</v>
      </c>
      <c r="G44" s="20"/>
      <c r="H44" s="12">
        <f>SUM(H42:H43)</f>
        <v>0</v>
      </c>
      <c r="I44" s="35">
        <f>H44/F44</f>
        <v>0</v>
      </c>
    </row>
  </sheetData>
  <mergeCells count="49">
    <mergeCell ref="D42:E42"/>
    <mergeCell ref="D43:E43"/>
    <mergeCell ref="A44:C44"/>
    <mergeCell ref="D44:E44"/>
    <mergeCell ref="A40:A41"/>
    <mergeCell ref="B40:C40"/>
    <mergeCell ref="D40:E41"/>
    <mergeCell ref="F40:F41"/>
    <mergeCell ref="G40:G41"/>
    <mergeCell ref="H40:I40"/>
    <mergeCell ref="D23:E23"/>
    <mergeCell ref="D24:E24"/>
    <mergeCell ref="D25:E25"/>
    <mergeCell ref="D29:E29"/>
    <mergeCell ref="D35:E35"/>
    <mergeCell ref="D30:E30"/>
    <mergeCell ref="D31:E31"/>
    <mergeCell ref="D32:E32"/>
    <mergeCell ref="D33:E33"/>
    <mergeCell ref="D34:E34"/>
    <mergeCell ref="A36:C36"/>
    <mergeCell ref="D36:E36"/>
    <mergeCell ref="D26:E26"/>
    <mergeCell ref="D27:E27"/>
    <mergeCell ref="D28:E28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68A0-F9B9-4DD6-B021-65DC587A46B9}">
  <sheetPr codeName="Sheet31"/>
  <dimension ref="A1:I51"/>
  <sheetViews>
    <sheetView topLeftCell="A22" zoomScaleNormal="100" workbookViewId="0">
      <selection activeCell="A55" sqref="A55:XFD102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1563</v>
      </c>
      <c r="C5" s="14" t="s">
        <v>1564</v>
      </c>
      <c r="D5" s="46" t="s">
        <v>243</v>
      </c>
      <c r="E5" s="47" t="s">
        <v>243</v>
      </c>
      <c r="F5" s="15">
        <v>84.3</v>
      </c>
      <c r="G5" s="19"/>
      <c r="H5" s="19"/>
      <c r="I5" s="34">
        <f t="shared" ref="I5:I26" si="0">H5/F5</f>
        <v>0</v>
      </c>
    </row>
    <row r="6" spans="1:9" ht="15.6" customHeight="1" x14ac:dyDescent="0.25">
      <c r="A6" s="13">
        <v>2</v>
      </c>
      <c r="B6" s="14" t="s">
        <v>1565</v>
      </c>
      <c r="C6" s="14" t="s">
        <v>1566</v>
      </c>
      <c r="D6" s="46" t="s">
        <v>243</v>
      </c>
      <c r="E6" s="47" t="s">
        <v>243</v>
      </c>
      <c r="F6" s="15">
        <v>3.5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1567</v>
      </c>
      <c r="C7" s="14" t="s">
        <v>1568</v>
      </c>
      <c r="D7" s="46" t="s">
        <v>243</v>
      </c>
      <c r="E7" s="47" t="s">
        <v>243</v>
      </c>
      <c r="F7" s="15">
        <v>0.5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1569</v>
      </c>
      <c r="C8" s="14" t="s">
        <v>1570</v>
      </c>
      <c r="D8" s="46" t="s">
        <v>243</v>
      </c>
      <c r="E8" s="47" t="s">
        <v>243</v>
      </c>
      <c r="F8" s="15">
        <v>3.5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1571</v>
      </c>
      <c r="C9" s="14" t="s">
        <v>1572</v>
      </c>
      <c r="D9" s="46" t="s">
        <v>243</v>
      </c>
      <c r="E9" s="47" t="s">
        <v>243</v>
      </c>
      <c r="F9" s="15">
        <v>0.5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4" t="s">
        <v>1573</v>
      </c>
      <c r="C10" s="14" t="s">
        <v>1574</v>
      </c>
      <c r="D10" s="46" t="s">
        <v>243</v>
      </c>
      <c r="E10" s="47" t="s">
        <v>243</v>
      </c>
      <c r="F10" s="15">
        <v>1.5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4" t="s">
        <v>1575</v>
      </c>
      <c r="C11" s="14" t="s">
        <v>1576</v>
      </c>
      <c r="D11" s="46" t="s">
        <v>76</v>
      </c>
      <c r="E11" s="47" t="s">
        <v>76</v>
      </c>
      <c r="F11" s="15">
        <v>29.6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4" t="s">
        <v>1577</v>
      </c>
      <c r="C12" s="14" t="s">
        <v>1578</v>
      </c>
      <c r="D12" s="46" t="s">
        <v>243</v>
      </c>
      <c r="E12" s="47" t="s">
        <v>243</v>
      </c>
      <c r="F12" s="15">
        <v>3.7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4" t="s">
        <v>1579</v>
      </c>
      <c r="C13" s="14" t="s">
        <v>1580</v>
      </c>
      <c r="D13" s="46" t="s">
        <v>243</v>
      </c>
      <c r="E13" s="47" t="s">
        <v>243</v>
      </c>
      <c r="F13" s="15">
        <v>14.8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4" t="s">
        <v>1581</v>
      </c>
      <c r="C14" s="14" t="s">
        <v>1582</v>
      </c>
      <c r="D14" s="46" t="s">
        <v>243</v>
      </c>
      <c r="E14" s="47" t="s">
        <v>243</v>
      </c>
      <c r="F14" s="15">
        <v>3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4" t="s">
        <v>1583</v>
      </c>
      <c r="C15" s="14" t="s">
        <v>1584</v>
      </c>
      <c r="D15" s="46" t="s">
        <v>243</v>
      </c>
      <c r="E15" s="47" t="s">
        <v>243</v>
      </c>
      <c r="F15" s="15">
        <v>1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4" t="s">
        <v>1585</v>
      </c>
      <c r="C16" s="14" t="s">
        <v>1586</v>
      </c>
      <c r="D16" s="46" t="s">
        <v>243</v>
      </c>
      <c r="E16" s="47" t="s">
        <v>243</v>
      </c>
      <c r="F16" s="15">
        <v>1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4" t="s">
        <v>1587</v>
      </c>
      <c r="C17" s="14" t="s">
        <v>1588</v>
      </c>
      <c r="D17" s="46" t="s">
        <v>243</v>
      </c>
      <c r="E17" s="47" t="s">
        <v>243</v>
      </c>
      <c r="F17" s="15">
        <v>0.8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4" t="s">
        <v>1589</v>
      </c>
      <c r="C18" s="14" t="s">
        <v>1590</v>
      </c>
      <c r="D18" s="46" t="s">
        <v>243</v>
      </c>
      <c r="E18" s="47" t="s">
        <v>243</v>
      </c>
      <c r="F18" s="15">
        <v>1.2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4" t="s">
        <v>1591</v>
      </c>
      <c r="C19" s="14" t="s">
        <v>1592</v>
      </c>
      <c r="D19" s="46" t="s">
        <v>243</v>
      </c>
      <c r="E19" s="47" t="s">
        <v>243</v>
      </c>
      <c r="F19" s="15">
        <v>3.5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4" t="s">
        <v>1593</v>
      </c>
      <c r="C20" s="14" t="s">
        <v>1594</v>
      </c>
      <c r="D20" s="46" t="s">
        <v>243</v>
      </c>
      <c r="E20" s="47" t="s">
        <v>243</v>
      </c>
      <c r="F20" s="15">
        <v>1.6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4" t="s">
        <v>1595</v>
      </c>
      <c r="C21" s="14" t="s">
        <v>1596</v>
      </c>
      <c r="D21" s="46" t="s">
        <v>243</v>
      </c>
      <c r="E21" s="47" t="s">
        <v>243</v>
      </c>
      <c r="F21" s="16">
        <v>0.6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4" t="s">
        <v>1597</v>
      </c>
      <c r="C22" s="14" t="s">
        <v>1598</v>
      </c>
      <c r="D22" s="46" t="s">
        <v>243</v>
      </c>
      <c r="E22" s="47" t="s">
        <v>243</v>
      </c>
      <c r="F22" s="15">
        <v>1.2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4" t="s">
        <v>1599</v>
      </c>
      <c r="C23" s="14" t="s">
        <v>1600</v>
      </c>
      <c r="D23" s="46" t="s">
        <v>243</v>
      </c>
      <c r="E23" s="47" t="s">
        <v>243</v>
      </c>
      <c r="F23" s="15">
        <v>0.5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4" t="s">
        <v>1601</v>
      </c>
      <c r="C24" s="14" t="s">
        <v>1602</v>
      </c>
      <c r="D24" s="46" t="s">
        <v>243</v>
      </c>
      <c r="E24" s="47" t="s">
        <v>243</v>
      </c>
      <c r="F24" s="15">
        <v>0.5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4" t="s">
        <v>1603</v>
      </c>
      <c r="C25" s="14" t="s">
        <v>1604</v>
      </c>
      <c r="D25" s="46" t="s">
        <v>243</v>
      </c>
      <c r="E25" s="47" t="s">
        <v>243</v>
      </c>
      <c r="F25" s="15">
        <v>0.5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4" t="s">
        <v>1605</v>
      </c>
      <c r="C26" s="14" t="s">
        <v>1606</v>
      </c>
      <c r="D26" s="46" t="s">
        <v>243</v>
      </c>
      <c r="E26" s="47" t="s">
        <v>243</v>
      </c>
      <c r="F26" s="15">
        <v>0.5</v>
      </c>
      <c r="G26" s="19"/>
      <c r="H26" s="19"/>
      <c r="I26" s="34">
        <f t="shared" si="0"/>
        <v>0</v>
      </c>
    </row>
    <row r="27" spans="1:9" ht="15.6" customHeight="1" x14ac:dyDescent="0.25">
      <c r="A27" s="13">
        <v>23</v>
      </c>
      <c r="B27" s="14" t="s">
        <v>1607</v>
      </c>
      <c r="C27" s="14" t="s">
        <v>1608</v>
      </c>
      <c r="D27" s="46" t="s">
        <v>243</v>
      </c>
      <c r="E27" s="47" t="s">
        <v>243</v>
      </c>
      <c r="F27" s="15">
        <v>0.5</v>
      </c>
      <c r="G27" s="19"/>
      <c r="H27" s="19"/>
      <c r="I27" s="34">
        <f t="shared" ref="I27:I49" si="1">H27/F27</f>
        <v>0</v>
      </c>
    </row>
    <row r="28" spans="1:9" ht="15.6" customHeight="1" x14ac:dyDescent="0.25">
      <c r="A28" s="13">
        <v>24</v>
      </c>
      <c r="B28" s="14" t="s">
        <v>1609</v>
      </c>
      <c r="C28" s="14" t="s">
        <v>1610</v>
      </c>
      <c r="D28" s="46" t="s">
        <v>243</v>
      </c>
      <c r="E28" s="47" t="s">
        <v>243</v>
      </c>
      <c r="F28" s="15">
        <v>1.2</v>
      </c>
      <c r="G28" s="19"/>
      <c r="H28" s="19"/>
      <c r="I28" s="34">
        <f t="shared" si="1"/>
        <v>0</v>
      </c>
    </row>
    <row r="29" spans="1:9" ht="15.6" customHeight="1" x14ac:dyDescent="0.25">
      <c r="A29" s="13">
        <v>25</v>
      </c>
      <c r="B29" s="14" t="s">
        <v>1611</v>
      </c>
      <c r="C29" s="14" t="s">
        <v>1612</v>
      </c>
      <c r="D29" s="46" t="s">
        <v>243</v>
      </c>
      <c r="E29" s="47" t="s">
        <v>243</v>
      </c>
      <c r="F29" s="15">
        <v>0.6</v>
      </c>
      <c r="G29" s="19"/>
      <c r="H29" s="19"/>
      <c r="I29" s="34">
        <f t="shared" si="1"/>
        <v>0</v>
      </c>
    </row>
    <row r="30" spans="1:9" ht="15.6" customHeight="1" x14ac:dyDescent="0.25">
      <c r="A30" s="13">
        <v>26</v>
      </c>
      <c r="B30" s="14" t="s">
        <v>1613</v>
      </c>
      <c r="C30" s="14" t="s">
        <v>1614</v>
      </c>
      <c r="D30" s="46" t="s">
        <v>243</v>
      </c>
      <c r="E30" s="47" t="s">
        <v>243</v>
      </c>
      <c r="F30" s="15">
        <v>0.4</v>
      </c>
      <c r="G30" s="19"/>
      <c r="H30" s="19"/>
      <c r="I30" s="34">
        <f t="shared" si="1"/>
        <v>0</v>
      </c>
    </row>
    <row r="31" spans="1:9" ht="15.6" customHeight="1" x14ac:dyDescent="0.25">
      <c r="A31" s="13">
        <v>27</v>
      </c>
      <c r="B31" s="14" t="s">
        <v>1615</v>
      </c>
      <c r="C31" s="14" t="s">
        <v>1616</v>
      </c>
      <c r="D31" s="46" t="s">
        <v>243</v>
      </c>
      <c r="E31" s="47" t="s">
        <v>243</v>
      </c>
      <c r="F31" s="15">
        <v>1.6</v>
      </c>
      <c r="G31" s="19"/>
      <c r="H31" s="19"/>
      <c r="I31" s="34">
        <f t="shared" si="1"/>
        <v>0</v>
      </c>
    </row>
    <row r="32" spans="1:9" ht="15.6" customHeight="1" x14ac:dyDescent="0.25">
      <c r="A32" s="13">
        <v>28</v>
      </c>
      <c r="B32" s="14" t="s">
        <v>1617</v>
      </c>
      <c r="C32" s="14" t="s">
        <v>1618</v>
      </c>
      <c r="D32" s="46" t="s">
        <v>243</v>
      </c>
      <c r="E32" s="47" t="s">
        <v>243</v>
      </c>
      <c r="F32" s="15">
        <v>1.2</v>
      </c>
      <c r="G32" s="19"/>
      <c r="H32" s="19"/>
      <c r="I32" s="34">
        <f t="shared" si="1"/>
        <v>0</v>
      </c>
    </row>
    <row r="33" spans="1:9" ht="15.6" customHeight="1" x14ac:dyDescent="0.25">
      <c r="A33" s="13">
        <v>29</v>
      </c>
      <c r="B33" s="14" t="s">
        <v>1619</v>
      </c>
      <c r="C33" s="14" t="s">
        <v>1620</v>
      </c>
      <c r="D33" s="46" t="s">
        <v>243</v>
      </c>
      <c r="E33" s="47" t="s">
        <v>243</v>
      </c>
      <c r="F33" s="15">
        <v>0.5</v>
      </c>
      <c r="G33" s="19"/>
      <c r="H33" s="19"/>
      <c r="I33" s="34">
        <f t="shared" si="1"/>
        <v>0</v>
      </c>
    </row>
    <row r="34" spans="1:9" ht="15.6" customHeight="1" x14ac:dyDescent="0.25">
      <c r="A34" s="13">
        <v>30</v>
      </c>
      <c r="B34" s="14" t="s">
        <v>1621</v>
      </c>
      <c r="C34" s="14" t="s">
        <v>1622</v>
      </c>
      <c r="D34" s="46" t="s">
        <v>243</v>
      </c>
      <c r="E34" s="47" t="s">
        <v>243</v>
      </c>
      <c r="F34" s="15">
        <v>1</v>
      </c>
      <c r="G34" s="19"/>
      <c r="H34" s="19"/>
      <c r="I34" s="34">
        <f t="shared" si="1"/>
        <v>0</v>
      </c>
    </row>
    <row r="35" spans="1:9" ht="15.6" customHeight="1" x14ac:dyDescent="0.25">
      <c r="A35" s="13">
        <v>31</v>
      </c>
      <c r="B35" s="14" t="s">
        <v>1623</v>
      </c>
      <c r="C35" s="14" t="s">
        <v>1624</v>
      </c>
      <c r="D35" s="46" t="s">
        <v>243</v>
      </c>
      <c r="E35" s="47" t="s">
        <v>243</v>
      </c>
      <c r="F35" s="15">
        <v>1</v>
      </c>
      <c r="G35" s="19"/>
      <c r="H35" s="19"/>
      <c r="I35" s="34">
        <f t="shared" si="1"/>
        <v>0</v>
      </c>
    </row>
    <row r="36" spans="1:9" ht="15.6" customHeight="1" x14ac:dyDescent="0.25">
      <c r="A36" s="13">
        <v>32</v>
      </c>
      <c r="B36" s="14" t="s">
        <v>1625</v>
      </c>
      <c r="C36" s="14" t="s">
        <v>1626</v>
      </c>
      <c r="D36" s="46" t="s">
        <v>699</v>
      </c>
      <c r="E36" s="47" t="s">
        <v>699</v>
      </c>
      <c r="F36" s="15">
        <v>0</v>
      </c>
      <c r="G36" s="19"/>
      <c r="H36" s="19"/>
      <c r="I36" s="34" t="e">
        <f t="shared" si="1"/>
        <v>#DIV/0!</v>
      </c>
    </row>
    <row r="37" spans="1:9" ht="15.6" customHeight="1" x14ac:dyDescent="0.25">
      <c r="A37" s="13">
        <v>33</v>
      </c>
      <c r="B37" s="14" t="s">
        <v>1627</v>
      </c>
      <c r="C37" s="14" t="s">
        <v>1628</v>
      </c>
      <c r="D37" s="46" t="s">
        <v>699</v>
      </c>
      <c r="E37" s="47" t="s">
        <v>699</v>
      </c>
      <c r="F37" s="15">
        <v>2.5</v>
      </c>
      <c r="G37" s="19"/>
      <c r="H37" s="19"/>
      <c r="I37" s="34">
        <f t="shared" si="1"/>
        <v>0</v>
      </c>
    </row>
    <row r="38" spans="1:9" ht="15.6" customHeight="1" x14ac:dyDescent="0.25">
      <c r="A38" s="13">
        <v>34</v>
      </c>
      <c r="B38" s="14" t="s">
        <v>1629</v>
      </c>
      <c r="C38" s="14" t="s">
        <v>1630</v>
      </c>
      <c r="D38" s="46" t="s">
        <v>243</v>
      </c>
      <c r="E38" s="47" t="s">
        <v>243</v>
      </c>
      <c r="F38" s="15">
        <v>0.5</v>
      </c>
      <c r="G38" s="19"/>
      <c r="H38" s="19"/>
      <c r="I38" s="34">
        <f t="shared" si="1"/>
        <v>0</v>
      </c>
    </row>
    <row r="39" spans="1:9" ht="15.6" customHeight="1" x14ac:dyDescent="0.25">
      <c r="A39" s="13">
        <v>35</v>
      </c>
      <c r="B39" s="14" t="s">
        <v>1631</v>
      </c>
      <c r="C39" s="14" t="s">
        <v>1632</v>
      </c>
      <c r="D39" s="46" t="s">
        <v>1633</v>
      </c>
      <c r="E39" s="47" t="s">
        <v>1633</v>
      </c>
      <c r="F39" s="15">
        <v>3</v>
      </c>
      <c r="G39" s="19"/>
      <c r="H39" s="19"/>
      <c r="I39" s="34">
        <f t="shared" si="1"/>
        <v>0</v>
      </c>
    </row>
    <row r="40" spans="1:9" ht="15.6" customHeight="1" x14ac:dyDescent="0.25">
      <c r="A40" s="13">
        <v>36</v>
      </c>
      <c r="B40" s="14" t="s">
        <v>1634</v>
      </c>
      <c r="C40" s="14" t="s">
        <v>1635</v>
      </c>
      <c r="D40" s="46" t="s">
        <v>1355</v>
      </c>
      <c r="E40" s="47" t="s">
        <v>1355</v>
      </c>
      <c r="F40" s="15">
        <v>3</v>
      </c>
      <c r="G40" s="19"/>
      <c r="H40" s="19"/>
      <c r="I40" s="34">
        <f t="shared" si="1"/>
        <v>0</v>
      </c>
    </row>
    <row r="41" spans="1:9" ht="15.6" customHeight="1" x14ac:dyDescent="0.25">
      <c r="A41" s="13">
        <v>37</v>
      </c>
      <c r="B41" s="14" t="s">
        <v>1636</v>
      </c>
      <c r="C41" s="14" t="s">
        <v>1637</v>
      </c>
      <c r="D41" s="46" t="s">
        <v>1638</v>
      </c>
      <c r="E41" s="47" t="s">
        <v>1638</v>
      </c>
      <c r="F41" s="15">
        <v>1.8</v>
      </c>
      <c r="G41" s="19"/>
      <c r="H41" s="19"/>
      <c r="I41" s="34">
        <f t="shared" si="1"/>
        <v>0</v>
      </c>
    </row>
    <row r="42" spans="1:9" ht="15.6" customHeight="1" x14ac:dyDescent="0.25">
      <c r="A42" s="13">
        <v>38</v>
      </c>
      <c r="B42" s="14" t="s">
        <v>1639</v>
      </c>
      <c r="C42" s="14" t="s">
        <v>1640</v>
      </c>
      <c r="D42" s="46" t="s">
        <v>1641</v>
      </c>
      <c r="E42" s="47" t="s">
        <v>1641</v>
      </c>
      <c r="F42" s="15">
        <v>2.6</v>
      </c>
      <c r="G42" s="19"/>
      <c r="H42" s="19"/>
      <c r="I42" s="34">
        <f t="shared" si="1"/>
        <v>0</v>
      </c>
    </row>
    <row r="43" spans="1:9" ht="15.6" customHeight="1" x14ac:dyDescent="0.25">
      <c r="A43" s="13">
        <v>39</v>
      </c>
      <c r="B43" s="14" t="s">
        <v>1642</v>
      </c>
      <c r="C43" s="14" t="s">
        <v>1643</v>
      </c>
      <c r="D43" s="46" t="s">
        <v>1644</v>
      </c>
      <c r="E43" s="47" t="s">
        <v>1644</v>
      </c>
      <c r="F43" s="15">
        <v>0</v>
      </c>
      <c r="G43" s="19"/>
      <c r="H43" s="19"/>
      <c r="I43" s="34" t="e">
        <f t="shared" si="1"/>
        <v>#DIV/0!</v>
      </c>
    </row>
    <row r="44" spans="1:9" ht="15.6" customHeight="1" x14ac:dyDescent="0.25">
      <c r="A44" s="13">
        <v>40</v>
      </c>
      <c r="B44" s="14" t="s">
        <v>1645</v>
      </c>
      <c r="C44" s="14" t="s">
        <v>1646</v>
      </c>
      <c r="D44" s="46" t="s">
        <v>1641</v>
      </c>
      <c r="E44" s="47" t="s">
        <v>1641</v>
      </c>
      <c r="F44" s="15">
        <v>3.6</v>
      </c>
      <c r="G44" s="19"/>
      <c r="H44" s="19"/>
      <c r="I44" s="34">
        <f t="shared" si="1"/>
        <v>0</v>
      </c>
    </row>
    <row r="45" spans="1:9" ht="15.6" customHeight="1" x14ac:dyDescent="0.25">
      <c r="A45" s="13">
        <v>41</v>
      </c>
      <c r="B45" s="14" t="s">
        <v>1647</v>
      </c>
      <c r="C45" s="14" t="s">
        <v>1648</v>
      </c>
      <c r="D45" s="46" t="s">
        <v>1641</v>
      </c>
      <c r="E45" s="47" t="s">
        <v>1641</v>
      </c>
      <c r="F45" s="15">
        <v>0</v>
      </c>
      <c r="G45" s="19"/>
      <c r="H45" s="19"/>
      <c r="I45" s="34" t="e">
        <f t="shared" si="1"/>
        <v>#DIV/0!</v>
      </c>
    </row>
    <row r="46" spans="1:9" ht="15.6" customHeight="1" x14ac:dyDescent="0.25">
      <c r="A46" s="13">
        <v>42</v>
      </c>
      <c r="B46" s="14" t="s">
        <v>1649</v>
      </c>
      <c r="C46" s="14" t="s">
        <v>1650</v>
      </c>
      <c r="D46" s="46" t="s">
        <v>1355</v>
      </c>
      <c r="E46" s="47" t="s">
        <v>1355</v>
      </c>
      <c r="F46" s="15">
        <v>0</v>
      </c>
      <c r="G46" s="19"/>
      <c r="H46" s="19"/>
      <c r="I46" s="34" t="e">
        <f t="shared" si="1"/>
        <v>#DIV/0!</v>
      </c>
    </row>
    <row r="47" spans="1:9" ht="15.6" customHeight="1" x14ac:dyDescent="0.25">
      <c r="A47" s="13">
        <v>43</v>
      </c>
      <c r="B47" s="14" t="s">
        <v>1651</v>
      </c>
      <c r="C47" s="14" t="s">
        <v>1652</v>
      </c>
      <c r="D47" s="46" t="s">
        <v>1653</v>
      </c>
      <c r="E47" s="47" t="s">
        <v>1653</v>
      </c>
      <c r="F47" s="15">
        <v>0</v>
      </c>
      <c r="G47" s="19"/>
      <c r="H47" s="19"/>
      <c r="I47" s="34" t="e">
        <f t="shared" si="1"/>
        <v>#DIV/0!</v>
      </c>
    </row>
    <row r="48" spans="1:9" ht="15.6" customHeight="1" x14ac:dyDescent="0.25">
      <c r="A48" s="13">
        <v>44</v>
      </c>
      <c r="B48" s="14" t="s">
        <v>1654</v>
      </c>
      <c r="C48" s="14" t="s">
        <v>1655</v>
      </c>
      <c r="D48" s="46" t="s">
        <v>1355</v>
      </c>
      <c r="E48" s="47" t="s">
        <v>1355</v>
      </c>
      <c r="F48" s="15">
        <v>0</v>
      </c>
      <c r="G48" s="19"/>
      <c r="H48" s="19"/>
      <c r="I48" s="34" t="e">
        <f t="shared" si="1"/>
        <v>#DIV/0!</v>
      </c>
    </row>
    <row r="49" spans="1:9" ht="15.6" customHeight="1" x14ac:dyDescent="0.25">
      <c r="A49" s="13">
        <v>45</v>
      </c>
      <c r="B49" s="14" t="s">
        <v>1656</v>
      </c>
      <c r="C49" s="14" t="s">
        <v>1657</v>
      </c>
      <c r="D49" s="46" t="s">
        <v>1355</v>
      </c>
      <c r="E49" s="47" t="s">
        <v>1355</v>
      </c>
      <c r="F49" s="15">
        <v>0</v>
      </c>
      <c r="G49" s="19"/>
      <c r="H49" s="19"/>
      <c r="I49" s="34" t="e">
        <f t="shared" si="1"/>
        <v>#DIV/0!</v>
      </c>
    </row>
    <row r="50" spans="1:9" ht="15.6" customHeight="1" x14ac:dyDescent="0.25">
      <c r="A50" s="13">
        <v>46</v>
      </c>
      <c r="B50" s="14" t="s">
        <v>1658</v>
      </c>
      <c r="C50" s="14" t="s">
        <v>1659</v>
      </c>
      <c r="D50" s="46"/>
      <c r="E50" s="47"/>
      <c r="F50" s="15">
        <v>0</v>
      </c>
      <c r="G50" s="19"/>
      <c r="H50" s="19"/>
      <c r="I50" s="34" t="e">
        <f>H50/F50</f>
        <v>#DIV/0!</v>
      </c>
    </row>
    <row r="51" spans="1:9" ht="16.8" customHeight="1" x14ac:dyDescent="0.25">
      <c r="A51" s="39" t="s">
        <v>1769</v>
      </c>
      <c r="B51" s="39"/>
      <c r="C51" s="39"/>
      <c r="D51" s="39" t="s">
        <v>2064</v>
      </c>
      <c r="E51" s="39"/>
      <c r="F51" s="12">
        <f>SUM(F5:F50)</f>
        <v>182.79999999999995</v>
      </c>
      <c r="G51" s="20"/>
      <c r="H51" s="12">
        <f>SUM(H5:H50)</f>
        <v>0</v>
      </c>
      <c r="I51" s="35">
        <f>H51/F51</f>
        <v>0</v>
      </c>
    </row>
  </sheetData>
  <mergeCells count="54">
    <mergeCell ref="D23:E23"/>
    <mergeCell ref="D24:E24"/>
    <mergeCell ref="D25:E25"/>
    <mergeCell ref="D26:E26"/>
    <mergeCell ref="D50:E50"/>
    <mergeCell ref="D40:E40"/>
    <mergeCell ref="D27:E27"/>
    <mergeCell ref="D28:E28"/>
    <mergeCell ref="D29:E29"/>
    <mergeCell ref="D30:E30"/>
    <mergeCell ref="D31:E31"/>
    <mergeCell ref="D35:E35"/>
    <mergeCell ref="D36:E36"/>
    <mergeCell ref="D37:E37"/>
    <mergeCell ref="D38:E38"/>
    <mergeCell ref="D39:E39"/>
    <mergeCell ref="A51:C51"/>
    <mergeCell ref="D51:E51"/>
    <mergeCell ref="D32:E32"/>
    <mergeCell ref="D33:E33"/>
    <mergeCell ref="D34:E34"/>
    <mergeCell ref="D47:E47"/>
    <mergeCell ref="D48:E48"/>
    <mergeCell ref="D49:E49"/>
    <mergeCell ref="D41:E41"/>
    <mergeCell ref="D42:E42"/>
    <mergeCell ref="D43:E43"/>
    <mergeCell ref="D44:E44"/>
    <mergeCell ref="D45:E45"/>
    <mergeCell ref="D46:E46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6D88-EB86-4FE9-BD83-85053897125B}">
  <sheetPr codeName="Sheet32"/>
  <dimension ref="A1:I45"/>
  <sheetViews>
    <sheetView topLeftCell="A19" zoomScaleNormal="100" workbookViewId="0">
      <selection activeCell="K41" sqref="K41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1660</v>
      </c>
      <c r="C5" s="14" t="s">
        <v>1661</v>
      </c>
      <c r="D5" s="46" t="s">
        <v>1662</v>
      </c>
      <c r="E5" s="47" t="s">
        <v>1662</v>
      </c>
      <c r="F5" s="15">
        <v>10</v>
      </c>
      <c r="G5" s="19"/>
      <c r="H5" s="19"/>
      <c r="I5" s="34">
        <f t="shared" ref="I5:I26" si="0">H5/F5</f>
        <v>0</v>
      </c>
    </row>
    <row r="6" spans="1:9" ht="15.6" customHeight="1" x14ac:dyDescent="0.25">
      <c r="A6" s="13">
        <v>2</v>
      </c>
      <c r="B6" s="14" t="s">
        <v>1663</v>
      </c>
      <c r="C6" s="14" t="s">
        <v>1664</v>
      </c>
      <c r="D6" s="46" t="s">
        <v>1665</v>
      </c>
      <c r="E6" s="47" t="s">
        <v>1665</v>
      </c>
      <c r="F6" s="15">
        <v>30.5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1666</v>
      </c>
      <c r="C7" s="14" t="s">
        <v>1667</v>
      </c>
      <c r="D7" s="46" t="s">
        <v>1668</v>
      </c>
      <c r="E7" s="47" t="s">
        <v>1668</v>
      </c>
      <c r="F7" s="15">
        <v>20.8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1669</v>
      </c>
      <c r="C8" s="14" t="s">
        <v>1670</v>
      </c>
      <c r="D8" s="46" t="s">
        <v>1671</v>
      </c>
      <c r="E8" s="47" t="s">
        <v>1671</v>
      </c>
      <c r="F8" s="15">
        <v>3.5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1672</v>
      </c>
      <c r="C9" s="14" t="s">
        <v>1673</v>
      </c>
      <c r="D9" s="46" t="s">
        <v>1674</v>
      </c>
      <c r="E9" s="47" t="s">
        <v>1674</v>
      </c>
      <c r="F9" s="15">
        <v>0</v>
      </c>
      <c r="G9" s="19"/>
      <c r="H9" s="19"/>
      <c r="I9" s="34" t="e">
        <f t="shared" si="0"/>
        <v>#DIV/0!</v>
      </c>
    </row>
    <row r="10" spans="1:9" ht="15.6" customHeight="1" x14ac:dyDescent="0.25">
      <c r="A10" s="13">
        <v>6</v>
      </c>
      <c r="B10" s="14" t="s">
        <v>1675</v>
      </c>
      <c r="C10" s="14" t="s">
        <v>1676</v>
      </c>
      <c r="D10" s="46" t="s">
        <v>1677</v>
      </c>
      <c r="E10" s="47" t="s">
        <v>1677</v>
      </c>
      <c r="F10" s="15">
        <v>3.6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4" t="s">
        <v>1678</v>
      </c>
      <c r="C11" s="14" t="s">
        <v>1679</v>
      </c>
      <c r="D11" s="46" t="s">
        <v>1680</v>
      </c>
      <c r="E11" s="47" t="s">
        <v>1680</v>
      </c>
      <c r="F11" s="15">
        <v>25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4" t="s">
        <v>1681</v>
      </c>
      <c r="C12" s="14" t="s">
        <v>1682</v>
      </c>
      <c r="D12" s="46" t="s">
        <v>1683</v>
      </c>
      <c r="E12" s="47" t="s">
        <v>1683</v>
      </c>
      <c r="F12" s="15">
        <v>0.6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4" t="s">
        <v>1684</v>
      </c>
      <c r="C13" s="14" t="s">
        <v>1685</v>
      </c>
      <c r="D13" s="46" t="s">
        <v>1686</v>
      </c>
      <c r="E13" s="47" t="s">
        <v>1686</v>
      </c>
      <c r="F13" s="15">
        <v>0</v>
      </c>
      <c r="G13" s="15"/>
      <c r="H13" s="15"/>
      <c r="I13" s="34" t="e">
        <f t="shared" si="0"/>
        <v>#DIV/0!</v>
      </c>
    </row>
    <row r="14" spans="1:9" ht="15.6" customHeight="1" x14ac:dyDescent="0.25">
      <c r="A14" s="13">
        <v>10</v>
      </c>
      <c r="B14" s="14" t="s">
        <v>1687</v>
      </c>
      <c r="C14" s="14" t="s">
        <v>1688</v>
      </c>
      <c r="D14" s="46" t="s">
        <v>1689</v>
      </c>
      <c r="E14" s="47" t="s">
        <v>1689</v>
      </c>
      <c r="F14" s="15">
        <v>1.5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4" t="s">
        <v>1690</v>
      </c>
      <c r="C15" s="14" t="s">
        <v>1691</v>
      </c>
      <c r="D15" s="46" t="s">
        <v>1692</v>
      </c>
      <c r="E15" s="47" t="s">
        <v>1692</v>
      </c>
      <c r="F15" s="15">
        <v>4.5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4" t="s">
        <v>1693</v>
      </c>
      <c r="C16" s="14" t="s">
        <v>1694</v>
      </c>
      <c r="D16" s="46" t="s">
        <v>1695</v>
      </c>
      <c r="E16" s="47" t="s">
        <v>1695</v>
      </c>
      <c r="F16" s="15">
        <v>0</v>
      </c>
      <c r="G16" s="15"/>
      <c r="H16" s="15"/>
      <c r="I16" s="34" t="e">
        <f t="shared" si="0"/>
        <v>#DIV/0!</v>
      </c>
    </row>
    <row r="17" spans="1:9" ht="15.6" customHeight="1" x14ac:dyDescent="0.25">
      <c r="A17" s="13">
        <v>13</v>
      </c>
      <c r="B17" s="14" t="s">
        <v>1696</v>
      </c>
      <c r="C17" s="14" t="s">
        <v>1697</v>
      </c>
      <c r="D17" s="46" t="s">
        <v>1698</v>
      </c>
      <c r="E17" s="47" t="s">
        <v>1698</v>
      </c>
      <c r="F17" s="15">
        <v>0</v>
      </c>
      <c r="G17" s="19"/>
      <c r="H17" s="19"/>
      <c r="I17" s="34" t="e">
        <f t="shared" si="0"/>
        <v>#DIV/0!</v>
      </c>
    </row>
    <row r="18" spans="1:9" ht="15.6" customHeight="1" x14ac:dyDescent="0.25">
      <c r="A18" s="13">
        <v>14</v>
      </c>
      <c r="B18" s="14" t="s">
        <v>1699</v>
      </c>
      <c r="C18" s="14" t="s">
        <v>1700</v>
      </c>
      <c r="D18" s="46" t="s">
        <v>1701</v>
      </c>
      <c r="E18" s="47" t="s">
        <v>1701</v>
      </c>
      <c r="F18" s="15">
        <v>3.2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4" t="s">
        <v>1702</v>
      </c>
      <c r="C19" s="14" t="s">
        <v>1703</v>
      </c>
      <c r="D19" s="46" t="s">
        <v>1704</v>
      </c>
      <c r="E19" s="47" t="s">
        <v>1704</v>
      </c>
      <c r="F19" s="15">
        <v>6.5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4" t="s">
        <v>1705</v>
      </c>
      <c r="C20" s="14" t="s">
        <v>1706</v>
      </c>
      <c r="D20" s="46" t="s">
        <v>1704</v>
      </c>
      <c r="E20" s="47" t="s">
        <v>1704</v>
      </c>
      <c r="F20" s="15">
        <v>10.5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4" t="s">
        <v>1707</v>
      </c>
      <c r="C21" s="14" t="s">
        <v>1708</v>
      </c>
      <c r="D21" s="46" t="s">
        <v>1704</v>
      </c>
      <c r="E21" s="47" t="s">
        <v>1704</v>
      </c>
      <c r="F21" s="15">
        <v>1.1000000000000001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4" t="s">
        <v>1709</v>
      </c>
      <c r="C22" s="14" t="s">
        <v>1710</v>
      </c>
      <c r="D22" s="46" t="s">
        <v>1704</v>
      </c>
      <c r="E22" s="47" t="s">
        <v>1704</v>
      </c>
      <c r="F22" s="15">
        <v>5.6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4" t="s">
        <v>1711</v>
      </c>
      <c r="C23" s="14" t="s">
        <v>1712</v>
      </c>
      <c r="D23" s="46" t="s">
        <v>1713</v>
      </c>
      <c r="E23" s="47" t="s">
        <v>1713</v>
      </c>
      <c r="F23" s="15">
        <v>0</v>
      </c>
      <c r="G23" s="19"/>
      <c r="H23" s="19"/>
      <c r="I23" s="34" t="e">
        <f t="shared" si="0"/>
        <v>#DIV/0!</v>
      </c>
    </row>
    <row r="24" spans="1:9" ht="15.6" customHeight="1" x14ac:dyDescent="0.25">
      <c r="A24" s="13">
        <v>20</v>
      </c>
      <c r="B24" s="14" t="s">
        <v>1714</v>
      </c>
      <c r="C24" s="14" t="s">
        <v>1715</v>
      </c>
      <c r="D24" s="46" t="s">
        <v>878</v>
      </c>
      <c r="E24" s="47" t="s">
        <v>878</v>
      </c>
      <c r="F24" s="15">
        <v>0</v>
      </c>
      <c r="G24" s="19"/>
      <c r="H24" s="19"/>
      <c r="I24" s="34" t="e">
        <f t="shared" si="0"/>
        <v>#DIV/0!</v>
      </c>
    </row>
    <row r="25" spans="1:9" ht="15.6" customHeight="1" x14ac:dyDescent="0.25">
      <c r="A25" s="13">
        <v>21</v>
      </c>
      <c r="B25" s="14" t="s">
        <v>1716</v>
      </c>
      <c r="C25" s="14" t="s">
        <v>1717</v>
      </c>
      <c r="D25" s="46" t="s">
        <v>1718</v>
      </c>
      <c r="E25" s="47" t="s">
        <v>1718</v>
      </c>
      <c r="F25" s="15">
        <v>3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4" t="s">
        <v>1719</v>
      </c>
      <c r="C26" s="14" t="s">
        <v>1720</v>
      </c>
      <c r="D26" s="46" t="s">
        <v>1721</v>
      </c>
      <c r="E26" s="47" t="s">
        <v>1721</v>
      </c>
      <c r="F26" s="15">
        <v>6.2</v>
      </c>
      <c r="G26" s="19"/>
      <c r="H26" s="19"/>
      <c r="I26" s="34">
        <f t="shared" si="0"/>
        <v>0</v>
      </c>
    </row>
    <row r="27" spans="1:9" ht="15.6" customHeight="1" x14ac:dyDescent="0.25">
      <c r="A27" s="13">
        <v>23</v>
      </c>
      <c r="B27" s="14" t="s">
        <v>1722</v>
      </c>
      <c r="C27" s="14" t="s">
        <v>1723</v>
      </c>
      <c r="D27" s="46" t="s">
        <v>699</v>
      </c>
      <c r="E27" s="47" t="s">
        <v>699</v>
      </c>
      <c r="F27" s="15">
        <v>5</v>
      </c>
      <c r="G27" s="19"/>
      <c r="H27" s="19"/>
      <c r="I27" s="34">
        <f t="shared" ref="I27:I43" si="1">H27/F27</f>
        <v>0</v>
      </c>
    </row>
    <row r="28" spans="1:9" ht="15.6" customHeight="1" x14ac:dyDescent="0.25">
      <c r="A28" s="13">
        <v>24</v>
      </c>
      <c r="B28" s="14" t="s">
        <v>1724</v>
      </c>
      <c r="C28" s="14" t="s">
        <v>1725</v>
      </c>
      <c r="D28" s="46" t="s">
        <v>699</v>
      </c>
      <c r="E28" s="47" t="s">
        <v>699</v>
      </c>
      <c r="F28" s="15">
        <v>6.5</v>
      </c>
      <c r="G28" s="19"/>
      <c r="H28" s="19"/>
      <c r="I28" s="34">
        <f t="shared" si="1"/>
        <v>0</v>
      </c>
    </row>
    <row r="29" spans="1:9" ht="15.6" customHeight="1" x14ac:dyDescent="0.25">
      <c r="A29" s="13">
        <v>25</v>
      </c>
      <c r="B29" s="14" t="s">
        <v>1726</v>
      </c>
      <c r="C29" s="14" t="s">
        <v>1727</v>
      </c>
      <c r="D29" s="46" t="s">
        <v>699</v>
      </c>
      <c r="E29" s="47" t="s">
        <v>699</v>
      </c>
      <c r="F29" s="15">
        <v>18</v>
      </c>
      <c r="G29" s="19"/>
      <c r="H29" s="19"/>
      <c r="I29" s="34">
        <f t="shared" si="1"/>
        <v>0</v>
      </c>
    </row>
    <row r="30" spans="1:9" ht="15.6" customHeight="1" x14ac:dyDescent="0.25">
      <c r="A30" s="13">
        <v>26</v>
      </c>
      <c r="B30" s="14" t="s">
        <v>1728</v>
      </c>
      <c r="C30" s="14" t="s">
        <v>1729</v>
      </c>
      <c r="D30" s="46" t="s">
        <v>699</v>
      </c>
      <c r="E30" s="47" t="s">
        <v>699</v>
      </c>
      <c r="F30" s="15">
        <v>1.3</v>
      </c>
      <c r="G30" s="19"/>
      <c r="H30" s="19"/>
      <c r="I30" s="34">
        <f t="shared" si="1"/>
        <v>0</v>
      </c>
    </row>
    <row r="31" spans="1:9" ht="15.6" customHeight="1" x14ac:dyDescent="0.25">
      <c r="A31" s="13">
        <v>27</v>
      </c>
      <c r="B31" s="14" t="s">
        <v>1730</v>
      </c>
      <c r="C31" s="14" t="s">
        <v>1731</v>
      </c>
      <c r="D31" s="46" t="s">
        <v>699</v>
      </c>
      <c r="E31" s="47" t="s">
        <v>699</v>
      </c>
      <c r="F31" s="15">
        <v>0</v>
      </c>
      <c r="G31" s="19"/>
      <c r="H31" s="19"/>
      <c r="I31" s="34" t="e">
        <f t="shared" si="1"/>
        <v>#DIV/0!</v>
      </c>
    </row>
    <row r="32" spans="1:9" ht="15.6" customHeight="1" x14ac:dyDescent="0.25">
      <c r="A32" s="13">
        <v>28</v>
      </c>
      <c r="B32" s="14" t="s">
        <v>1732</v>
      </c>
      <c r="C32" s="14" t="s">
        <v>1733</v>
      </c>
      <c r="D32" s="46" t="s">
        <v>119</v>
      </c>
      <c r="E32" s="47" t="s">
        <v>119</v>
      </c>
      <c r="F32" s="15">
        <v>0</v>
      </c>
      <c r="G32" s="19"/>
      <c r="H32" s="19"/>
      <c r="I32" s="34" t="e">
        <f t="shared" si="1"/>
        <v>#DIV/0!</v>
      </c>
    </row>
    <row r="33" spans="1:9" ht="15.6" customHeight="1" x14ac:dyDescent="0.25">
      <c r="A33" s="13">
        <v>29</v>
      </c>
      <c r="B33" s="14" t="s">
        <v>1734</v>
      </c>
      <c r="C33" s="14" t="s">
        <v>1735</v>
      </c>
      <c r="D33" s="46" t="s">
        <v>699</v>
      </c>
      <c r="E33" s="47" t="s">
        <v>699</v>
      </c>
      <c r="F33" s="15">
        <v>0</v>
      </c>
      <c r="G33" s="19"/>
      <c r="H33" s="19"/>
      <c r="I33" s="34" t="e">
        <f t="shared" si="1"/>
        <v>#DIV/0!</v>
      </c>
    </row>
    <row r="34" spans="1:9" ht="15.6" customHeight="1" x14ac:dyDescent="0.25">
      <c r="A34" s="13">
        <v>30</v>
      </c>
      <c r="B34" s="14" t="s">
        <v>1736</v>
      </c>
      <c r="C34" s="14" t="s">
        <v>1737</v>
      </c>
      <c r="D34" s="46"/>
      <c r="E34" s="47"/>
      <c r="F34" s="15">
        <v>1</v>
      </c>
      <c r="G34" s="19"/>
      <c r="H34" s="19"/>
      <c r="I34" s="34">
        <f t="shared" si="1"/>
        <v>0</v>
      </c>
    </row>
    <row r="35" spans="1:9" ht="15.6" customHeight="1" x14ac:dyDescent="0.25">
      <c r="A35" s="13">
        <v>31</v>
      </c>
      <c r="B35" s="14" t="s">
        <v>1738</v>
      </c>
      <c r="C35" s="14" t="s">
        <v>1739</v>
      </c>
      <c r="D35" s="46"/>
      <c r="E35" s="47"/>
      <c r="F35" s="15">
        <v>5</v>
      </c>
      <c r="G35" s="19"/>
      <c r="H35" s="19"/>
      <c r="I35" s="34">
        <f t="shared" si="1"/>
        <v>0</v>
      </c>
    </row>
    <row r="36" spans="1:9" ht="15.6" customHeight="1" x14ac:dyDescent="0.25">
      <c r="A36" s="13">
        <v>32</v>
      </c>
      <c r="B36" s="14" t="s">
        <v>1740</v>
      </c>
      <c r="C36" s="14" t="s">
        <v>1741</v>
      </c>
      <c r="D36" s="46"/>
      <c r="E36" s="47"/>
      <c r="F36" s="15">
        <v>0</v>
      </c>
      <c r="G36" s="19"/>
      <c r="H36" s="19"/>
      <c r="I36" s="34" t="e">
        <f t="shared" si="1"/>
        <v>#DIV/0!</v>
      </c>
    </row>
    <row r="37" spans="1:9" ht="15.6" customHeight="1" x14ac:dyDescent="0.25">
      <c r="A37" s="13">
        <v>33</v>
      </c>
      <c r="B37" s="14" t="s">
        <v>1742</v>
      </c>
      <c r="C37" s="14" t="s">
        <v>1743</v>
      </c>
      <c r="D37" s="46"/>
      <c r="E37" s="47"/>
      <c r="F37" s="15">
        <v>10</v>
      </c>
      <c r="G37" s="19"/>
      <c r="H37" s="19"/>
      <c r="I37" s="34">
        <f t="shared" si="1"/>
        <v>0</v>
      </c>
    </row>
    <row r="38" spans="1:9" ht="15.6" customHeight="1" x14ac:dyDescent="0.25">
      <c r="A38" s="13">
        <v>34</v>
      </c>
      <c r="B38" s="14" t="s">
        <v>1744</v>
      </c>
      <c r="C38" s="14" t="s">
        <v>1743</v>
      </c>
      <c r="D38" s="46"/>
      <c r="E38" s="47"/>
      <c r="F38" s="15">
        <v>4.3</v>
      </c>
      <c r="G38" s="19"/>
      <c r="H38" s="19"/>
      <c r="I38" s="34">
        <f t="shared" si="1"/>
        <v>0</v>
      </c>
    </row>
    <row r="39" spans="1:9" ht="15.6" customHeight="1" x14ac:dyDescent="0.25">
      <c r="A39" s="13">
        <v>35</v>
      </c>
      <c r="B39" s="14" t="s">
        <v>1745</v>
      </c>
      <c r="C39" s="14" t="s">
        <v>1746</v>
      </c>
      <c r="D39" s="46"/>
      <c r="E39" s="47"/>
      <c r="F39" s="15">
        <v>12</v>
      </c>
      <c r="G39" s="19"/>
      <c r="H39" s="19"/>
      <c r="I39" s="34">
        <f t="shared" si="1"/>
        <v>0</v>
      </c>
    </row>
    <row r="40" spans="1:9" ht="15.6" customHeight="1" x14ac:dyDescent="0.25">
      <c r="A40" s="13">
        <v>36</v>
      </c>
      <c r="B40" s="14" t="s">
        <v>1747</v>
      </c>
      <c r="C40" s="14" t="s">
        <v>1746</v>
      </c>
      <c r="D40" s="46"/>
      <c r="E40" s="47"/>
      <c r="F40" s="15">
        <v>0</v>
      </c>
      <c r="G40" s="19"/>
      <c r="H40" s="19"/>
      <c r="I40" s="34" t="e">
        <f t="shared" si="1"/>
        <v>#DIV/0!</v>
      </c>
    </row>
    <row r="41" spans="1:9" ht="15.6" customHeight="1" x14ac:dyDescent="0.25">
      <c r="A41" s="13">
        <v>37</v>
      </c>
      <c r="B41" s="14" t="s">
        <v>1748</v>
      </c>
      <c r="C41" s="14" t="s">
        <v>1749</v>
      </c>
      <c r="D41" s="46"/>
      <c r="E41" s="47"/>
      <c r="F41" s="15">
        <v>5</v>
      </c>
      <c r="G41" s="19"/>
      <c r="H41" s="19"/>
      <c r="I41" s="34">
        <f t="shared" si="1"/>
        <v>0</v>
      </c>
    </row>
    <row r="42" spans="1:9" ht="15.6" customHeight="1" x14ac:dyDescent="0.25">
      <c r="A42" s="13">
        <v>38</v>
      </c>
      <c r="B42" s="14" t="s">
        <v>1750</v>
      </c>
      <c r="C42" s="14" t="s">
        <v>1751</v>
      </c>
      <c r="D42" s="46"/>
      <c r="E42" s="47"/>
      <c r="F42" s="15">
        <v>0</v>
      </c>
      <c r="G42" s="19"/>
      <c r="H42" s="19"/>
      <c r="I42" s="34" t="e">
        <f t="shared" si="1"/>
        <v>#DIV/0!</v>
      </c>
    </row>
    <row r="43" spans="1:9" ht="15.6" customHeight="1" x14ac:dyDescent="0.25">
      <c r="A43" s="13">
        <v>39</v>
      </c>
      <c r="B43" s="14" t="s">
        <v>1752</v>
      </c>
      <c r="C43" s="14" t="s">
        <v>1753</v>
      </c>
      <c r="D43" s="46" t="s">
        <v>1754</v>
      </c>
      <c r="E43" s="47" t="s">
        <v>1754</v>
      </c>
      <c r="F43" s="15">
        <v>32</v>
      </c>
      <c r="G43" s="19"/>
      <c r="H43" s="19"/>
      <c r="I43" s="34">
        <f t="shared" si="1"/>
        <v>0</v>
      </c>
    </row>
    <row r="44" spans="1:9" ht="15.6" customHeight="1" x14ac:dyDescent="0.25">
      <c r="A44" s="13">
        <v>40</v>
      </c>
      <c r="B44" s="14" t="s">
        <v>1755</v>
      </c>
      <c r="C44" s="14" t="s">
        <v>1756</v>
      </c>
      <c r="D44" s="46" t="s">
        <v>1677</v>
      </c>
      <c r="E44" s="47" t="s">
        <v>1677</v>
      </c>
      <c r="F44" s="15">
        <v>25</v>
      </c>
      <c r="G44" s="19"/>
      <c r="H44" s="19"/>
      <c r="I44" s="34">
        <f>H44/F44</f>
        <v>0</v>
      </c>
    </row>
    <row r="45" spans="1:9" ht="16.8" customHeight="1" x14ac:dyDescent="0.25">
      <c r="A45" s="39" t="s">
        <v>1769</v>
      </c>
      <c r="B45" s="39"/>
      <c r="C45" s="39"/>
      <c r="D45" s="39" t="s">
        <v>2065</v>
      </c>
      <c r="E45" s="39"/>
      <c r="F45" s="12">
        <f>SUM(F5:F44)</f>
        <v>261.2</v>
      </c>
      <c r="G45" s="20"/>
      <c r="H45" s="12">
        <f>SUM(H5:H44)</f>
        <v>0</v>
      </c>
      <c r="I45" s="35">
        <f>H45/F45</f>
        <v>0</v>
      </c>
    </row>
  </sheetData>
  <mergeCells count="48">
    <mergeCell ref="D23:E23"/>
    <mergeCell ref="D24:E24"/>
    <mergeCell ref="D25:E25"/>
    <mergeCell ref="D26:E26"/>
    <mergeCell ref="D44:E44"/>
    <mergeCell ref="D27:E27"/>
    <mergeCell ref="D28:E28"/>
    <mergeCell ref="D29:E29"/>
    <mergeCell ref="D30:E30"/>
    <mergeCell ref="D31:E31"/>
    <mergeCell ref="D41:E41"/>
    <mergeCell ref="D42:E42"/>
    <mergeCell ref="D43:E43"/>
    <mergeCell ref="D35:E35"/>
    <mergeCell ref="D36:E36"/>
    <mergeCell ref="D37:E37"/>
    <mergeCell ref="A45:C45"/>
    <mergeCell ref="D45:E45"/>
    <mergeCell ref="D32:E32"/>
    <mergeCell ref="D33:E33"/>
    <mergeCell ref="D34:E34"/>
    <mergeCell ref="D38:E38"/>
    <mergeCell ref="D39:E39"/>
    <mergeCell ref="D40:E40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1A42-0C60-40B8-98A1-FD27DE95A372}">
  <sheetPr codeName="Sheet33"/>
  <dimension ref="A1:I28"/>
  <sheetViews>
    <sheetView topLeftCell="A8" zoomScaleNormal="100" workbookViewId="0">
      <selection activeCell="K17" sqref="K17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2066</v>
      </c>
      <c r="C5" s="14" t="s">
        <v>2067</v>
      </c>
      <c r="D5" s="46" t="s">
        <v>119</v>
      </c>
      <c r="E5" s="47" t="s">
        <v>119</v>
      </c>
      <c r="F5" s="15">
        <v>50.3</v>
      </c>
      <c r="G5" s="19"/>
      <c r="H5" s="19"/>
      <c r="I5" s="37">
        <f t="shared" ref="I5:I28" si="0">H5/F5</f>
        <v>0</v>
      </c>
    </row>
    <row r="6" spans="1:9" ht="15.6" customHeight="1" x14ac:dyDescent="0.25">
      <c r="A6" s="13">
        <v>2</v>
      </c>
      <c r="B6" s="14" t="s">
        <v>2068</v>
      </c>
      <c r="C6" s="14" t="s">
        <v>2069</v>
      </c>
      <c r="D6" s="46" t="s">
        <v>2070</v>
      </c>
      <c r="E6" s="47" t="s">
        <v>2070</v>
      </c>
      <c r="F6" s="15">
        <v>54.8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2071</v>
      </c>
      <c r="C7" s="14" t="s">
        <v>2072</v>
      </c>
      <c r="D7" s="46" t="s">
        <v>119</v>
      </c>
      <c r="E7" s="47" t="s">
        <v>119</v>
      </c>
      <c r="F7" s="15">
        <v>29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2073</v>
      </c>
      <c r="C8" s="14" t="s">
        <v>2074</v>
      </c>
      <c r="D8" s="46" t="s">
        <v>119</v>
      </c>
      <c r="E8" s="47" t="s">
        <v>119</v>
      </c>
      <c r="F8" s="15">
        <v>3.4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2075</v>
      </c>
      <c r="C9" s="14" t="s">
        <v>2076</v>
      </c>
      <c r="D9" s="46" t="s">
        <v>119</v>
      </c>
      <c r="E9" s="47" t="s">
        <v>119</v>
      </c>
      <c r="F9" s="15">
        <v>4.2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2077</v>
      </c>
      <c r="C10" s="14" t="s">
        <v>2078</v>
      </c>
      <c r="D10" s="46" t="s">
        <v>119</v>
      </c>
      <c r="E10" s="47" t="s">
        <v>119</v>
      </c>
      <c r="F10" s="15">
        <v>4.7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2079</v>
      </c>
      <c r="C11" s="14" t="s">
        <v>2080</v>
      </c>
      <c r="D11" s="46" t="s">
        <v>119</v>
      </c>
      <c r="E11" s="47" t="s">
        <v>119</v>
      </c>
      <c r="F11" s="15">
        <v>1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2081</v>
      </c>
      <c r="C12" s="14" t="s">
        <v>2082</v>
      </c>
      <c r="D12" s="46" t="s">
        <v>119</v>
      </c>
      <c r="E12" s="47" t="s">
        <v>119</v>
      </c>
      <c r="F12" s="15">
        <v>1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2083</v>
      </c>
      <c r="C13" s="14" t="s">
        <v>2084</v>
      </c>
      <c r="D13" s="46" t="s">
        <v>119</v>
      </c>
      <c r="E13" s="47" t="s">
        <v>119</v>
      </c>
      <c r="F13" s="15">
        <v>1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2085</v>
      </c>
      <c r="C14" s="14" t="s">
        <v>2086</v>
      </c>
      <c r="D14" s="46" t="s">
        <v>699</v>
      </c>
      <c r="E14" s="47" t="s">
        <v>699</v>
      </c>
      <c r="F14" s="15">
        <v>1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2087</v>
      </c>
      <c r="C15" s="14" t="s">
        <v>2088</v>
      </c>
      <c r="D15" s="46" t="s">
        <v>119</v>
      </c>
      <c r="E15" s="47" t="s">
        <v>119</v>
      </c>
      <c r="F15" s="15">
        <v>3.5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2089</v>
      </c>
      <c r="C16" s="14" t="s">
        <v>2090</v>
      </c>
      <c r="D16" s="46" t="s">
        <v>119</v>
      </c>
      <c r="E16" s="47" t="s">
        <v>119</v>
      </c>
      <c r="F16" s="15">
        <v>1.5</v>
      </c>
      <c r="G16" s="15"/>
      <c r="H16" s="15"/>
      <c r="I16" s="37">
        <f t="shared" si="0"/>
        <v>0</v>
      </c>
    </row>
    <row r="17" spans="1:9" ht="15.6" customHeight="1" x14ac:dyDescent="0.25">
      <c r="A17" s="13">
        <v>13</v>
      </c>
      <c r="B17" s="14" t="s">
        <v>2091</v>
      </c>
      <c r="C17" s="14" t="s">
        <v>2092</v>
      </c>
      <c r="D17" s="46" t="s">
        <v>119</v>
      </c>
      <c r="E17" s="47" t="s">
        <v>119</v>
      </c>
      <c r="F17" s="15">
        <v>1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4" t="s">
        <v>2093</v>
      </c>
      <c r="C18" s="14" t="s">
        <v>2094</v>
      </c>
      <c r="D18" s="46" t="s">
        <v>699</v>
      </c>
      <c r="E18" s="47" t="s">
        <v>699</v>
      </c>
      <c r="F18" s="15">
        <v>1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4" t="s">
        <v>2095</v>
      </c>
      <c r="C19" s="14" t="s">
        <v>2096</v>
      </c>
      <c r="D19" s="46" t="s">
        <v>699</v>
      </c>
      <c r="E19" s="47" t="s">
        <v>699</v>
      </c>
      <c r="F19" s="15">
        <v>0</v>
      </c>
      <c r="G19" s="15"/>
      <c r="H19" s="15"/>
      <c r="I19" s="37" t="e">
        <f t="shared" si="0"/>
        <v>#DIV/0!</v>
      </c>
    </row>
    <row r="20" spans="1:9" ht="15.6" customHeight="1" x14ac:dyDescent="0.25">
      <c r="A20" s="13">
        <v>16</v>
      </c>
      <c r="B20" s="14" t="s">
        <v>2097</v>
      </c>
      <c r="C20" s="14" t="s">
        <v>2098</v>
      </c>
      <c r="D20" s="46" t="s">
        <v>699</v>
      </c>
      <c r="E20" s="47" t="s">
        <v>699</v>
      </c>
      <c r="F20" s="15">
        <v>0</v>
      </c>
      <c r="G20" s="19"/>
      <c r="H20" s="19"/>
      <c r="I20" s="37" t="e">
        <f t="shared" si="0"/>
        <v>#DIV/0!</v>
      </c>
    </row>
    <row r="21" spans="1:9" ht="15.6" customHeight="1" x14ac:dyDescent="0.25">
      <c r="A21" s="13">
        <v>17</v>
      </c>
      <c r="B21" s="14" t="s">
        <v>2099</v>
      </c>
      <c r="C21" s="14" t="s">
        <v>2100</v>
      </c>
      <c r="D21" s="46" t="s">
        <v>699</v>
      </c>
      <c r="E21" s="47" t="s">
        <v>699</v>
      </c>
      <c r="F21" s="15">
        <v>0</v>
      </c>
      <c r="G21" s="19"/>
      <c r="H21" s="19"/>
      <c r="I21" s="37" t="e">
        <f t="shared" si="0"/>
        <v>#DIV/0!</v>
      </c>
    </row>
    <row r="22" spans="1:9" ht="15.6" customHeight="1" x14ac:dyDescent="0.25">
      <c r="A22" s="13">
        <v>18</v>
      </c>
      <c r="B22" s="14" t="s">
        <v>2101</v>
      </c>
      <c r="C22" s="14" t="s">
        <v>2102</v>
      </c>
      <c r="D22" s="46" t="s">
        <v>699</v>
      </c>
      <c r="E22" s="47" t="s">
        <v>699</v>
      </c>
      <c r="F22" s="15">
        <v>0</v>
      </c>
      <c r="G22" s="15"/>
      <c r="H22" s="15"/>
      <c r="I22" s="37" t="e">
        <f t="shared" si="0"/>
        <v>#DIV/0!</v>
      </c>
    </row>
    <row r="23" spans="1:9" ht="15.6" customHeight="1" x14ac:dyDescent="0.25">
      <c r="A23" s="13">
        <v>19</v>
      </c>
      <c r="B23" s="14" t="s">
        <v>2103</v>
      </c>
      <c r="C23" s="14" t="s">
        <v>2104</v>
      </c>
      <c r="D23" s="46" t="s">
        <v>119</v>
      </c>
      <c r="E23" s="47" t="s">
        <v>119</v>
      </c>
      <c r="F23" s="15">
        <v>2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4" t="s">
        <v>2105</v>
      </c>
      <c r="C24" s="14" t="s">
        <v>2106</v>
      </c>
      <c r="D24" s="46" t="s">
        <v>119</v>
      </c>
      <c r="E24" s="47" t="s">
        <v>119</v>
      </c>
      <c r="F24" s="15">
        <v>3.3</v>
      </c>
      <c r="G24" s="19"/>
      <c r="H24" s="19"/>
      <c r="I24" s="37">
        <f t="shared" si="0"/>
        <v>0</v>
      </c>
    </row>
    <row r="25" spans="1:9" ht="15.6" customHeight="1" x14ac:dyDescent="0.25">
      <c r="A25" s="13">
        <v>21</v>
      </c>
      <c r="B25" s="14" t="s">
        <v>2107</v>
      </c>
      <c r="C25" s="14" t="s">
        <v>2108</v>
      </c>
      <c r="D25" s="46" t="s">
        <v>119</v>
      </c>
      <c r="E25" s="47" t="s">
        <v>119</v>
      </c>
      <c r="F25" s="15">
        <v>7.1</v>
      </c>
      <c r="G25" s="15"/>
      <c r="H25" s="15"/>
      <c r="I25" s="37">
        <f t="shared" si="0"/>
        <v>0</v>
      </c>
    </row>
    <row r="26" spans="1:9" ht="15.6" customHeight="1" x14ac:dyDescent="0.25">
      <c r="A26" s="13">
        <v>22</v>
      </c>
      <c r="B26" s="14" t="s">
        <v>2109</v>
      </c>
      <c r="C26" s="14" t="s">
        <v>2110</v>
      </c>
      <c r="D26" s="46" t="s">
        <v>119</v>
      </c>
      <c r="E26" s="47" t="s">
        <v>119</v>
      </c>
      <c r="F26" s="15">
        <v>11</v>
      </c>
      <c r="G26" s="19"/>
      <c r="H26" s="19"/>
      <c r="I26" s="37">
        <f t="shared" si="0"/>
        <v>0</v>
      </c>
    </row>
    <row r="27" spans="1:9" ht="15.6" customHeight="1" x14ac:dyDescent="0.25">
      <c r="A27" s="13">
        <v>23</v>
      </c>
      <c r="B27" s="14" t="s">
        <v>2111</v>
      </c>
      <c r="C27" s="14" t="s">
        <v>2112</v>
      </c>
      <c r="D27" s="46" t="s">
        <v>119</v>
      </c>
      <c r="E27" s="47" t="s">
        <v>119</v>
      </c>
      <c r="F27" s="15">
        <v>15</v>
      </c>
      <c r="G27" s="19"/>
      <c r="H27" s="19"/>
      <c r="I27" s="37">
        <f t="shared" si="0"/>
        <v>0</v>
      </c>
    </row>
    <row r="28" spans="1:9" ht="16.8" customHeight="1" x14ac:dyDescent="0.25">
      <c r="A28" s="39" t="s">
        <v>1769</v>
      </c>
      <c r="B28" s="39"/>
      <c r="C28" s="39"/>
      <c r="D28" s="39" t="s">
        <v>1770</v>
      </c>
      <c r="E28" s="39"/>
      <c r="F28" s="12">
        <f>SUM(F5:F27)</f>
        <v>195.79999999999998</v>
      </c>
      <c r="G28" s="20"/>
      <c r="H28" s="12">
        <f>SUM(H5:H27)</f>
        <v>0</v>
      </c>
      <c r="I28" s="38">
        <f t="shared" si="0"/>
        <v>0</v>
      </c>
    </row>
  </sheetData>
  <mergeCells count="31">
    <mergeCell ref="H3:I3"/>
    <mergeCell ref="A3:A4"/>
    <mergeCell ref="B3:C3"/>
    <mergeCell ref="D3:E4"/>
    <mergeCell ref="F3:F4"/>
    <mergeCell ref="G3:G4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28:C28"/>
    <mergeCell ref="D28:E28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E8F2-4A47-45BE-A4BA-4A9D6EDC749D}">
  <sheetPr codeName="Sheet34"/>
  <dimension ref="A1:I32"/>
  <sheetViews>
    <sheetView topLeftCell="A4" zoomScaleNormal="100" workbookViewId="0">
      <selection activeCell="D33" sqref="D33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2113</v>
      </c>
      <c r="C5" s="14" t="s">
        <v>2114</v>
      </c>
      <c r="D5" s="46" t="s">
        <v>2115</v>
      </c>
      <c r="E5" s="47" t="s">
        <v>2115</v>
      </c>
      <c r="F5" s="15">
        <v>17</v>
      </c>
      <c r="G5" s="19"/>
      <c r="H5" s="19"/>
      <c r="I5" s="37">
        <f t="shared" ref="I5:I26" si="0">H5/F5</f>
        <v>0</v>
      </c>
    </row>
    <row r="6" spans="1:9" ht="15.6" customHeight="1" x14ac:dyDescent="0.25">
      <c r="A6" s="13">
        <v>2</v>
      </c>
      <c r="B6" s="14" t="s">
        <v>2116</v>
      </c>
      <c r="C6" s="14" t="s">
        <v>2117</v>
      </c>
      <c r="D6" s="46" t="s">
        <v>119</v>
      </c>
      <c r="E6" s="47" t="s">
        <v>119</v>
      </c>
      <c r="F6" s="15">
        <v>14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2118</v>
      </c>
      <c r="C7" s="14" t="s">
        <v>2119</v>
      </c>
      <c r="D7" s="46" t="s">
        <v>699</v>
      </c>
      <c r="E7" s="47" t="s">
        <v>699</v>
      </c>
      <c r="F7" s="15">
        <v>8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2120</v>
      </c>
      <c r="C8" s="14" t="s">
        <v>2121</v>
      </c>
      <c r="D8" s="46" t="s">
        <v>119</v>
      </c>
      <c r="E8" s="47" t="s">
        <v>119</v>
      </c>
      <c r="F8" s="15">
        <v>4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2122</v>
      </c>
      <c r="C9" s="14" t="s">
        <v>2123</v>
      </c>
      <c r="D9" s="46" t="s">
        <v>699</v>
      </c>
      <c r="E9" s="47" t="s">
        <v>699</v>
      </c>
      <c r="F9" s="15">
        <v>3.5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2124</v>
      </c>
      <c r="C10" s="14" t="s">
        <v>2125</v>
      </c>
      <c r="D10" s="46" t="s">
        <v>699</v>
      </c>
      <c r="E10" s="47" t="s">
        <v>699</v>
      </c>
      <c r="F10" s="15">
        <v>11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2126</v>
      </c>
      <c r="C11" s="14" t="s">
        <v>2127</v>
      </c>
      <c r="D11" s="46" t="s">
        <v>699</v>
      </c>
      <c r="E11" s="47" t="s">
        <v>699</v>
      </c>
      <c r="F11" s="15">
        <v>4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2128</v>
      </c>
      <c r="C12" s="14" t="s">
        <v>2129</v>
      </c>
      <c r="D12" s="46" t="s">
        <v>119</v>
      </c>
      <c r="E12" s="47" t="s">
        <v>119</v>
      </c>
      <c r="F12" s="15">
        <v>2.5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2130</v>
      </c>
      <c r="C13" s="14" t="s">
        <v>2131</v>
      </c>
      <c r="D13" s="46" t="s">
        <v>119</v>
      </c>
      <c r="E13" s="47" t="s">
        <v>119</v>
      </c>
      <c r="F13" s="15">
        <v>2.9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2132</v>
      </c>
      <c r="C14" s="14" t="s">
        <v>2133</v>
      </c>
      <c r="D14" s="46" t="s">
        <v>119</v>
      </c>
      <c r="E14" s="47" t="s">
        <v>119</v>
      </c>
      <c r="F14" s="15">
        <v>7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2134</v>
      </c>
      <c r="C15" s="14" t="s">
        <v>2135</v>
      </c>
      <c r="D15" s="46" t="s">
        <v>119</v>
      </c>
      <c r="E15" s="47" t="s">
        <v>119</v>
      </c>
      <c r="F15" s="15">
        <v>6.1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2136</v>
      </c>
      <c r="C16" s="14" t="s">
        <v>2137</v>
      </c>
      <c r="D16" s="46" t="s">
        <v>270</v>
      </c>
      <c r="E16" s="47" t="s">
        <v>270</v>
      </c>
      <c r="F16" s="15">
        <v>0</v>
      </c>
      <c r="G16" s="15"/>
      <c r="H16" s="15"/>
      <c r="I16" s="37" t="e">
        <f t="shared" si="0"/>
        <v>#DIV/0!</v>
      </c>
    </row>
    <row r="17" spans="1:9" ht="15.6" customHeight="1" x14ac:dyDescent="0.25">
      <c r="A17" s="13">
        <v>13</v>
      </c>
      <c r="B17" s="14" t="s">
        <v>2138</v>
      </c>
      <c r="C17" s="14" t="s">
        <v>2139</v>
      </c>
      <c r="D17" s="46" t="s">
        <v>270</v>
      </c>
      <c r="E17" s="47" t="s">
        <v>270</v>
      </c>
      <c r="F17" s="15">
        <v>2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4" t="s">
        <v>2140</v>
      </c>
      <c r="C18" s="14" t="s">
        <v>2141</v>
      </c>
      <c r="D18" s="46" t="s">
        <v>270</v>
      </c>
      <c r="E18" s="47" t="s">
        <v>270</v>
      </c>
      <c r="F18" s="15">
        <v>16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4" t="s">
        <v>2142</v>
      </c>
      <c r="C19" s="14" t="s">
        <v>2143</v>
      </c>
      <c r="D19" s="46" t="s">
        <v>270</v>
      </c>
      <c r="E19" s="47" t="s">
        <v>270</v>
      </c>
      <c r="F19" s="15">
        <v>4</v>
      </c>
      <c r="G19" s="15"/>
      <c r="H19" s="15"/>
      <c r="I19" s="37">
        <f t="shared" si="0"/>
        <v>0</v>
      </c>
    </row>
    <row r="20" spans="1:9" ht="15.6" customHeight="1" x14ac:dyDescent="0.25">
      <c r="A20" s="13">
        <v>16</v>
      </c>
      <c r="B20" s="14" t="s">
        <v>2144</v>
      </c>
      <c r="C20" s="14" t="s">
        <v>2145</v>
      </c>
      <c r="D20" s="46" t="s">
        <v>270</v>
      </c>
      <c r="E20" s="47" t="s">
        <v>270</v>
      </c>
      <c r="F20" s="15">
        <v>9</v>
      </c>
      <c r="G20" s="19"/>
      <c r="H20" s="19"/>
      <c r="I20" s="37">
        <f t="shared" si="0"/>
        <v>0</v>
      </c>
    </row>
    <row r="21" spans="1:9" ht="15.6" customHeight="1" x14ac:dyDescent="0.25">
      <c r="A21" s="13">
        <v>17</v>
      </c>
      <c r="B21" s="14" t="s">
        <v>2146</v>
      </c>
      <c r="C21" s="14" t="s">
        <v>2147</v>
      </c>
      <c r="D21" s="46" t="s">
        <v>699</v>
      </c>
      <c r="E21" s="47" t="s">
        <v>699</v>
      </c>
      <c r="F21" s="16">
        <v>68</v>
      </c>
      <c r="G21" s="19"/>
      <c r="H21" s="19"/>
      <c r="I21" s="37">
        <f t="shared" si="0"/>
        <v>0</v>
      </c>
    </row>
    <row r="22" spans="1:9" ht="15.6" customHeight="1" x14ac:dyDescent="0.25">
      <c r="A22" s="13">
        <v>18</v>
      </c>
      <c r="B22" s="14" t="s">
        <v>2148</v>
      </c>
      <c r="C22" s="14" t="s">
        <v>2149</v>
      </c>
      <c r="D22" s="46" t="s">
        <v>270</v>
      </c>
      <c r="E22" s="47" t="s">
        <v>270</v>
      </c>
      <c r="F22" s="15">
        <v>15</v>
      </c>
      <c r="G22" s="15"/>
      <c r="H22" s="15"/>
      <c r="I22" s="37">
        <f t="shared" si="0"/>
        <v>0</v>
      </c>
    </row>
    <row r="23" spans="1:9" ht="15.6" customHeight="1" x14ac:dyDescent="0.25">
      <c r="A23" s="13">
        <v>19</v>
      </c>
      <c r="B23" s="14" t="s">
        <v>2150</v>
      </c>
      <c r="C23" s="14" t="s">
        <v>2151</v>
      </c>
      <c r="D23" s="46" t="s">
        <v>699</v>
      </c>
      <c r="E23" s="47" t="s">
        <v>699</v>
      </c>
      <c r="F23" s="15">
        <v>15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4" t="s">
        <v>2152</v>
      </c>
      <c r="C24" s="14" t="s">
        <v>2153</v>
      </c>
      <c r="D24" s="46" t="s">
        <v>270</v>
      </c>
      <c r="E24" s="47" t="s">
        <v>270</v>
      </c>
      <c r="F24" s="15">
        <v>2</v>
      </c>
      <c r="G24" s="19"/>
      <c r="H24" s="19"/>
      <c r="I24" s="37">
        <f t="shared" si="0"/>
        <v>0</v>
      </c>
    </row>
    <row r="25" spans="1:9" ht="15.6" customHeight="1" x14ac:dyDescent="0.25">
      <c r="A25" s="13">
        <v>21</v>
      </c>
      <c r="B25" s="14" t="s">
        <v>2154</v>
      </c>
      <c r="C25" s="14" t="s">
        <v>2155</v>
      </c>
      <c r="D25" s="46" t="s">
        <v>699</v>
      </c>
      <c r="E25" s="47" t="s">
        <v>699</v>
      </c>
      <c r="F25" s="15">
        <v>5.7</v>
      </c>
      <c r="G25" s="15"/>
      <c r="H25" s="15"/>
      <c r="I25" s="37">
        <f t="shared" si="0"/>
        <v>0</v>
      </c>
    </row>
    <row r="26" spans="1:9" ht="15.6" customHeight="1" x14ac:dyDescent="0.25">
      <c r="A26" s="13">
        <v>22</v>
      </c>
      <c r="B26" s="14" t="s">
        <v>2156</v>
      </c>
      <c r="C26" s="14" t="s">
        <v>2157</v>
      </c>
      <c r="D26" s="46" t="s">
        <v>699</v>
      </c>
      <c r="E26" s="47" t="s">
        <v>699</v>
      </c>
      <c r="F26" s="15">
        <v>3.8</v>
      </c>
      <c r="G26" s="19"/>
      <c r="H26" s="19"/>
      <c r="I26" s="37">
        <f t="shared" si="0"/>
        <v>0</v>
      </c>
    </row>
    <row r="27" spans="1:9" ht="15.6" customHeight="1" x14ac:dyDescent="0.25">
      <c r="A27" s="13">
        <v>23</v>
      </c>
      <c r="B27" s="14" t="s">
        <v>2158</v>
      </c>
      <c r="C27" s="14" t="s">
        <v>2159</v>
      </c>
      <c r="D27" s="46" t="s">
        <v>699</v>
      </c>
      <c r="E27" s="47" t="s">
        <v>699</v>
      </c>
      <c r="F27" s="15">
        <v>8</v>
      </c>
      <c r="G27" s="19"/>
      <c r="H27" s="19"/>
      <c r="I27" s="37">
        <f t="shared" ref="I27:I30" si="1">H27/F27</f>
        <v>0</v>
      </c>
    </row>
    <row r="28" spans="1:9" ht="15.6" customHeight="1" x14ac:dyDescent="0.25">
      <c r="A28" s="13">
        <v>24</v>
      </c>
      <c r="B28" s="14" t="s">
        <v>2160</v>
      </c>
      <c r="C28" s="14" t="s">
        <v>2161</v>
      </c>
      <c r="D28" s="46" t="s">
        <v>270</v>
      </c>
      <c r="E28" s="47" t="s">
        <v>270</v>
      </c>
      <c r="F28" s="15">
        <v>3.4</v>
      </c>
      <c r="G28" s="19"/>
      <c r="H28" s="19"/>
      <c r="I28" s="37">
        <f t="shared" si="1"/>
        <v>0</v>
      </c>
    </row>
    <row r="29" spans="1:9" ht="15.6" customHeight="1" x14ac:dyDescent="0.25">
      <c r="A29" s="13">
        <v>25</v>
      </c>
      <c r="B29" s="14" t="s">
        <v>2162</v>
      </c>
      <c r="C29" s="14" t="s">
        <v>2163</v>
      </c>
      <c r="D29" s="46" t="s">
        <v>699</v>
      </c>
      <c r="E29" s="47" t="s">
        <v>699</v>
      </c>
      <c r="F29" s="15">
        <v>11</v>
      </c>
      <c r="G29" s="19"/>
      <c r="H29" s="19"/>
      <c r="I29" s="37">
        <f t="shared" si="1"/>
        <v>0</v>
      </c>
    </row>
    <row r="30" spans="1:9" ht="15.6" customHeight="1" x14ac:dyDescent="0.25">
      <c r="A30" s="13">
        <v>26</v>
      </c>
      <c r="B30" s="14" t="s">
        <v>2164</v>
      </c>
      <c r="C30" s="14" t="s">
        <v>2165</v>
      </c>
      <c r="D30" s="46" t="s">
        <v>699</v>
      </c>
      <c r="E30" s="47" t="s">
        <v>699</v>
      </c>
      <c r="F30" s="15">
        <v>5</v>
      </c>
      <c r="G30" s="19"/>
      <c r="H30" s="19"/>
      <c r="I30" s="37">
        <f t="shared" si="1"/>
        <v>0</v>
      </c>
    </row>
    <row r="31" spans="1:9" ht="15.6" customHeight="1" x14ac:dyDescent="0.25">
      <c r="A31" s="13">
        <v>27</v>
      </c>
      <c r="B31" s="14" t="s">
        <v>2166</v>
      </c>
      <c r="C31" s="14" t="s">
        <v>2167</v>
      </c>
      <c r="D31" s="46" t="s">
        <v>699</v>
      </c>
      <c r="E31" s="47" t="s">
        <v>699</v>
      </c>
      <c r="F31" s="15">
        <v>22</v>
      </c>
      <c r="G31" s="19"/>
      <c r="H31" s="19"/>
      <c r="I31" s="37">
        <f>H31/F31</f>
        <v>0</v>
      </c>
    </row>
    <row r="32" spans="1:9" ht="16.8" customHeight="1" x14ac:dyDescent="0.25">
      <c r="A32" s="39" t="s">
        <v>1769</v>
      </c>
      <c r="B32" s="39"/>
      <c r="C32" s="39"/>
      <c r="D32" s="39" t="s">
        <v>1910</v>
      </c>
      <c r="E32" s="39"/>
      <c r="F32" s="12">
        <f>SUM(F5:F31)</f>
        <v>269.89999999999998</v>
      </c>
      <c r="G32" s="20"/>
      <c r="H32" s="12">
        <f>SUM(H5:H31)</f>
        <v>0</v>
      </c>
      <c r="I32" s="38">
        <f>H32/F32</f>
        <v>0</v>
      </c>
    </row>
  </sheetData>
  <mergeCells count="35">
    <mergeCell ref="H3:I3"/>
    <mergeCell ref="A3:A4"/>
    <mergeCell ref="B3:C3"/>
    <mergeCell ref="D3:E4"/>
    <mergeCell ref="F3:F4"/>
    <mergeCell ref="G3:G4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31:E31"/>
    <mergeCell ref="A32:C32"/>
    <mergeCell ref="D32:E32"/>
    <mergeCell ref="D17:E17"/>
    <mergeCell ref="D18:E18"/>
    <mergeCell ref="D19:E19"/>
    <mergeCell ref="D20:E20"/>
    <mergeCell ref="D21:E21"/>
    <mergeCell ref="D22:E22"/>
    <mergeCell ref="D27:E27"/>
    <mergeCell ref="D28:E28"/>
    <mergeCell ref="D29:E29"/>
    <mergeCell ref="D30:E30"/>
    <mergeCell ref="D23:E23"/>
    <mergeCell ref="D24:E24"/>
    <mergeCell ref="D25:E25"/>
    <mergeCell ref="D26:E26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555C-FF2D-4D08-9840-4BDF2AE54493}">
  <sheetPr codeName="Sheet35"/>
  <dimension ref="A1:I42"/>
  <sheetViews>
    <sheetView topLeftCell="A19" zoomScaleNormal="100" workbookViewId="0">
      <selection activeCell="J30" sqref="J30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1207</v>
      </c>
      <c r="C5" s="14" t="s">
        <v>2168</v>
      </c>
      <c r="D5" s="46" t="s">
        <v>1757</v>
      </c>
      <c r="E5" s="47" t="s">
        <v>1757</v>
      </c>
      <c r="F5" s="15">
        <v>13</v>
      </c>
      <c r="G5" s="19"/>
      <c r="H5" s="19"/>
      <c r="I5" s="37">
        <f t="shared" ref="I5:I26" si="0">H5/F5</f>
        <v>0</v>
      </c>
    </row>
    <row r="6" spans="1:9" ht="15.6" customHeight="1" x14ac:dyDescent="0.25">
      <c r="A6" s="13">
        <v>2</v>
      </c>
      <c r="B6" s="14" t="s">
        <v>2169</v>
      </c>
      <c r="C6" s="14" t="s">
        <v>2170</v>
      </c>
      <c r="D6" s="46" t="s">
        <v>1757</v>
      </c>
      <c r="E6" s="47" t="s">
        <v>1757</v>
      </c>
      <c r="F6" s="15">
        <v>5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1195</v>
      </c>
      <c r="C7" s="14" t="s">
        <v>2171</v>
      </c>
      <c r="D7" s="46" t="s">
        <v>119</v>
      </c>
      <c r="E7" s="47" t="s">
        <v>119</v>
      </c>
      <c r="F7" s="15">
        <v>10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2172</v>
      </c>
      <c r="C8" s="14" t="s">
        <v>2173</v>
      </c>
      <c r="D8" s="46" t="s">
        <v>1757</v>
      </c>
      <c r="E8" s="47" t="s">
        <v>1757</v>
      </c>
      <c r="F8" s="15">
        <v>4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1197</v>
      </c>
      <c r="C9" s="14" t="s">
        <v>2174</v>
      </c>
      <c r="D9" s="46" t="s">
        <v>119</v>
      </c>
      <c r="E9" s="47" t="s">
        <v>119</v>
      </c>
      <c r="F9" s="15">
        <v>15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1191</v>
      </c>
      <c r="C10" s="14" t="s">
        <v>2175</v>
      </c>
      <c r="D10" s="46" t="s">
        <v>119</v>
      </c>
      <c r="E10" s="47" t="s">
        <v>119</v>
      </c>
      <c r="F10" s="15">
        <v>11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1202</v>
      </c>
      <c r="C11" s="14" t="s">
        <v>2176</v>
      </c>
      <c r="D11" s="46" t="s">
        <v>119</v>
      </c>
      <c r="E11" s="47" t="s">
        <v>119</v>
      </c>
      <c r="F11" s="15">
        <v>6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1266</v>
      </c>
      <c r="C12" s="14" t="s">
        <v>2177</v>
      </c>
      <c r="D12" s="46" t="s">
        <v>119</v>
      </c>
      <c r="E12" s="47" t="s">
        <v>119</v>
      </c>
      <c r="F12" s="15">
        <v>2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1264</v>
      </c>
      <c r="C13" s="14" t="s">
        <v>2178</v>
      </c>
      <c r="D13" s="46" t="s">
        <v>119</v>
      </c>
      <c r="E13" s="47" t="s">
        <v>119</v>
      </c>
      <c r="F13" s="15">
        <v>3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1268</v>
      </c>
      <c r="C14" s="14" t="s">
        <v>2179</v>
      </c>
      <c r="D14" s="46" t="s">
        <v>119</v>
      </c>
      <c r="E14" s="47" t="s">
        <v>119</v>
      </c>
      <c r="F14" s="15">
        <v>3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1204</v>
      </c>
      <c r="C15" s="14" t="s">
        <v>2180</v>
      </c>
      <c r="D15" s="46" t="s">
        <v>119</v>
      </c>
      <c r="E15" s="47" t="s">
        <v>119</v>
      </c>
      <c r="F15" s="15">
        <v>3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1193</v>
      </c>
      <c r="C16" s="14" t="s">
        <v>2181</v>
      </c>
      <c r="D16" s="46" t="s">
        <v>2182</v>
      </c>
      <c r="E16" s="47" t="s">
        <v>2182</v>
      </c>
      <c r="F16" s="15">
        <v>26</v>
      </c>
      <c r="G16" s="15"/>
      <c r="H16" s="15"/>
      <c r="I16" s="37">
        <f t="shared" si="0"/>
        <v>0</v>
      </c>
    </row>
    <row r="17" spans="1:9" ht="15.6" customHeight="1" x14ac:dyDescent="0.25">
      <c r="A17" s="13">
        <v>13</v>
      </c>
      <c r="B17" s="14" t="s">
        <v>1200</v>
      </c>
      <c r="C17" s="14" t="s">
        <v>2183</v>
      </c>
      <c r="D17" s="46" t="s">
        <v>2184</v>
      </c>
      <c r="E17" s="47" t="s">
        <v>2184</v>
      </c>
      <c r="F17" s="15">
        <v>5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4" t="s">
        <v>2185</v>
      </c>
      <c r="C18" s="14" t="s">
        <v>2186</v>
      </c>
      <c r="D18" s="46" t="s">
        <v>2184</v>
      </c>
      <c r="E18" s="47" t="s">
        <v>2184</v>
      </c>
      <c r="F18" s="15">
        <v>42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4" t="s">
        <v>2187</v>
      </c>
      <c r="C19" s="14" t="s">
        <v>2188</v>
      </c>
      <c r="D19" s="46" t="s">
        <v>119</v>
      </c>
      <c r="E19" s="47" t="s">
        <v>119</v>
      </c>
      <c r="F19" s="15">
        <v>31</v>
      </c>
      <c r="G19" s="15"/>
      <c r="H19" s="15"/>
      <c r="I19" s="37">
        <f t="shared" si="0"/>
        <v>0</v>
      </c>
    </row>
    <row r="20" spans="1:9" ht="15.6" customHeight="1" x14ac:dyDescent="0.25">
      <c r="A20" s="13">
        <v>16</v>
      </c>
      <c r="B20" s="14" t="s">
        <v>2189</v>
      </c>
      <c r="C20" s="14" t="s">
        <v>2190</v>
      </c>
      <c r="D20" s="46" t="s">
        <v>270</v>
      </c>
      <c r="E20" s="47" t="s">
        <v>270</v>
      </c>
      <c r="F20" s="15">
        <v>0</v>
      </c>
      <c r="G20" s="19"/>
      <c r="H20" s="19"/>
      <c r="I20" s="37" t="e">
        <f t="shared" si="0"/>
        <v>#DIV/0!</v>
      </c>
    </row>
    <row r="21" spans="1:9" ht="15.6" customHeight="1" x14ac:dyDescent="0.25">
      <c r="A21" s="13">
        <v>17</v>
      </c>
      <c r="B21" s="14" t="s">
        <v>2191</v>
      </c>
      <c r="C21" s="14" t="s">
        <v>2192</v>
      </c>
      <c r="D21" s="46" t="s">
        <v>270</v>
      </c>
      <c r="E21" s="47" t="s">
        <v>270</v>
      </c>
      <c r="F21" s="15">
        <v>0</v>
      </c>
      <c r="G21" s="19"/>
      <c r="H21" s="19"/>
      <c r="I21" s="37" t="e">
        <f t="shared" si="0"/>
        <v>#DIV/0!</v>
      </c>
    </row>
    <row r="22" spans="1:9" ht="15.6" customHeight="1" x14ac:dyDescent="0.25">
      <c r="A22" s="13">
        <v>18</v>
      </c>
      <c r="B22" s="14" t="s">
        <v>2193</v>
      </c>
      <c r="C22" s="14" t="s">
        <v>2194</v>
      </c>
      <c r="D22" s="46" t="s">
        <v>270</v>
      </c>
      <c r="E22" s="47" t="s">
        <v>270</v>
      </c>
      <c r="F22" s="15">
        <v>0</v>
      </c>
      <c r="G22" s="15"/>
      <c r="H22" s="15"/>
      <c r="I22" s="37" t="e">
        <f t="shared" si="0"/>
        <v>#DIV/0!</v>
      </c>
    </row>
    <row r="23" spans="1:9" ht="15.6" customHeight="1" x14ac:dyDescent="0.25">
      <c r="A23" s="13">
        <v>19</v>
      </c>
      <c r="B23" s="14" t="s">
        <v>2195</v>
      </c>
      <c r="C23" s="14" t="s">
        <v>2196</v>
      </c>
      <c r="D23" s="46" t="s">
        <v>270</v>
      </c>
      <c r="E23" s="47" t="s">
        <v>270</v>
      </c>
      <c r="F23" s="15">
        <v>0</v>
      </c>
      <c r="G23" s="19"/>
      <c r="H23" s="19"/>
      <c r="I23" s="37" t="e">
        <f t="shared" si="0"/>
        <v>#DIV/0!</v>
      </c>
    </row>
    <row r="24" spans="1:9" ht="15.6" customHeight="1" x14ac:dyDescent="0.25">
      <c r="A24" s="13">
        <v>20</v>
      </c>
      <c r="B24" s="14" t="s">
        <v>2197</v>
      </c>
      <c r="C24" s="14" t="s">
        <v>2198</v>
      </c>
      <c r="D24" s="46" t="s">
        <v>270</v>
      </c>
      <c r="E24" s="47" t="s">
        <v>270</v>
      </c>
      <c r="F24" s="15">
        <v>0</v>
      </c>
      <c r="G24" s="19"/>
      <c r="H24" s="19"/>
      <c r="I24" s="37" t="e">
        <f t="shared" si="0"/>
        <v>#DIV/0!</v>
      </c>
    </row>
    <row r="25" spans="1:9" ht="15.6" customHeight="1" x14ac:dyDescent="0.25">
      <c r="A25" s="13">
        <v>21</v>
      </c>
      <c r="B25" s="14" t="s">
        <v>2199</v>
      </c>
      <c r="C25" s="14" t="s">
        <v>2200</v>
      </c>
      <c r="D25" s="46" t="s">
        <v>270</v>
      </c>
      <c r="E25" s="47" t="s">
        <v>270</v>
      </c>
      <c r="F25" s="15">
        <v>0</v>
      </c>
      <c r="G25" s="15"/>
      <c r="H25" s="15"/>
      <c r="I25" s="37" t="e">
        <f t="shared" si="0"/>
        <v>#DIV/0!</v>
      </c>
    </row>
    <row r="26" spans="1:9" ht="15.6" customHeight="1" x14ac:dyDescent="0.25">
      <c r="A26" s="13">
        <v>22</v>
      </c>
      <c r="B26" s="14" t="s">
        <v>2201</v>
      </c>
      <c r="C26" s="14" t="s">
        <v>2202</v>
      </c>
      <c r="D26" s="46" t="s">
        <v>270</v>
      </c>
      <c r="E26" s="47" t="s">
        <v>270</v>
      </c>
      <c r="F26" s="15">
        <v>0</v>
      </c>
      <c r="G26" s="19"/>
      <c r="H26" s="19"/>
      <c r="I26" s="37" t="e">
        <f t="shared" si="0"/>
        <v>#DIV/0!</v>
      </c>
    </row>
    <row r="27" spans="1:9" ht="15.6" customHeight="1" x14ac:dyDescent="0.25">
      <c r="A27" s="13">
        <v>23</v>
      </c>
      <c r="B27" s="14" t="s">
        <v>2203</v>
      </c>
      <c r="C27" s="14" t="s">
        <v>2204</v>
      </c>
      <c r="D27" s="46" t="s">
        <v>270</v>
      </c>
      <c r="E27" s="47" t="s">
        <v>270</v>
      </c>
      <c r="F27" s="15">
        <v>0</v>
      </c>
      <c r="G27" s="19"/>
      <c r="H27" s="19"/>
      <c r="I27" s="37" t="e">
        <f t="shared" ref="I27:I40" si="1">H27/F27</f>
        <v>#DIV/0!</v>
      </c>
    </row>
    <row r="28" spans="1:9" ht="15.6" customHeight="1" x14ac:dyDescent="0.25">
      <c r="A28" s="13">
        <v>24</v>
      </c>
      <c r="B28" s="14" t="s">
        <v>2205</v>
      </c>
      <c r="C28" s="14" t="s">
        <v>2206</v>
      </c>
      <c r="D28" s="46" t="s">
        <v>270</v>
      </c>
      <c r="E28" s="47" t="s">
        <v>270</v>
      </c>
      <c r="F28" s="15">
        <v>0</v>
      </c>
      <c r="G28" s="19"/>
      <c r="H28" s="19"/>
      <c r="I28" s="37" t="e">
        <f t="shared" si="1"/>
        <v>#DIV/0!</v>
      </c>
    </row>
    <row r="29" spans="1:9" ht="15.6" customHeight="1" x14ac:dyDescent="0.25">
      <c r="A29" s="13">
        <v>25</v>
      </c>
      <c r="B29" s="14" t="s">
        <v>2207</v>
      </c>
      <c r="C29" s="14" t="s">
        <v>2208</v>
      </c>
      <c r="D29" s="46" t="s">
        <v>270</v>
      </c>
      <c r="E29" s="47" t="s">
        <v>270</v>
      </c>
      <c r="F29" s="15">
        <v>0</v>
      </c>
      <c r="G29" s="19"/>
      <c r="H29" s="19"/>
      <c r="I29" s="37" t="e">
        <f t="shared" si="1"/>
        <v>#DIV/0!</v>
      </c>
    </row>
    <row r="30" spans="1:9" ht="15.6" customHeight="1" x14ac:dyDescent="0.25">
      <c r="A30" s="13">
        <v>26</v>
      </c>
      <c r="B30" s="14" t="s">
        <v>2209</v>
      </c>
      <c r="C30" s="14" t="s">
        <v>2210</v>
      </c>
      <c r="D30" s="46" t="s">
        <v>270</v>
      </c>
      <c r="E30" s="47" t="s">
        <v>270</v>
      </c>
      <c r="F30" s="15">
        <v>0</v>
      </c>
      <c r="G30" s="19"/>
      <c r="H30" s="19"/>
      <c r="I30" s="37" t="e">
        <f t="shared" si="1"/>
        <v>#DIV/0!</v>
      </c>
    </row>
    <row r="31" spans="1:9" ht="15.6" customHeight="1" x14ac:dyDescent="0.25">
      <c r="A31" s="13">
        <v>27</v>
      </c>
      <c r="B31" s="14" t="s">
        <v>2211</v>
      </c>
      <c r="C31" s="14" t="s">
        <v>2212</v>
      </c>
      <c r="D31" s="46" t="s">
        <v>270</v>
      </c>
      <c r="E31" s="47" t="s">
        <v>270</v>
      </c>
      <c r="F31" s="15">
        <v>0</v>
      </c>
      <c r="G31" s="19"/>
      <c r="H31" s="19"/>
      <c r="I31" s="37" t="e">
        <f t="shared" si="1"/>
        <v>#DIV/0!</v>
      </c>
    </row>
    <row r="32" spans="1:9" ht="15.6" customHeight="1" x14ac:dyDescent="0.25">
      <c r="A32" s="13">
        <v>28</v>
      </c>
      <c r="B32" s="14" t="s">
        <v>2213</v>
      </c>
      <c r="C32" s="14" t="s">
        <v>2214</v>
      </c>
      <c r="D32" s="46" t="s">
        <v>270</v>
      </c>
      <c r="E32" s="47" t="s">
        <v>270</v>
      </c>
      <c r="F32" s="15">
        <v>0</v>
      </c>
      <c r="G32" s="19"/>
      <c r="H32" s="19"/>
      <c r="I32" s="37" t="e">
        <f t="shared" si="1"/>
        <v>#DIV/0!</v>
      </c>
    </row>
    <row r="33" spans="1:9" ht="15.6" customHeight="1" x14ac:dyDescent="0.25">
      <c r="A33" s="13">
        <v>29</v>
      </c>
      <c r="B33" s="14" t="s">
        <v>2215</v>
      </c>
      <c r="C33" s="14" t="s">
        <v>2216</v>
      </c>
      <c r="D33" s="46" t="s">
        <v>270</v>
      </c>
      <c r="E33" s="47" t="s">
        <v>270</v>
      </c>
      <c r="F33" s="15">
        <v>0</v>
      </c>
      <c r="G33" s="19"/>
      <c r="H33" s="19"/>
      <c r="I33" s="37" t="e">
        <f t="shared" si="1"/>
        <v>#DIV/0!</v>
      </c>
    </row>
    <row r="34" spans="1:9" ht="15.6" customHeight="1" x14ac:dyDescent="0.25">
      <c r="A34" s="13">
        <v>30</v>
      </c>
      <c r="B34" s="14" t="s">
        <v>2217</v>
      </c>
      <c r="C34" s="14" t="s">
        <v>2218</v>
      </c>
      <c r="D34" s="46" t="s">
        <v>270</v>
      </c>
      <c r="E34" s="47" t="s">
        <v>270</v>
      </c>
      <c r="F34" s="15">
        <v>0</v>
      </c>
      <c r="G34" s="19"/>
      <c r="H34" s="19"/>
      <c r="I34" s="37" t="e">
        <f t="shared" si="1"/>
        <v>#DIV/0!</v>
      </c>
    </row>
    <row r="35" spans="1:9" ht="15.6" customHeight="1" x14ac:dyDescent="0.25">
      <c r="A35" s="13">
        <v>31</v>
      </c>
      <c r="B35" s="14" t="s">
        <v>2219</v>
      </c>
      <c r="C35" s="14" t="s">
        <v>2220</v>
      </c>
      <c r="D35" s="46" t="s">
        <v>270</v>
      </c>
      <c r="E35" s="47" t="s">
        <v>270</v>
      </c>
      <c r="F35" s="15">
        <v>0</v>
      </c>
      <c r="G35" s="19"/>
      <c r="H35" s="19"/>
      <c r="I35" s="37" t="e">
        <f t="shared" si="1"/>
        <v>#DIV/0!</v>
      </c>
    </row>
    <row r="36" spans="1:9" ht="15.6" customHeight="1" x14ac:dyDescent="0.25">
      <c r="A36" s="13">
        <v>32</v>
      </c>
      <c r="B36" s="14" t="s">
        <v>2221</v>
      </c>
      <c r="C36" s="14" t="s">
        <v>2222</v>
      </c>
      <c r="D36" s="46" t="s">
        <v>270</v>
      </c>
      <c r="E36" s="47" t="s">
        <v>270</v>
      </c>
      <c r="F36" s="15">
        <v>0</v>
      </c>
      <c r="G36" s="19"/>
      <c r="H36" s="19"/>
      <c r="I36" s="37" t="e">
        <f t="shared" si="1"/>
        <v>#DIV/0!</v>
      </c>
    </row>
    <row r="37" spans="1:9" ht="15.6" customHeight="1" x14ac:dyDescent="0.25">
      <c r="A37" s="13">
        <v>33</v>
      </c>
      <c r="B37" s="14" t="s">
        <v>2223</v>
      </c>
      <c r="C37" s="14" t="s">
        <v>2224</v>
      </c>
      <c r="D37" s="46" t="s">
        <v>270</v>
      </c>
      <c r="E37" s="47" t="s">
        <v>270</v>
      </c>
      <c r="F37" s="15">
        <v>0</v>
      </c>
      <c r="G37" s="19"/>
      <c r="H37" s="19"/>
      <c r="I37" s="37" t="e">
        <f t="shared" si="1"/>
        <v>#DIV/0!</v>
      </c>
    </row>
    <row r="38" spans="1:9" ht="15.6" customHeight="1" x14ac:dyDescent="0.25">
      <c r="A38" s="13">
        <v>34</v>
      </c>
      <c r="B38" s="14" t="s">
        <v>2225</v>
      </c>
      <c r="C38" s="14" t="s">
        <v>2226</v>
      </c>
      <c r="D38" s="46" t="s">
        <v>270</v>
      </c>
      <c r="E38" s="47" t="s">
        <v>270</v>
      </c>
      <c r="F38" s="15">
        <v>0</v>
      </c>
      <c r="G38" s="19"/>
      <c r="H38" s="19"/>
      <c r="I38" s="37" t="e">
        <f t="shared" si="1"/>
        <v>#DIV/0!</v>
      </c>
    </row>
    <row r="39" spans="1:9" ht="15.6" customHeight="1" x14ac:dyDescent="0.25">
      <c r="A39" s="13">
        <v>35</v>
      </c>
      <c r="B39" s="14" t="s">
        <v>2227</v>
      </c>
      <c r="C39" s="14" t="s">
        <v>2228</v>
      </c>
      <c r="D39" s="46" t="s">
        <v>270</v>
      </c>
      <c r="E39" s="47" t="s">
        <v>270</v>
      </c>
      <c r="F39" s="15">
        <v>0</v>
      </c>
      <c r="G39" s="19"/>
      <c r="H39" s="19"/>
      <c r="I39" s="37" t="e">
        <f t="shared" si="1"/>
        <v>#DIV/0!</v>
      </c>
    </row>
    <row r="40" spans="1:9" ht="15.6" customHeight="1" x14ac:dyDescent="0.25">
      <c r="A40" s="13">
        <v>36</v>
      </c>
      <c r="B40" s="14" t="s">
        <v>2229</v>
      </c>
      <c r="C40" s="14" t="s">
        <v>2230</v>
      </c>
      <c r="D40" s="46" t="s">
        <v>270</v>
      </c>
      <c r="E40" s="47" t="s">
        <v>270</v>
      </c>
      <c r="F40" s="15">
        <v>0</v>
      </c>
      <c r="G40" s="19"/>
      <c r="H40" s="19"/>
      <c r="I40" s="37" t="e">
        <f t="shared" si="1"/>
        <v>#DIV/0!</v>
      </c>
    </row>
    <row r="41" spans="1:9" ht="15.6" customHeight="1" x14ac:dyDescent="0.25">
      <c r="A41" s="13">
        <v>37</v>
      </c>
      <c r="B41" s="14" t="s">
        <v>2231</v>
      </c>
      <c r="C41" s="14" t="s">
        <v>2232</v>
      </c>
      <c r="D41" s="46" t="s">
        <v>270</v>
      </c>
      <c r="E41" s="47" t="s">
        <v>270</v>
      </c>
      <c r="F41" s="15">
        <v>0</v>
      </c>
      <c r="G41" s="19"/>
      <c r="H41" s="19"/>
      <c r="I41" s="37" t="e">
        <f>H41/F41</f>
        <v>#DIV/0!</v>
      </c>
    </row>
    <row r="42" spans="1:9" ht="16.8" customHeight="1" x14ac:dyDescent="0.25">
      <c r="A42" s="39" t="s">
        <v>1769</v>
      </c>
      <c r="B42" s="39"/>
      <c r="C42" s="39"/>
      <c r="D42" s="39" t="s">
        <v>2233</v>
      </c>
      <c r="E42" s="39"/>
      <c r="F42" s="12">
        <f>SUM(F5:F41)</f>
        <v>179</v>
      </c>
      <c r="G42" s="20"/>
      <c r="H42" s="12">
        <f>SUM(H5:H41)</f>
        <v>0</v>
      </c>
      <c r="I42" s="38">
        <f>H42/F42</f>
        <v>0</v>
      </c>
    </row>
  </sheetData>
  <mergeCells count="45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A42:C42"/>
    <mergeCell ref="D42:E42"/>
    <mergeCell ref="D32:E32"/>
    <mergeCell ref="D33:E33"/>
    <mergeCell ref="D34:E34"/>
    <mergeCell ref="D23:E23"/>
    <mergeCell ref="D24:E24"/>
    <mergeCell ref="D25:E25"/>
    <mergeCell ref="D26:E26"/>
    <mergeCell ref="D41:E41"/>
    <mergeCell ref="D40:E40"/>
    <mergeCell ref="D27:E27"/>
    <mergeCell ref="D28:E28"/>
    <mergeCell ref="D29:E29"/>
    <mergeCell ref="D30:E30"/>
    <mergeCell ref="D31:E31"/>
    <mergeCell ref="D35:E35"/>
    <mergeCell ref="D36:E36"/>
    <mergeCell ref="D37:E37"/>
    <mergeCell ref="D38:E38"/>
    <mergeCell ref="D39:E3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32E6-9128-4679-B002-79C48CF38CCC}">
  <sheetPr codeName="Sheet36"/>
  <dimension ref="A1:I24"/>
  <sheetViews>
    <sheetView zoomScaleNormal="100" workbookViewId="0">
      <selection activeCell="C45" sqref="C45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2237</v>
      </c>
      <c r="C5" s="14" t="s">
        <v>2238</v>
      </c>
      <c r="D5" s="46" t="s">
        <v>119</v>
      </c>
      <c r="E5" s="47" t="s">
        <v>119</v>
      </c>
      <c r="F5" s="15">
        <v>4.2</v>
      </c>
      <c r="G5" s="19"/>
      <c r="H5" s="19"/>
      <c r="I5" s="37">
        <f t="shared" ref="I5:I17" si="0">H5/F5</f>
        <v>0</v>
      </c>
    </row>
    <row r="6" spans="1:9" ht="15.6" customHeight="1" x14ac:dyDescent="0.25">
      <c r="A6" s="13">
        <v>2</v>
      </c>
      <c r="B6" s="14" t="s">
        <v>2239</v>
      </c>
      <c r="C6" s="14" t="s">
        <v>2240</v>
      </c>
      <c r="D6" s="46" t="s">
        <v>2241</v>
      </c>
      <c r="E6" s="47" t="s">
        <v>2241</v>
      </c>
      <c r="F6" s="15">
        <v>4.5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2242</v>
      </c>
      <c r="C7" s="14" t="s">
        <v>2243</v>
      </c>
      <c r="D7" s="46" t="s">
        <v>2241</v>
      </c>
      <c r="E7" s="47" t="s">
        <v>2241</v>
      </c>
      <c r="F7" s="15">
        <v>2.4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2244</v>
      </c>
      <c r="C8" s="14" t="s">
        <v>2245</v>
      </c>
      <c r="D8" s="46" t="s">
        <v>2241</v>
      </c>
      <c r="E8" s="47" t="s">
        <v>2241</v>
      </c>
      <c r="F8" s="15">
        <v>1.9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2246</v>
      </c>
      <c r="C9" s="14" t="s">
        <v>2247</v>
      </c>
      <c r="D9" s="46" t="s">
        <v>2241</v>
      </c>
      <c r="E9" s="47" t="s">
        <v>2241</v>
      </c>
      <c r="F9" s="15">
        <v>3.1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2248</v>
      </c>
      <c r="C10" s="14" t="s">
        <v>2249</v>
      </c>
      <c r="D10" s="46" t="s">
        <v>699</v>
      </c>
      <c r="E10" s="47" t="s">
        <v>699</v>
      </c>
      <c r="F10" s="15">
        <v>4.2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2250</v>
      </c>
      <c r="C11" s="14" t="s">
        <v>2251</v>
      </c>
      <c r="D11" s="46" t="s">
        <v>699</v>
      </c>
      <c r="E11" s="47" t="s">
        <v>699</v>
      </c>
      <c r="F11" s="15">
        <v>3.6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2252</v>
      </c>
      <c r="C12" s="14" t="s">
        <v>2253</v>
      </c>
      <c r="D12" s="46" t="s">
        <v>699</v>
      </c>
      <c r="E12" s="47" t="s">
        <v>699</v>
      </c>
      <c r="F12" s="15">
        <v>2.4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2254</v>
      </c>
      <c r="C13" s="14" t="s">
        <v>2255</v>
      </c>
      <c r="D13" s="46" t="s">
        <v>699</v>
      </c>
      <c r="E13" s="47" t="s">
        <v>699</v>
      </c>
      <c r="F13" s="15">
        <v>3.1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2256</v>
      </c>
      <c r="C14" s="14" t="s">
        <v>1183</v>
      </c>
      <c r="D14" s="46" t="s">
        <v>699</v>
      </c>
      <c r="E14" s="47" t="s">
        <v>699</v>
      </c>
      <c r="F14" s="15">
        <v>2.7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2257</v>
      </c>
      <c r="C15" s="14" t="s">
        <v>2258</v>
      </c>
      <c r="D15" s="46" t="s">
        <v>119</v>
      </c>
      <c r="E15" s="47" t="s">
        <v>119</v>
      </c>
      <c r="F15" s="15">
        <v>1.1000000000000001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2259</v>
      </c>
      <c r="C16" s="14" t="s">
        <v>2260</v>
      </c>
      <c r="D16" s="46" t="s">
        <v>992</v>
      </c>
      <c r="E16" s="47" t="s">
        <v>992</v>
      </c>
      <c r="F16" s="15">
        <v>1.6</v>
      </c>
      <c r="G16" s="15"/>
      <c r="H16" s="15"/>
      <c r="I16" s="37">
        <f t="shared" si="0"/>
        <v>0</v>
      </c>
    </row>
    <row r="17" spans="1:9" ht="16.8" customHeight="1" x14ac:dyDescent="0.25">
      <c r="A17" s="39" t="s">
        <v>1769</v>
      </c>
      <c r="B17" s="39"/>
      <c r="C17" s="39"/>
      <c r="D17" s="39" t="s">
        <v>2261</v>
      </c>
      <c r="E17" s="39"/>
      <c r="F17" s="12">
        <f>SUM(F5:F16)</f>
        <v>34.800000000000004</v>
      </c>
      <c r="G17" s="20"/>
      <c r="H17" s="12">
        <f>SUM(H5:H16)</f>
        <v>0</v>
      </c>
      <c r="I17" s="38">
        <f t="shared" si="0"/>
        <v>0</v>
      </c>
    </row>
    <row r="19" spans="1:9" ht="15" x14ac:dyDescent="0.25">
      <c r="A19" s="17" t="s">
        <v>1766</v>
      </c>
    </row>
    <row r="21" spans="1:9" s="18" customFormat="1" ht="17.399999999999999" customHeight="1" x14ac:dyDescent="0.25">
      <c r="A21" s="39" t="s">
        <v>0</v>
      </c>
      <c r="B21" s="41" t="s">
        <v>1761</v>
      </c>
      <c r="C21" s="41"/>
      <c r="D21" s="42" t="s">
        <v>1763</v>
      </c>
      <c r="E21" s="43"/>
      <c r="F21" s="41" t="s">
        <v>1768</v>
      </c>
      <c r="G21" s="40" t="s">
        <v>1772</v>
      </c>
      <c r="H21" s="39" t="s">
        <v>1773</v>
      </c>
      <c r="I21" s="39"/>
    </row>
    <row r="22" spans="1:9" s="18" customFormat="1" ht="17.399999999999999" customHeight="1" x14ac:dyDescent="0.25">
      <c r="A22" s="39"/>
      <c r="B22" s="11" t="s">
        <v>1</v>
      </c>
      <c r="C22" s="11" t="s">
        <v>1762</v>
      </c>
      <c r="D22" s="44"/>
      <c r="E22" s="45"/>
      <c r="F22" s="41"/>
      <c r="G22" s="40"/>
      <c r="H22" s="11" t="s">
        <v>1774</v>
      </c>
      <c r="I22" s="11" t="s">
        <v>1775</v>
      </c>
    </row>
    <row r="23" spans="1:9" ht="16.2" customHeight="1" x14ac:dyDescent="0.25">
      <c r="A23" s="8">
        <v>1</v>
      </c>
      <c r="B23" s="9" t="s">
        <v>2234</v>
      </c>
      <c r="C23" s="22" t="s">
        <v>2235</v>
      </c>
      <c r="D23" s="48" t="s">
        <v>2236</v>
      </c>
      <c r="E23" s="49" t="s">
        <v>2236</v>
      </c>
      <c r="F23" s="10">
        <v>107</v>
      </c>
      <c r="G23" s="19"/>
      <c r="H23" s="19"/>
      <c r="I23" s="37">
        <f>H23/F23</f>
        <v>0</v>
      </c>
    </row>
    <row r="24" spans="1:9" ht="16.8" customHeight="1" x14ac:dyDescent="0.25">
      <c r="A24" s="39" t="s">
        <v>1769</v>
      </c>
      <c r="B24" s="39"/>
      <c r="C24" s="39"/>
      <c r="D24" s="39" t="s">
        <v>2050</v>
      </c>
      <c r="E24" s="39"/>
      <c r="F24" s="12">
        <f>SUM(F23:F23)</f>
        <v>107</v>
      </c>
      <c r="G24" s="20"/>
      <c r="H24" s="12">
        <f>SUM(H23:H23)</f>
        <v>0</v>
      </c>
      <c r="I24" s="38">
        <f>H24/F24</f>
        <v>0</v>
      </c>
    </row>
  </sheetData>
  <mergeCells count="29">
    <mergeCell ref="H3:I3"/>
    <mergeCell ref="A3:A4"/>
    <mergeCell ref="B3:C3"/>
    <mergeCell ref="D3:E4"/>
    <mergeCell ref="F3:F4"/>
    <mergeCell ref="G3:G4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F21:F22"/>
    <mergeCell ref="G21:G22"/>
    <mergeCell ref="H21:I21"/>
    <mergeCell ref="A17:C17"/>
    <mergeCell ref="D17:E17"/>
    <mergeCell ref="D23:E23"/>
    <mergeCell ref="A24:C24"/>
    <mergeCell ref="D24:E24"/>
    <mergeCell ref="A21:A22"/>
    <mergeCell ref="B21:C21"/>
    <mergeCell ref="D21:E22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E48B-599A-487A-81D7-81A39930C54D}">
  <sheetPr codeName="Sheet37"/>
  <dimension ref="A1:I48"/>
  <sheetViews>
    <sheetView topLeftCell="A13" zoomScaleNormal="100" workbookViewId="0">
      <selection activeCell="K9" sqref="K9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2265</v>
      </c>
      <c r="C5" s="14" t="s">
        <v>2266</v>
      </c>
      <c r="D5" s="46" t="s">
        <v>2267</v>
      </c>
      <c r="E5" s="47" t="s">
        <v>2267</v>
      </c>
      <c r="F5" s="15">
        <v>80.8</v>
      </c>
      <c r="G5" s="19"/>
      <c r="H5" s="19"/>
      <c r="I5" s="37">
        <f t="shared" ref="I5:I25" si="0">H5/F5</f>
        <v>0</v>
      </c>
    </row>
    <row r="6" spans="1:9" ht="15.6" customHeight="1" x14ac:dyDescent="0.25">
      <c r="A6" s="13">
        <v>2</v>
      </c>
      <c r="B6" s="14" t="s">
        <v>2268</v>
      </c>
      <c r="C6" s="14" t="s">
        <v>2266</v>
      </c>
      <c r="D6" s="46" t="s">
        <v>2269</v>
      </c>
      <c r="E6" s="47" t="s">
        <v>2269</v>
      </c>
      <c r="F6" s="15">
        <v>27</v>
      </c>
      <c r="G6" s="15"/>
      <c r="H6" s="15"/>
      <c r="I6" s="37">
        <f t="shared" si="0"/>
        <v>0</v>
      </c>
    </row>
    <row r="7" spans="1:9" ht="15.6" customHeight="1" x14ac:dyDescent="0.25">
      <c r="A7" s="13">
        <v>3</v>
      </c>
      <c r="B7" s="14" t="s">
        <v>2270</v>
      </c>
      <c r="C7" s="14" t="s">
        <v>2271</v>
      </c>
      <c r="D7" s="46" t="s">
        <v>2272</v>
      </c>
      <c r="E7" s="47" t="s">
        <v>2272</v>
      </c>
      <c r="F7" s="15">
        <v>1.1000000000000001</v>
      </c>
      <c r="G7" s="19"/>
      <c r="H7" s="19"/>
      <c r="I7" s="37">
        <f t="shared" si="0"/>
        <v>0</v>
      </c>
    </row>
    <row r="8" spans="1:9" ht="15.6" customHeight="1" x14ac:dyDescent="0.25">
      <c r="A8" s="13">
        <v>4</v>
      </c>
      <c r="B8" s="14" t="s">
        <v>2273</v>
      </c>
      <c r="C8" s="14" t="s">
        <v>2274</v>
      </c>
      <c r="D8" s="46" t="s">
        <v>119</v>
      </c>
      <c r="E8" s="47" t="s">
        <v>119</v>
      </c>
      <c r="F8" s="15">
        <v>3.2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2275</v>
      </c>
      <c r="C9" s="14" t="s">
        <v>2276</v>
      </c>
      <c r="D9" s="46" t="s">
        <v>2277</v>
      </c>
      <c r="E9" s="47" t="s">
        <v>2277</v>
      </c>
      <c r="F9" s="15">
        <v>8</v>
      </c>
      <c r="G9" s="15"/>
      <c r="H9" s="15"/>
      <c r="I9" s="37">
        <f t="shared" si="0"/>
        <v>0</v>
      </c>
    </row>
    <row r="10" spans="1:9" ht="15.6" customHeight="1" x14ac:dyDescent="0.25">
      <c r="A10" s="13">
        <v>6</v>
      </c>
      <c r="B10" s="14" t="s">
        <v>2278</v>
      </c>
      <c r="C10" s="14" t="s">
        <v>2279</v>
      </c>
      <c r="D10" s="46" t="s">
        <v>119</v>
      </c>
      <c r="E10" s="47" t="s">
        <v>119</v>
      </c>
      <c r="F10" s="15">
        <v>6.6</v>
      </c>
      <c r="G10" s="19"/>
      <c r="H10" s="19"/>
      <c r="I10" s="37">
        <f t="shared" si="0"/>
        <v>0</v>
      </c>
    </row>
    <row r="11" spans="1:9" ht="15.6" customHeight="1" x14ac:dyDescent="0.25">
      <c r="A11" s="13">
        <v>7</v>
      </c>
      <c r="B11" s="14" t="s">
        <v>2280</v>
      </c>
      <c r="C11" s="14" t="s">
        <v>2281</v>
      </c>
      <c r="D11" s="46" t="s">
        <v>119</v>
      </c>
      <c r="E11" s="47" t="s">
        <v>119</v>
      </c>
      <c r="F11" s="15">
        <v>1.5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2282</v>
      </c>
      <c r="C12" s="14" t="s">
        <v>2283</v>
      </c>
      <c r="D12" s="46" t="s">
        <v>2284</v>
      </c>
      <c r="E12" s="47" t="s">
        <v>2284</v>
      </c>
      <c r="F12" s="15">
        <v>7.5</v>
      </c>
      <c r="G12" s="15"/>
      <c r="H12" s="15"/>
      <c r="I12" s="37">
        <f t="shared" si="0"/>
        <v>0</v>
      </c>
    </row>
    <row r="13" spans="1:9" ht="15.6" customHeight="1" x14ac:dyDescent="0.25">
      <c r="A13" s="13">
        <v>9</v>
      </c>
      <c r="B13" s="14" t="s">
        <v>2285</v>
      </c>
      <c r="C13" s="14" t="s">
        <v>2286</v>
      </c>
      <c r="D13" s="46" t="s">
        <v>2287</v>
      </c>
      <c r="E13" s="47" t="s">
        <v>2287</v>
      </c>
      <c r="F13" s="15">
        <v>12</v>
      </c>
      <c r="G13" s="19"/>
      <c r="H13" s="19"/>
      <c r="I13" s="37">
        <f t="shared" si="0"/>
        <v>0</v>
      </c>
    </row>
    <row r="14" spans="1:9" ht="15.6" customHeight="1" x14ac:dyDescent="0.25">
      <c r="A14" s="13">
        <v>10</v>
      </c>
      <c r="B14" s="14" t="s">
        <v>2288</v>
      </c>
      <c r="C14" s="14" t="s">
        <v>2289</v>
      </c>
      <c r="D14" s="46" t="s">
        <v>2287</v>
      </c>
      <c r="E14" s="47" t="s">
        <v>2287</v>
      </c>
      <c r="F14" s="15">
        <v>5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2290</v>
      </c>
      <c r="C15" s="14" t="s">
        <v>2291</v>
      </c>
      <c r="D15" s="46" t="s">
        <v>2277</v>
      </c>
      <c r="E15" s="47" t="s">
        <v>2277</v>
      </c>
      <c r="F15" s="15">
        <v>3</v>
      </c>
      <c r="G15" s="15"/>
      <c r="H15" s="15"/>
      <c r="I15" s="37">
        <f t="shared" si="0"/>
        <v>0</v>
      </c>
    </row>
    <row r="16" spans="1:9" ht="15.6" customHeight="1" x14ac:dyDescent="0.25">
      <c r="A16" s="13">
        <v>12</v>
      </c>
      <c r="B16" s="14" t="s">
        <v>2292</v>
      </c>
      <c r="C16" s="14" t="s">
        <v>2293</v>
      </c>
      <c r="D16" s="46" t="s">
        <v>2287</v>
      </c>
      <c r="E16" s="47" t="s">
        <v>2287</v>
      </c>
      <c r="F16" s="15">
        <v>4</v>
      </c>
      <c r="G16" s="19"/>
      <c r="H16" s="19"/>
      <c r="I16" s="37">
        <f t="shared" si="0"/>
        <v>0</v>
      </c>
    </row>
    <row r="17" spans="1:9" ht="15.6" customHeight="1" x14ac:dyDescent="0.25">
      <c r="A17" s="13">
        <v>13</v>
      </c>
      <c r="B17" s="14" t="s">
        <v>2294</v>
      </c>
      <c r="C17" s="14" t="s">
        <v>2295</v>
      </c>
      <c r="D17" s="46" t="s">
        <v>2296</v>
      </c>
      <c r="E17" s="47" t="s">
        <v>2296</v>
      </c>
      <c r="F17" s="15">
        <v>4.2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4" t="s">
        <v>2297</v>
      </c>
      <c r="C18" s="14" t="s">
        <v>2298</v>
      </c>
      <c r="D18" s="46" t="s">
        <v>2299</v>
      </c>
      <c r="E18" s="47" t="s">
        <v>2299</v>
      </c>
      <c r="F18" s="15">
        <v>11</v>
      </c>
      <c r="G18" s="15"/>
      <c r="H18" s="15"/>
      <c r="I18" s="37">
        <f t="shared" si="0"/>
        <v>0</v>
      </c>
    </row>
    <row r="19" spans="1:9" ht="15.6" customHeight="1" x14ac:dyDescent="0.25">
      <c r="A19" s="13">
        <v>15</v>
      </c>
      <c r="B19" s="14" t="s">
        <v>2300</v>
      </c>
      <c r="C19" s="14" t="s">
        <v>2301</v>
      </c>
      <c r="D19" s="46" t="s">
        <v>2277</v>
      </c>
      <c r="E19" s="47" t="s">
        <v>2277</v>
      </c>
      <c r="F19" s="15">
        <v>1.5</v>
      </c>
      <c r="G19" s="19"/>
      <c r="H19" s="19"/>
      <c r="I19" s="37">
        <f t="shared" si="0"/>
        <v>0</v>
      </c>
    </row>
    <row r="20" spans="1:9" ht="15.6" customHeight="1" x14ac:dyDescent="0.25">
      <c r="A20" s="13">
        <v>16</v>
      </c>
      <c r="B20" s="14" t="s">
        <v>2302</v>
      </c>
      <c r="C20" s="14" t="s">
        <v>2303</v>
      </c>
      <c r="D20" s="46" t="s">
        <v>2304</v>
      </c>
      <c r="E20" s="47" t="s">
        <v>2304</v>
      </c>
      <c r="F20" s="15">
        <v>2.2000000000000002</v>
      </c>
      <c r="G20" s="19"/>
      <c r="H20" s="19"/>
      <c r="I20" s="37">
        <f t="shared" si="0"/>
        <v>0</v>
      </c>
    </row>
    <row r="21" spans="1:9" ht="15.6" customHeight="1" x14ac:dyDescent="0.25">
      <c r="A21" s="13">
        <v>17</v>
      </c>
      <c r="B21" s="14" t="s">
        <v>2305</v>
      </c>
      <c r="C21" s="14" t="s">
        <v>2306</v>
      </c>
      <c r="D21" s="46" t="s">
        <v>2307</v>
      </c>
      <c r="E21" s="47" t="s">
        <v>2307</v>
      </c>
      <c r="F21" s="15">
        <v>4</v>
      </c>
      <c r="G21" s="15"/>
      <c r="H21" s="15"/>
      <c r="I21" s="37">
        <f t="shared" si="0"/>
        <v>0</v>
      </c>
    </row>
    <row r="22" spans="1:9" ht="15.6" customHeight="1" x14ac:dyDescent="0.25">
      <c r="A22" s="13">
        <v>18</v>
      </c>
      <c r="B22" s="14" t="s">
        <v>2308</v>
      </c>
      <c r="C22" s="14" t="s">
        <v>2309</v>
      </c>
      <c r="D22" s="46" t="s">
        <v>2310</v>
      </c>
      <c r="E22" s="47" t="s">
        <v>2310</v>
      </c>
      <c r="F22" s="15">
        <v>4</v>
      </c>
      <c r="G22" s="19"/>
      <c r="H22" s="19"/>
      <c r="I22" s="37">
        <f t="shared" si="0"/>
        <v>0</v>
      </c>
    </row>
    <row r="23" spans="1:9" ht="15.6" customHeight="1" x14ac:dyDescent="0.25">
      <c r="A23" s="13">
        <v>19</v>
      </c>
      <c r="B23" s="14" t="s">
        <v>2311</v>
      </c>
      <c r="C23" s="14" t="s">
        <v>2312</v>
      </c>
      <c r="D23" s="46" t="s">
        <v>2313</v>
      </c>
      <c r="E23" s="47" t="s">
        <v>2313</v>
      </c>
      <c r="F23" s="15">
        <v>3.5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4" t="s">
        <v>2314</v>
      </c>
      <c r="C24" s="14" t="s">
        <v>2315</v>
      </c>
      <c r="D24" s="46" t="s">
        <v>2316</v>
      </c>
      <c r="E24" s="47" t="s">
        <v>2316</v>
      </c>
      <c r="F24" s="15">
        <v>2.7</v>
      </c>
      <c r="G24" s="15"/>
      <c r="H24" s="15"/>
      <c r="I24" s="37">
        <f t="shared" si="0"/>
        <v>0</v>
      </c>
    </row>
    <row r="25" spans="1:9" ht="15.6" customHeight="1" x14ac:dyDescent="0.25">
      <c r="A25" s="13">
        <v>21</v>
      </c>
      <c r="B25" s="14" t="s">
        <v>2317</v>
      </c>
      <c r="C25" s="14" t="s">
        <v>2318</v>
      </c>
      <c r="D25" s="46" t="s">
        <v>2316</v>
      </c>
      <c r="E25" s="47" t="s">
        <v>2316</v>
      </c>
      <c r="F25" s="15">
        <v>1.1000000000000001</v>
      </c>
      <c r="G25" s="19"/>
      <c r="H25" s="19"/>
      <c r="I25" s="37">
        <f t="shared" si="0"/>
        <v>0</v>
      </c>
    </row>
    <row r="26" spans="1:9" ht="15.6" customHeight="1" x14ac:dyDescent="0.25">
      <c r="A26" s="13">
        <v>22</v>
      </c>
      <c r="B26" s="14" t="s">
        <v>2319</v>
      </c>
      <c r="C26" s="14" t="s">
        <v>2320</v>
      </c>
      <c r="D26" s="46" t="s">
        <v>2321</v>
      </c>
      <c r="E26" s="47" t="s">
        <v>2321</v>
      </c>
      <c r="F26" s="15">
        <v>2.1</v>
      </c>
      <c r="G26" s="19"/>
      <c r="H26" s="19"/>
      <c r="I26" s="37">
        <f t="shared" ref="I26:I39" si="1">H26/F26</f>
        <v>0</v>
      </c>
    </row>
    <row r="27" spans="1:9" ht="15.6" customHeight="1" x14ac:dyDescent="0.25">
      <c r="A27" s="13">
        <v>23</v>
      </c>
      <c r="B27" s="14" t="s">
        <v>2322</v>
      </c>
      <c r="C27" s="14" t="s">
        <v>2323</v>
      </c>
      <c r="D27" s="46" t="s">
        <v>2321</v>
      </c>
      <c r="E27" s="47" t="s">
        <v>2321</v>
      </c>
      <c r="F27" s="15">
        <v>3.5</v>
      </c>
      <c r="G27" s="19"/>
      <c r="H27" s="19"/>
      <c r="I27" s="37">
        <f t="shared" si="1"/>
        <v>0</v>
      </c>
    </row>
    <row r="28" spans="1:9" ht="15.6" customHeight="1" x14ac:dyDescent="0.25">
      <c r="A28" s="13">
        <v>24</v>
      </c>
      <c r="B28" s="14" t="s">
        <v>2324</v>
      </c>
      <c r="C28" s="14" t="s">
        <v>2325</v>
      </c>
      <c r="D28" s="46" t="s">
        <v>2321</v>
      </c>
      <c r="E28" s="47" t="s">
        <v>2321</v>
      </c>
      <c r="F28" s="15">
        <v>2.6</v>
      </c>
      <c r="G28" s="19"/>
      <c r="H28" s="19"/>
      <c r="I28" s="37">
        <f t="shared" si="1"/>
        <v>0</v>
      </c>
    </row>
    <row r="29" spans="1:9" ht="15.6" customHeight="1" x14ac:dyDescent="0.25">
      <c r="A29" s="13">
        <v>25</v>
      </c>
      <c r="B29" s="14" t="s">
        <v>2326</v>
      </c>
      <c r="C29" s="14" t="s">
        <v>2327</v>
      </c>
      <c r="D29" s="46" t="s">
        <v>2328</v>
      </c>
      <c r="E29" s="47" t="s">
        <v>2328</v>
      </c>
      <c r="F29" s="15">
        <v>0.7</v>
      </c>
      <c r="G29" s="19"/>
      <c r="H29" s="19"/>
      <c r="I29" s="37">
        <f t="shared" si="1"/>
        <v>0</v>
      </c>
    </row>
    <row r="30" spans="1:9" ht="15.6" customHeight="1" x14ac:dyDescent="0.25">
      <c r="A30" s="13">
        <v>26</v>
      </c>
      <c r="B30" s="14" t="s">
        <v>2329</v>
      </c>
      <c r="C30" s="14" t="s">
        <v>2330</v>
      </c>
      <c r="D30" s="46" t="s">
        <v>2331</v>
      </c>
      <c r="E30" s="47" t="s">
        <v>2331</v>
      </c>
      <c r="F30" s="15">
        <v>1.4</v>
      </c>
      <c r="G30" s="19"/>
      <c r="H30" s="19"/>
      <c r="I30" s="37">
        <f t="shared" si="1"/>
        <v>0</v>
      </c>
    </row>
    <row r="31" spans="1:9" ht="15.6" customHeight="1" x14ac:dyDescent="0.25">
      <c r="A31" s="13">
        <v>27</v>
      </c>
      <c r="B31" s="14" t="s">
        <v>2332</v>
      </c>
      <c r="C31" s="14" t="s">
        <v>2333</v>
      </c>
      <c r="D31" s="46" t="s">
        <v>2331</v>
      </c>
      <c r="E31" s="47" t="s">
        <v>2331</v>
      </c>
      <c r="F31" s="15">
        <v>1.7</v>
      </c>
      <c r="G31" s="19"/>
      <c r="H31" s="19"/>
      <c r="I31" s="37">
        <f t="shared" si="1"/>
        <v>0</v>
      </c>
    </row>
    <row r="32" spans="1:9" ht="15.6" customHeight="1" x14ac:dyDescent="0.25">
      <c r="A32" s="13">
        <v>28</v>
      </c>
      <c r="B32" s="14" t="s">
        <v>2334</v>
      </c>
      <c r="C32" s="14" t="s">
        <v>2335</v>
      </c>
      <c r="D32" s="46" t="s">
        <v>2328</v>
      </c>
      <c r="E32" s="47" t="s">
        <v>2328</v>
      </c>
      <c r="F32" s="15">
        <v>0</v>
      </c>
      <c r="G32" s="19"/>
      <c r="H32" s="19"/>
      <c r="I32" s="37" t="e">
        <f t="shared" si="1"/>
        <v>#DIV/0!</v>
      </c>
    </row>
    <row r="33" spans="1:9" ht="15.6" customHeight="1" x14ac:dyDescent="0.25">
      <c r="A33" s="13">
        <v>29</v>
      </c>
      <c r="B33" s="14" t="s">
        <v>2336</v>
      </c>
      <c r="C33" s="14" t="s">
        <v>2337</v>
      </c>
      <c r="D33" s="46" t="s">
        <v>2331</v>
      </c>
      <c r="E33" s="47" t="s">
        <v>2331</v>
      </c>
      <c r="F33" s="15">
        <v>1.7</v>
      </c>
      <c r="G33" s="19"/>
      <c r="H33" s="19"/>
      <c r="I33" s="37">
        <f t="shared" si="1"/>
        <v>0</v>
      </c>
    </row>
    <row r="34" spans="1:9" ht="15.6" customHeight="1" x14ac:dyDescent="0.25">
      <c r="A34" s="13">
        <v>30</v>
      </c>
      <c r="B34" s="14" t="s">
        <v>2338</v>
      </c>
      <c r="C34" s="14" t="s">
        <v>2339</v>
      </c>
      <c r="D34" s="46" t="s">
        <v>2340</v>
      </c>
      <c r="E34" s="47" t="s">
        <v>2340</v>
      </c>
      <c r="F34" s="15">
        <v>2</v>
      </c>
      <c r="G34" s="19"/>
      <c r="H34" s="19"/>
      <c r="I34" s="37">
        <f t="shared" si="1"/>
        <v>0</v>
      </c>
    </row>
    <row r="35" spans="1:9" ht="15.6" customHeight="1" x14ac:dyDescent="0.25">
      <c r="A35" s="13">
        <v>31</v>
      </c>
      <c r="B35" s="14" t="s">
        <v>2341</v>
      </c>
      <c r="C35" s="14" t="s">
        <v>2342</v>
      </c>
      <c r="D35" s="46" t="s">
        <v>2340</v>
      </c>
      <c r="E35" s="47" t="s">
        <v>2340</v>
      </c>
      <c r="F35" s="15">
        <v>2.2000000000000002</v>
      </c>
      <c r="G35" s="19"/>
      <c r="H35" s="19"/>
      <c r="I35" s="37">
        <f t="shared" si="1"/>
        <v>0</v>
      </c>
    </row>
    <row r="36" spans="1:9" ht="15.6" customHeight="1" x14ac:dyDescent="0.25">
      <c r="A36" s="13">
        <v>32</v>
      </c>
      <c r="B36" s="14" t="s">
        <v>2343</v>
      </c>
      <c r="C36" s="14" t="s">
        <v>2344</v>
      </c>
      <c r="D36" s="46" t="s">
        <v>992</v>
      </c>
      <c r="E36" s="47" t="s">
        <v>992</v>
      </c>
      <c r="F36" s="15">
        <v>1</v>
      </c>
      <c r="G36" s="19"/>
      <c r="H36" s="19"/>
      <c r="I36" s="37">
        <f t="shared" si="1"/>
        <v>0</v>
      </c>
    </row>
    <row r="37" spans="1:9" ht="15.6" customHeight="1" x14ac:dyDescent="0.25">
      <c r="A37" s="13">
        <v>33</v>
      </c>
      <c r="B37" s="14" t="s">
        <v>2345</v>
      </c>
      <c r="C37" s="14" t="s">
        <v>2346</v>
      </c>
      <c r="D37" s="46" t="s">
        <v>2347</v>
      </c>
      <c r="E37" s="47" t="s">
        <v>2347</v>
      </c>
      <c r="F37" s="15">
        <v>2.2000000000000002</v>
      </c>
      <c r="G37" s="19"/>
      <c r="H37" s="19"/>
      <c r="I37" s="37">
        <f t="shared" si="1"/>
        <v>0</v>
      </c>
    </row>
    <row r="38" spans="1:9" ht="15.6" customHeight="1" x14ac:dyDescent="0.25">
      <c r="A38" s="13">
        <v>34</v>
      </c>
      <c r="B38" s="14" t="s">
        <v>2348</v>
      </c>
      <c r="C38" s="14" t="s">
        <v>2349</v>
      </c>
      <c r="D38" s="46" t="s">
        <v>2287</v>
      </c>
      <c r="E38" s="47" t="s">
        <v>2287</v>
      </c>
      <c r="F38" s="15">
        <v>6</v>
      </c>
      <c r="G38" s="19"/>
      <c r="H38" s="19"/>
      <c r="I38" s="37">
        <f t="shared" si="1"/>
        <v>0</v>
      </c>
    </row>
    <row r="39" spans="1:9" ht="15.6" customHeight="1" x14ac:dyDescent="0.25">
      <c r="A39" s="13">
        <v>35</v>
      </c>
      <c r="B39" s="14" t="s">
        <v>2350</v>
      </c>
      <c r="C39" s="14" t="s">
        <v>2351</v>
      </c>
      <c r="D39" s="46" t="s">
        <v>270</v>
      </c>
      <c r="E39" s="47" t="s">
        <v>270</v>
      </c>
      <c r="F39" s="15">
        <v>19</v>
      </c>
      <c r="G39" s="19"/>
      <c r="H39" s="19"/>
      <c r="I39" s="37">
        <f t="shared" si="1"/>
        <v>0</v>
      </c>
    </row>
    <row r="40" spans="1:9" ht="15.6" customHeight="1" x14ac:dyDescent="0.25">
      <c r="A40" s="13">
        <v>36</v>
      </c>
      <c r="B40" s="14" t="s">
        <v>2352</v>
      </c>
      <c r="C40" s="14" t="s">
        <v>2353</v>
      </c>
      <c r="D40" s="46" t="s">
        <v>2354</v>
      </c>
      <c r="E40" s="47" t="s">
        <v>2354</v>
      </c>
      <c r="F40" s="15">
        <v>4.5</v>
      </c>
      <c r="G40" s="19"/>
      <c r="H40" s="19"/>
      <c r="I40" s="37">
        <f>H40/F40</f>
        <v>0</v>
      </c>
    </row>
    <row r="41" spans="1:9" ht="16.8" customHeight="1" x14ac:dyDescent="0.25">
      <c r="A41" s="39" t="s">
        <v>1769</v>
      </c>
      <c r="B41" s="39"/>
      <c r="C41" s="39"/>
      <c r="D41" s="39" t="s">
        <v>2355</v>
      </c>
      <c r="E41" s="39"/>
      <c r="F41" s="12">
        <f>SUM(F5:F40)</f>
        <v>244.49999999999989</v>
      </c>
      <c r="G41" s="20"/>
      <c r="H41" s="12">
        <f>SUM(H5:H40)</f>
        <v>0</v>
      </c>
      <c r="I41" s="38">
        <f>H41/F41</f>
        <v>0</v>
      </c>
    </row>
    <row r="43" spans="1:9" ht="15" x14ac:dyDescent="0.25">
      <c r="A43" s="17" t="s">
        <v>1766</v>
      </c>
    </row>
    <row r="45" spans="1:9" s="18" customFormat="1" ht="17.399999999999999" customHeight="1" x14ac:dyDescent="0.25">
      <c r="A45" s="39" t="s">
        <v>0</v>
      </c>
      <c r="B45" s="41" t="s">
        <v>1761</v>
      </c>
      <c r="C45" s="41"/>
      <c r="D45" s="42" t="s">
        <v>1763</v>
      </c>
      <c r="E45" s="43"/>
      <c r="F45" s="41" t="s">
        <v>1768</v>
      </c>
      <c r="G45" s="40" t="s">
        <v>1772</v>
      </c>
      <c r="H45" s="39" t="s">
        <v>1773</v>
      </c>
      <c r="I45" s="39"/>
    </row>
    <row r="46" spans="1:9" s="18" customFormat="1" ht="17.399999999999999" customHeight="1" x14ac:dyDescent="0.25">
      <c r="A46" s="39"/>
      <c r="B46" s="11" t="s">
        <v>1</v>
      </c>
      <c r="C46" s="11" t="s">
        <v>1762</v>
      </c>
      <c r="D46" s="44"/>
      <c r="E46" s="45"/>
      <c r="F46" s="41"/>
      <c r="G46" s="40"/>
      <c r="H46" s="11" t="s">
        <v>1774</v>
      </c>
      <c r="I46" s="11" t="s">
        <v>1775</v>
      </c>
    </row>
    <row r="47" spans="1:9" ht="16.2" customHeight="1" x14ac:dyDescent="0.25">
      <c r="A47" s="8">
        <v>1</v>
      </c>
      <c r="B47" s="14" t="s">
        <v>2262</v>
      </c>
      <c r="C47" s="14" t="s">
        <v>2263</v>
      </c>
      <c r="D47" s="48" t="s">
        <v>2264</v>
      </c>
      <c r="E47" s="49"/>
      <c r="F47" s="10">
        <v>30.6</v>
      </c>
      <c r="G47" s="19"/>
      <c r="H47" s="19"/>
      <c r="I47" s="37">
        <f>H47/F47</f>
        <v>0</v>
      </c>
    </row>
    <row r="48" spans="1:9" ht="16.8" customHeight="1" x14ac:dyDescent="0.25">
      <c r="A48" s="39" t="s">
        <v>1769</v>
      </c>
      <c r="B48" s="39"/>
      <c r="C48" s="39"/>
      <c r="D48" s="39" t="s">
        <v>2356</v>
      </c>
      <c r="E48" s="39"/>
      <c r="F48" s="12">
        <f>SUM(F47:F47)</f>
        <v>30.6</v>
      </c>
      <c r="G48" s="20"/>
      <c r="H48" s="12">
        <f>SUM(H47:H47)</f>
        <v>0</v>
      </c>
      <c r="I48" s="38">
        <f>H48/F48</f>
        <v>0</v>
      </c>
    </row>
  </sheetData>
  <mergeCells count="53">
    <mergeCell ref="H3:I3"/>
    <mergeCell ref="A3:A4"/>
    <mergeCell ref="B3:C3"/>
    <mergeCell ref="D3:E4"/>
    <mergeCell ref="F3:F4"/>
    <mergeCell ref="G3:G4"/>
    <mergeCell ref="D5:E5"/>
    <mergeCell ref="D6:E6"/>
    <mergeCell ref="D7:E7"/>
    <mergeCell ref="D8:E8"/>
    <mergeCell ref="D9:E9"/>
    <mergeCell ref="D21:E21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F45:F46"/>
    <mergeCell ref="G45:G46"/>
    <mergeCell ref="H45:I45"/>
    <mergeCell ref="D22:E22"/>
    <mergeCell ref="D23:E23"/>
    <mergeCell ref="D24:E24"/>
    <mergeCell ref="D25:E25"/>
    <mergeCell ref="D40:E40"/>
    <mergeCell ref="D41:E41"/>
    <mergeCell ref="D31:E31"/>
    <mergeCell ref="D32:E32"/>
    <mergeCell ref="D33:E33"/>
    <mergeCell ref="D39:E39"/>
    <mergeCell ref="D47:E47"/>
    <mergeCell ref="A48:C48"/>
    <mergeCell ref="D48:E48"/>
    <mergeCell ref="D26:E26"/>
    <mergeCell ref="D27:E27"/>
    <mergeCell ref="D28:E28"/>
    <mergeCell ref="D29:E29"/>
    <mergeCell ref="D30:E30"/>
    <mergeCell ref="A45:A46"/>
    <mergeCell ref="B45:C45"/>
    <mergeCell ref="D45:E46"/>
    <mergeCell ref="A41:C41"/>
    <mergeCell ref="D34:E34"/>
    <mergeCell ref="D35:E35"/>
    <mergeCell ref="D36:E36"/>
    <mergeCell ref="D37:E37"/>
    <mergeCell ref="D38:E38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42D0-6860-411C-843D-EEBAEF4B090E}">
  <sheetPr codeName="Sheet38"/>
  <dimension ref="A1:I16"/>
  <sheetViews>
    <sheetView zoomScaleNormal="100" workbookViewId="0">
      <selection activeCell="D21" sqref="D21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2357</v>
      </c>
      <c r="C5" s="14" t="s">
        <v>2358</v>
      </c>
      <c r="D5" s="46" t="s">
        <v>119</v>
      </c>
      <c r="E5" s="47" t="s">
        <v>119</v>
      </c>
      <c r="F5" s="15">
        <v>33.5</v>
      </c>
      <c r="G5" s="19"/>
      <c r="H5" s="19"/>
      <c r="I5" s="37">
        <f t="shared" ref="I5:I16" si="0">H5/F5</f>
        <v>0</v>
      </c>
    </row>
    <row r="6" spans="1:9" ht="15.6" customHeight="1" x14ac:dyDescent="0.25">
      <c r="A6" s="13">
        <v>2</v>
      </c>
      <c r="B6" s="14" t="s">
        <v>2359</v>
      </c>
      <c r="C6" s="14" t="s">
        <v>2360</v>
      </c>
      <c r="D6" s="46" t="s">
        <v>119</v>
      </c>
      <c r="E6" s="47" t="s">
        <v>119</v>
      </c>
      <c r="F6" s="15">
        <v>15.7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2361</v>
      </c>
      <c r="C7" s="14" t="s">
        <v>2362</v>
      </c>
      <c r="D7" s="46" t="s">
        <v>119</v>
      </c>
      <c r="E7" s="47" t="s">
        <v>119</v>
      </c>
      <c r="F7" s="15">
        <v>9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2363</v>
      </c>
      <c r="C8" s="14" t="s">
        <v>2364</v>
      </c>
      <c r="D8" s="46" t="s">
        <v>119</v>
      </c>
      <c r="E8" s="47" t="s">
        <v>119</v>
      </c>
      <c r="F8" s="15">
        <v>8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2365</v>
      </c>
      <c r="C9" s="14" t="s">
        <v>2366</v>
      </c>
      <c r="D9" s="46" t="s">
        <v>119</v>
      </c>
      <c r="E9" s="47" t="s">
        <v>119</v>
      </c>
      <c r="F9" s="15">
        <v>6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2367</v>
      </c>
      <c r="C10" s="14" t="s">
        <v>2368</v>
      </c>
      <c r="D10" s="46" t="s">
        <v>119</v>
      </c>
      <c r="E10" s="47" t="s">
        <v>119</v>
      </c>
      <c r="F10" s="15">
        <v>9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2369</v>
      </c>
      <c r="C11" s="14" t="s">
        <v>2370</v>
      </c>
      <c r="D11" s="46" t="s">
        <v>119</v>
      </c>
      <c r="E11" s="47" t="s">
        <v>119</v>
      </c>
      <c r="F11" s="15">
        <v>12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2371</v>
      </c>
      <c r="C12" s="14" t="s">
        <v>2372</v>
      </c>
      <c r="D12" s="46" t="s">
        <v>119</v>
      </c>
      <c r="E12" s="47" t="s">
        <v>119</v>
      </c>
      <c r="F12" s="15">
        <v>3.5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2373</v>
      </c>
      <c r="C13" s="14" t="s">
        <v>2374</v>
      </c>
      <c r="D13" s="46" t="s">
        <v>119</v>
      </c>
      <c r="E13" s="47" t="s">
        <v>119</v>
      </c>
      <c r="F13" s="15">
        <v>9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2375</v>
      </c>
      <c r="C14" s="14" t="s">
        <v>2376</v>
      </c>
      <c r="D14" s="46" t="s">
        <v>2377</v>
      </c>
      <c r="E14" s="47" t="s">
        <v>2377</v>
      </c>
      <c r="F14" s="15">
        <v>12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2380</v>
      </c>
      <c r="C15" s="14" t="s">
        <v>2378</v>
      </c>
      <c r="D15" s="46" t="s">
        <v>2379</v>
      </c>
      <c r="E15" s="47" t="s">
        <v>2379</v>
      </c>
      <c r="F15" s="15">
        <v>52</v>
      </c>
      <c r="G15" s="19"/>
      <c r="H15" s="19"/>
      <c r="I15" s="37">
        <f t="shared" si="0"/>
        <v>0</v>
      </c>
    </row>
    <row r="16" spans="1:9" ht="16.8" customHeight="1" x14ac:dyDescent="0.25">
      <c r="A16" s="39" t="s">
        <v>1769</v>
      </c>
      <c r="B16" s="39"/>
      <c r="C16" s="39"/>
      <c r="D16" s="39" t="s">
        <v>1782</v>
      </c>
      <c r="E16" s="39"/>
      <c r="F16" s="12">
        <f>SUM(F5:F15)</f>
        <v>169.7</v>
      </c>
      <c r="G16" s="20"/>
      <c r="H16" s="12">
        <f>SUM(H5:H15)</f>
        <v>0</v>
      </c>
      <c r="I16" s="38">
        <f t="shared" si="0"/>
        <v>0</v>
      </c>
    </row>
  </sheetData>
  <mergeCells count="19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A16:C16"/>
    <mergeCell ref="D16:E16"/>
    <mergeCell ref="D11:E11"/>
    <mergeCell ref="D12:E12"/>
    <mergeCell ref="D13:E13"/>
    <mergeCell ref="D14:E14"/>
    <mergeCell ref="D15:E1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EEBB-A71C-4D9C-831D-4912CE460ECC}">
  <sheetPr codeName="Sheet39"/>
  <dimension ref="A1:I46"/>
  <sheetViews>
    <sheetView topLeftCell="A19" zoomScaleNormal="100" workbookViewId="0">
      <selection activeCell="J44" sqref="J44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2381</v>
      </c>
      <c r="C5" s="14" t="s">
        <v>2382</v>
      </c>
      <c r="D5" s="46" t="s">
        <v>2383</v>
      </c>
      <c r="E5" s="47" t="s">
        <v>2383</v>
      </c>
      <c r="F5" s="15">
        <v>38.5</v>
      </c>
      <c r="G5" s="19"/>
      <c r="H5" s="19"/>
      <c r="I5" s="37">
        <f t="shared" ref="I5:I24" si="0">H5/F5</f>
        <v>0</v>
      </c>
    </row>
    <row r="6" spans="1:9" ht="15.6" customHeight="1" x14ac:dyDescent="0.25">
      <c r="A6" s="13">
        <v>2</v>
      </c>
      <c r="B6" s="14" t="s">
        <v>2384</v>
      </c>
      <c r="C6" s="14" t="s">
        <v>2385</v>
      </c>
      <c r="D6" s="46" t="s">
        <v>2383</v>
      </c>
      <c r="E6" s="47" t="s">
        <v>2383</v>
      </c>
      <c r="F6" s="15">
        <v>2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2386</v>
      </c>
      <c r="C7" s="14" t="s">
        <v>2387</v>
      </c>
      <c r="D7" s="46" t="s">
        <v>2383</v>
      </c>
      <c r="E7" s="47" t="s">
        <v>2383</v>
      </c>
      <c r="F7" s="15">
        <v>1.9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2388</v>
      </c>
      <c r="C8" s="14" t="s">
        <v>2389</v>
      </c>
      <c r="D8" s="46" t="s">
        <v>2390</v>
      </c>
      <c r="E8" s="47" t="s">
        <v>2390</v>
      </c>
      <c r="F8" s="15">
        <v>10.799999999999999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2391</v>
      </c>
      <c r="C9" s="14" t="s">
        <v>2392</v>
      </c>
      <c r="D9" s="46" t="s">
        <v>2390</v>
      </c>
      <c r="E9" s="47" t="s">
        <v>2390</v>
      </c>
      <c r="F9" s="15">
        <v>10.799999999999999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2393</v>
      </c>
      <c r="C10" s="14" t="s">
        <v>2394</v>
      </c>
      <c r="D10" s="46" t="s">
        <v>2395</v>
      </c>
      <c r="E10" s="47" t="s">
        <v>2395</v>
      </c>
      <c r="F10" s="15">
        <v>18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2396</v>
      </c>
      <c r="C11" s="14" t="s">
        <v>2397</v>
      </c>
      <c r="D11" s="46" t="s">
        <v>2398</v>
      </c>
      <c r="E11" s="47" t="s">
        <v>2398</v>
      </c>
      <c r="F11" s="15">
        <v>13.5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2399</v>
      </c>
      <c r="C12" s="14" t="s">
        <v>2400</v>
      </c>
      <c r="D12" s="46" t="s">
        <v>2401</v>
      </c>
      <c r="E12" s="47" t="s">
        <v>2401</v>
      </c>
      <c r="F12" s="15">
        <v>6.3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2402</v>
      </c>
      <c r="C13" s="14" t="s">
        <v>2403</v>
      </c>
      <c r="D13" s="46"/>
      <c r="E13" s="47"/>
      <c r="F13" s="15">
        <v>32.799999999999997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2404</v>
      </c>
      <c r="C14" s="14" t="s">
        <v>2405</v>
      </c>
      <c r="D14" s="46"/>
      <c r="E14" s="47"/>
      <c r="F14" s="15">
        <v>0.2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2406</v>
      </c>
      <c r="C15" s="14" t="s">
        <v>2407</v>
      </c>
      <c r="D15" s="46"/>
      <c r="E15" s="47"/>
      <c r="F15" s="15">
        <v>0.2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2408</v>
      </c>
      <c r="C16" s="14" t="s">
        <v>2409</v>
      </c>
      <c r="D16" s="46"/>
      <c r="E16" s="47"/>
      <c r="F16" s="15">
        <v>0.6</v>
      </c>
      <c r="G16" s="15"/>
      <c r="H16" s="15"/>
      <c r="I16" s="37">
        <f t="shared" si="0"/>
        <v>0</v>
      </c>
    </row>
    <row r="17" spans="1:9" ht="15.6" customHeight="1" x14ac:dyDescent="0.25">
      <c r="A17" s="13">
        <v>13</v>
      </c>
      <c r="B17" s="14" t="s">
        <v>2410</v>
      </c>
      <c r="C17" s="14" t="s">
        <v>2411</v>
      </c>
      <c r="D17" s="46" t="s">
        <v>2412</v>
      </c>
      <c r="E17" s="47" t="s">
        <v>2412</v>
      </c>
      <c r="F17" s="15">
        <v>13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4" t="s">
        <v>2413</v>
      </c>
      <c r="C18" s="14" t="s">
        <v>2414</v>
      </c>
      <c r="D18" s="46" t="s">
        <v>2412</v>
      </c>
      <c r="E18" s="47" t="s">
        <v>2412</v>
      </c>
      <c r="F18" s="15">
        <v>7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4" t="s">
        <v>2415</v>
      </c>
      <c r="C19" s="14" t="s">
        <v>2416</v>
      </c>
      <c r="D19" s="46" t="s">
        <v>2417</v>
      </c>
      <c r="E19" s="47" t="s">
        <v>2417</v>
      </c>
      <c r="F19" s="15">
        <v>2</v>
      </c>
      <c r="G19" s="15"/>
      <c r="H19" s="15"/>
      <c r="I19" s="37">
        <f t="shared" si="0"/>
        <v>0</v>
      </c>
    </row>
    <row r="20" spans="1:9" ht="15.6" customHeight="1" x14ac:dyDescent="0.25">
      <c r="A20" s="13">
        <v>16</v>
      </c>
      <c r="B20" s="14" t="s">
        <v>2418</v>
      </c>
      <c r="C20" s="14" t="s">
        <v>2419</v>
      </c>
      <c r="D20" s="46"/>
      <c r="E20" s="47"/>
      <c r="F20" s="15">
        <v>1</v>
      </c>
      <c r="G20" s="19"/>
      <c r="H20" s="19"/>
      <c r="I20" s="37">
        <f t="shared" si="0"/>
        <v>0</v>
      </c>
    </row>
    <row r="21" spans="1:9" ht="15.6" customHeight="1" x14ac:dyDescent="0.25">
      <c r="A21" s="13">
        <v>17</v>
      </c>
      <c r="B21" s="14" t="s">
        <v>2420</v>
      </c>
      <c r="C21" s="14" t="s">
        <v>2421</v>
      </c>
      <c r="D21" s="46"/>
      <c r="E21" s="47"/>
      <c r="F21" s="15">
        <v>1</v>
      </c>
      <c r="G21" s="19"/>
      <c r="H21" s="19"/>
      <c r="I21" s="37">
        <f t="shared" si="0"/>
        <v>0</v>
      </c>
    </row>
    <row r="22" spans="1:9" ht="15.6" customHeight="1" x14ac:dyDescent="0.25">
      <c r="A22" s="13">
        <v>18</v>
      </c>
      <c r="B22" s="14" t="s">
        <v>2422</v>
      </c>
      <c r="C22" s="14" t="s">
        <v>2423</v>
      </c>
      <c r="D22" s="46"/>
      <c r="E22" s="47"/>
      <c r="F22" s="15">
        <v>1</v>
      </c>
      <c r="G22" s="15"/>
      <c r="H22" s="15"/>
      <c r="I22" s="37">
        <f t="shared" si="0"/>
        <v>0</v>
      </c>
    </row>
    <row r="23" spans="1:9" ht="15.6" customHeight="1" x14ac:dyDescent="0.25">
      <c r="A23" s="13">
        <v>19</v>
      </c>
      <c r="B23" s="14" t="s">
        <v>2424</v>
      </c>
      <c r="C23" s="14" t="s">
        <v>2425</v>
      </c>
      <c r="D23" s="46"/>
      <c r="E23" s="47"/>
      <c r="F23" s="15">
        <v>1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4" t="s">
        <v>2426</v>
      </c>
      <c r="C24" s="14" t="s">
        <v>2427</v>
      </c>
      <c r="D24" s="46"/>
      <c r="E24" s="47"/>
      <c r="F24" s="15">
        <v>1</v>
      </c>
      <c r="G24" s="19"/>
      <c r="H24" s="19"/>
      <c r="I24" s="37">
        <f t="shared" si="0"/>
        <v>0</v>
      </c>
    </row>
    <row r="25" spans="1:9" ht="15.6" customHeight="1" x14ac:dyDescent="0.25">
      <c r="A25" s="13">
        <v>21</v>
      </c>
      <c r="B25" s="14" t="s">
        <v>2428</v>
      </c>
      <c r="C25" s="14" t="s">
        <v>2429</v>
      </c>
      <c r="D25" s="46"/>
      <c r="E25" s="47"/>
      <c r="F25" s="15">
        <v>1</v>
      </c>
      <c r="G25" s="15"/>
      <c r="H25" s="15"/>
      <c r="I25" s="37">
        <f t="shared" ref="I25:I44" si="1">H25/F25</f>
        <v>0</v>
      </c>
    </row>
    <row r="26" spans="1:9" ht="15.6" customHeight="1" x14ac:dyDescent="0.25">
      <c r="A26" s="13">
        <v>22</v>
      </c>
      <c r="B26" s="14" t="s">
        <v>2430</v>
      </c>
      <c r="C26" s="14" t="s">
        <v>2431</v>
      </c>
      <c r="D26" s="46"/>
      <c r="E26" s="47"/>
      <c r="F26" s="15">
        <v>1</v>
      </c>
      <c r="G26" s="15"/>
      <c r="H26" s="15"/>
      <c r="I26" s="37">
        <f t="shared" si="1"/>
        <v>0</v>
      </c>
    </row>
    <row r="27" spans="1:9" ht="15.6" customHeight="1" x14ac:dyDescent="0.25">
      <c r="A27" s="13">
        <v>23</v>
      </c>
      <c r="B27" s="14" t="s">
        <v>2432</v>
      </c>
      <c r="C27" s="14" t="s">
        <v>2433</v>
      </c>
      <c r="D27" s="46"/>
      <c r="E27" s="47"/>
      <c r="F27" s="15">
        <v>1</v>
      </c>
      <c r="G27" s="19"/>
      <c r="H27" s="19"/>
      <c r="I27" s="37">
        <f t="shared" si="1"/>
        <v>0</v>
      </c>
    </row>
    <row r="28" spans="1:9" ht="15.6" customHeight="1" x14ac:dyDescent="0.25">
      <c r="A28" s="13">
        <v>24</v>
      </c>
      <c r="B28" s="14" t="s">
        <v>2434</v>
      </c>
      <c r="C28" s="14" t="s">
        <v>2435</v>
      </c>
      <c r="D28" s="46"/>
      <c r="E28" s="47"/>
      <c r="F28" s="15">
        <v>1</v>
      </c>
      <c r="G28" s="19"/>
      <c r="H28" s="19"/>
      <c r="I28" s="37">
        <f t="shared" si="1"/>
        <v>0</v>
      </c>
    </row>
    <row r="29" spans="1:9" ht="15.6" customHeight="1" x14ac:dyDescent="0.25">
      <c r="A29" s="13">
        <v>25</v>
      </c>
      <c r="B29" s="14" t="s">
        <v>2436</v>
      </c>
      <c r="C29" s="14" t="s">
        <v>2437</v>
      </c>
      <c r="D29" s="46"/>
      <c r="E29" s="47"/>
      <c r="F29" s="15">
        <v>1</v>
      </c>
      <c r="G29" s="19"/>
      <c r="H29" s="19"/>
      <c r="I29" s="37">
        <f t="shared" si="1"/>
        <v>0</v>
      </c>
    </row>
    <row r="30" spans="1:9" ht="15.6" customHeight="1" x14ac:dyDescent="0.25">
      <c r="A30" s="13">
        <v>26</v>
      </c>
      <c r="B30" s="14" t="s">
        <v>2438</v>
      </c>
      <c r="C30" s="14" t="s">
        <v>2439</v>
      </c>
      <c r="D30" s="46"/>
      <c r="E30" s="47"/>
      <c r="F30" s="15">
        <v>1</v>
      </c>
      <c r="G30" s="19"/>
      <c r="H30" s="19"/>
      <c r="I30" s="37">
        <f t="shared" si="1"/>
        <v>0</v>
      </c>
    </row>
    <row r="31" spans="1:9" ht="15.6" customHeight="1" x14ac:dyDescent="0.25">
      <c r="A31" s="13">
        <v>27</v>
      </c>
      <c r="B31" s="14" t="s">
        <v>2440</v>
      </c>
      <c r="C31" s="14" t="s">
        <v>2441</v>
      </c>
      <c r="D31" s="46"/>
      <c r="E31" s="47"/>
      <c r="F31" s="15">
        <v>1</v>
      </c>
      <c r="G31" s="19"/>
      <c r="H31" s="19"/>
      <c r="I31" s="37">
        <f t="shared" si="1"/>
        <v>0</v>
      </c>
    </row>
    <row r="32" spans="1:9" ht="15.6" customHeight="1" x14ac:dyDescent="0.25">
      <c r="A32" s="13">
        <v>28</v>
      </c>
      <c r="B32" s="14" t="s">
        <v>2442</v>
      </c>
      <c r="C32" s="14" t="s">
        <v>2443</v>
      </c>
      <c r="D32" s="46"/>
      <c r="E32" s="47"/>
      <c r="F32" s="15">
        <v>1</v>
      </c>
      <c r="G32" s="19"/>
      <c r="H32" s="19"/>
      <c r="I32" s="37">
        <f t="shared" si="1"/>
        <v>0</v>
      </c>
    </row>
    <row r="33" spans="1:9" ht="15.6" customHeight="1" x14ac:dyDescent="0.25">
      <c r="A33" s="13">
        <v>29</v>
      </c>
      <c r="B33" s="14" t="s">
        <v>2444</v>
      </c>
      <c r="C33" s="14" t="s">
        <v>2445</v>
      </c>
      <c r="D33" s="46"/>
      <c r="E33" s="47"/>
      <c r="F33" s="15">
        <v>1</v>
      </c>
      <c r="G33" s="19"/>
      <c r="H33" s="19"/>
      <c r="I33" s="37">
        <f t="shared" si="1"/>
        <v>0</v>
      </c>
    </row>
    <row r="34" spans="1:9" ht="15.6" customHeight="1" x14ac:dyDescent="0.25">
      <c r="A34" s="13">
        <v>30</v>
      </c>
      <c r="B34" s="14" t="s">
        <v>2446</v>
      </c>
      <c r="C34" s="14" t="s">
        <v>2447</v>
      </c>
      <c r="D34" s="46"/>
      <c r="E34" s="47"/>
      <c r="F34" s="15">
        <v>1</v>
      </c>
      <c r="G34" s="19"/>
      <c r="H34" s="19"/>
      <c r="I34" s="37">
        <f t="shared" si="1"/>
        <v>0</v>
      </c>
    </row>
    <row r="35" spans="1:9" ht="15.6" customHeight="1" x14ac:dyDescent="0.25">
      <c r="A35" s="13">
        <v>31</v>
      </c>
      <c r="B35" s="14" t="s">
        <v>2448</v>
      </c>
      <c r="C35" s="14" t="s">
        <v>2449</v>
      </c>
      <c r="D35" s="46"/>
      <c r="E35" s="47"/>
      <c r="F35" s="15">
        <v>1</v>
      </c>
      <c r="G35" s="19"/>
      <c r="H35" s="19"/>
      <c r="I35" s="37">
        <f t="shared" si="1"/>
        <v>0</v>
      </c>
    </row>
    <row r="36" spans="1:9" ht="15.6" customHeight="1" x14ac:dyDescent="0.25">
      <c r="A36" s="13">
        <v>32</v>
      </c>
      <c r="B36" s="14" t="s">
        <v>2450</v>
      </c>
      <c r="C36" s="14" t="s">
        <v>2451</v>
      </c>
      <c r="D36" s="46" t="s">
        <v>2412</v>
      </c>
      <c r="E36" s="47" t="s">
        <v>2412</v>
      </c>
      <c r="F36" s="15">
        <v>1</v>
      </c>
      <c r="G36" s="19"/>
      <c r="H36" s="19"/>
      <c r="I36" s="37">
        <f t="shared" si="1"/>
        <v>0</v>
      </c>
    </row>
    <row r="37" spans="1:9" ht="15.6" customHeight="1" x14ac:dyDescent="0.25">
      <c r="A37" s="13">
        <v>33</v>
      </c>
      <c r="B37" s="14" t="s">
        <v>2452</v>
      </c>
      <c r="C37" s="14" t="s">
        <v>2453</v>
      </c>
      <c r="D37" s="46" t="s">
        <v>2412</v>
      </c>
      <c r="E37" s="47" t="s">
        <v>2412</v>
      </c>
      <c r="F37" s="15">
        <v>1</v>
      </c>
      <c r="G37" s="19"/>
      <c r="H37" s="19"/>
      <c r="I37" s="37">
        <f t="shared" si="1"/>
        <v>0</v>
      </c>
    </row>
    <row r="38" spans="1:9" ht="15.6" customHeight="1" x14ac:dyDescent="0.25">
      <c r="A38" s="13">
        <v>34</v>
      </c>
      <c r="B38" s="14" t="s">
        <v>2454</v>
      </c>
      <c r="C38" s="14" t="s">
        <v>2455</v>
      </c>
      <c r="D38" s="46" t="s">
        <v>2412</v>
      </c>
      <c r="E38" s="47" t="s">
        <v>2412</v>
      </c>
      <c r="F38" s="15">
        <v>1</v>
      </c>
      <c r="G38" s="19"/>
      <c r="H38" s="19"/>
      <c r="I38" s="37">
        <f t="shared" si="1"/>
        <v>0</v>
      </c>
    </row>
    <row r="39" spans="1:9" ht="15.6" customHeight="1" x14ac:dyDescent="0.25">
      <c r="A39" s="13">
        <v>35</v>
      </c>
      <c r="B39" s="14" t="s">
        <v>2456</v>
      </c>
      <c r="C39" s="14" t="s">
        <v>2457</v>
      </c>
      <c r="D39" s="46" t="s">
        <v>2458</v>
      </c>
      <c r="E39" s="47" t="s">
        <v>2458</v>
      </c>
      <c r="F39" s="15">
        <v>1</v>
      </c>
      <c r="G39" s="19"/>
      <c r="H39" s="19"/>
      <c r="I39" s="37">
        <f t="shared" si="1"/>
        <v>0</v>
      </c>
    </row>
    <row r="40" spans="1:9" ht="15.6" customHeight="1" x14ac:dyDescent="0.25">
      <c r="A40" s="13">
        <v>36</v>
      </c>
      <c r="B40" s="14" t="s">
        <v>2459</v>
      </c>
      <c r="C40" s="14" t="s">
        <v>2460</v>
      </c>
      <c r="D40" s="46" t="s">
        <v>2461</v>
      </c>
      <c r="E40" s="47" t="s">
        <v>2461</v>
      </c>
      <c r="F40" s="15">
        <v>1</v>
      </c>
      <c r="G40" s="19"/>
      <c r="H40" s="19"/>
      <c r="I40" s="37">
        <f t="shared" si="1"/>
        <v>0</v>
      </c>
    </row>
    <row r="41" spans="1:9" ht="15.6" customHeight="1" x14ac:dyDescent="0.25">
      <c r="A41" s="13">
        <v>37</v>
      </c>
      <c r="B41" s="14" t="s">
        <v>2462</v>
      </c>
      <c r="C41" s="14" t="s">
        <v>2463</v>
      </c>
      <c r="D41" s="46" t="s">
        <v>2443</v>
      </c>
      <c r="E41" s="47" t="s">
        <v>2443</v>
      </c>
      <c r="F41" s="15">
        <v>1</v>
      </c>
      <c r="G41" s="19"/>
      <c r="H41" s="19"/>
      <c r="I41" s="37">
        <f t="shared" si="1"/>
        <v>0</v>
      </c>
    </row>
    <row r="42" spans="1:9" ht="15.6" customHeight="1" x14ac:dyDescent="0.25">
      <c r="A42" s="13">
        <v>38</v>
      </c>
      <c r="B42" s="14" t="s">
        <v>2464</v>
      </c>
      <c r="C42" s="14" t="s">
        <v>2465</v>
      </c>
      <c r="D42" s="46" t="s">
        <v>2466</v>
      </c>
      <c r="E42" s="47" t="s">
        <v>2466</v>
      </c>
      <c r="F42" s="15">
        <v>1</v>
      </c>
      <c r="G42" s="19"/>
      <c r="H42" s="19"/>
      <c r="I42" s="37">
        <f t="shared" si="1"/>
        <v>0</v>
      </c>
    </row>
    <row r="43" spans="1:9" ht="15.6" customHeight="1" x14ac:dyDescent="0.25">
      <c r="A43" s="13">
        <v>39</v>
      </c>
      <c r="B43" s="14" t="s">
        <v>2467</v>
      </c>
      <c r="C43" s="14" t="s">
        <v>2468</v>
      </c>
      <c r="D43" s="46" t="s">
        <v>2469</v>
      </c>
      <c r="E43" s="47" t="s">
        <v>2469</v>
      </c>
      <c r="F43" s="15">
        <v>1</v>
      </c>
      <c r="G43" s="19"/>
      <c r="H43" s="19"/>
      <c r="I43" s="37">
        <f t="shared" si="1"/>
        <v>0</v>
      </c>
    </row>
    <row r="44" spans="1:9" ht="15.6" customHeight="1" x14ac:dyDescent="0.25">
      <c r="A44" s="13">
        <v>40</v>
      </c>
      <c r="B44" s="14" t="s">
        <v>2470</v>
      </c>
      <c r="C44" s="14" t="s">
        <v>2471</v>
      </c>
      <c r="D44" s="46" t="s">
        <v>2469</v>
      </c>
      <c r="E44" s="47" t="s">
        <v>2469</v>
      </c>
      <c r="F44" s="15">
        <v>1</v>
      </c>
      <c r="G44" s="19"/>
      <c r="H44" s="19"/>
      <c r="I44" s="37">
        <f t="shared" si="1"/>
        <v>0</v>
      </c>
    </row>
    <row r="45" spans="1:9" ht="15.6" customHeight="1" x14ac:dyDescent="0.25">
      <c r="A45" s="13">
        <v>41</v>
      </c>
      <c r="B45" s="14" t="s">
        <v>2472</v>
      </c>
      <c r="C45" s="14" t="s">
        <v>2473</v>
      </c>
      <c r="D45" s="46" t="s">
        <v>2474</v>
      </c>
      <c r="E45" s="47" t="s">
        <v>2474</v>
      </c>
      <c r="F45" s="15">
        <v>1</v>
      </c>
      <c r="G45" s="19"/>
      <c r="H45" s="19"/>
      <c r="I45" s="37">
        <f>H45/F45</f>
        <v>0</v>
      </c>
    </row>
    <row r="46" spans="1:9" ht="16.8" customHeight="1" x14ac:dyDescent="0.25">
      <c r="A46" s="39" t="s">
        <v>1769</v>
      </c>
      <c r="B46" s="39"/>
      <c r="C46" s="39"/>
      <c r="D46" s="39" t="s">
        <v>2475</v>
      </c>
      <c r="E46" s="39"/>
      <c r="F46" s="12">
        <f>SUM(F5:F45)</f>
        <v>183.59999999999997</v>
      </c>
      <c r="G46" s="20"/>
      <c r="H46" s="12">
        <f>SUM(H5:H45)</f>
        <v>0</v>
      </c>
      <c r="I46" s="38">
        <f>H46/F46</f>
        <v>0</v>
      </c>
    </row>
  </sheetData>
  <mergeCells count="49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A46:C46"/>
    <mergeCell ref="D46:E46"/>
    <mergeCell ref="D37:E37"/>
    <mergeCell ref="D38:E38"/>
    <mergeCell ref="D39:E39"/>
    <mergeCell ref="D23:E23"/>
    <mergeCell ref="D24:E24"/>
    <mergeCell ref="D25:E25"/>
    <mergeCell ref="D27:E27"/>
    <mergeCell ref="D45:E45"/>
    <mergeCell ref="D34:E34"/>
    <mergeCell ref="D35:E35"/>
    <mergeCell ref="D36:E36"/>
    <mergeCell ref="D26:E26"/>
    <mergeCell ref="D28:E28"/>
    <mergeCell ref="D29:E29"/>
    <mergeCell ref="D30:E30"/>
    <mergeCell ref="D31:E31"/>
    <mergeCell ref="D32:E32"/>
    <mergeCell ref="D33:E33"/>
    <mergeCell ref="D40:E40"/>
    <mergeCell ref="D41:E41"/>
    <mergeCell ref="D42:E42"/>
    <mergeCell ref="D43:E43"/>
    <mergeCell ref="D44:E4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66C3-02EB-4002-97AB-E60CE562CBC6}">
  <sheetPr codeName="Sheet40"/>
  <dimension ref="A1:I39"/>
  <sheetViews>
    <sheetView topLeftCell="A13" zoomScaleNormal="100" workbookViewId="0">
      <selection activeCell="E49" sqref="E49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2479</v>
      </c>
      <c r="C5" s="14" t="s">
        <v>2480</v>
      </c>
      <c r="D5" s="46" t="s">
        <v>119</v>
      </c>
      <c r="E5" s="47" t="s">
        <v>119</v>
      </c>
      <c r="F5" s="1">
        <v>0</v>
      </c>
      <c r="G5" s="19"/>
      <c r="H5" s="19"/>
      <c r="I5" s="37" t="e">
        <f t="shared" ref="I5:I26" si="0">H5/F5</f>
        <v>#DIV/0!</v>
      </c>
    </row>
    <row r="6" spans="1:9" ht="15.6" customHeight="1" x14ac:dyDescent="0.25">
      <c r="A6" s="13">
        <v>2</v>
      </c>
      <c r="B6" s="14" t="s">
        <v>2481</v>
      </c>
      <c r="C6" s="14" t="s">
        <v>2482</v>
      </c>
      <c r="D6" s="46"/>
      <c r="E6" s="47"/>
      <c r="F6" s="1">
        <v>0</v>
      </c>
      <c r="G6" s="19"/>
      <c r="H6" s="19"/>
      <c r="I6" s="37" t="e">
        <f t="shared" si="0"/>
        <v>#DIV/0!</v>
      </c>
    </row>
    <row r="7" spans="1:9" ht="15.6" customHeight="1" x14ac:dyDescent="0.25">
      <c r="A7" s="13">
        <v>3</v>
      </c>
      <c r="B7" s="14" t="s">
        <v>2483</v>
      </c>
      <c r="C7" s="14" t="s">
        <v>2484</v>
      </c>
      <c r="D7" s="46"/>
      <c r="E7" s="47"/>
      <c r="F7" s="1">
        <v>1.7999999999999998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2485</v>
      </c>
      <c r="C8" s="14" t="s">
        <v>2486</v>
      </c>
      <c r="D8" s="46"/>
      <c r="E8" s="47"/>
      <c r="F8" s="1">
        <v>0.6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2487</v>
      </c>
      <c r="C9" s="14" t="s">
        <v>2488</v>
      </c>
      <c r="D9" s="46"/>
      <c r="E9" s="47"/>
      <c r="F9" s="1">
        <v>1.2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2489</v>
      </c>
      <c r="C10" s="14" t="s">
        <v>2490</v>
      </c>
      <c r="D10" s="46"/>
      <c r="E10" s="47"/>
      <c r="F10" s="1">
        <v>0</v>
      </c>
      <c r="G10" s="15"/>
      <c r="H10" s="15"/>
      <c r="I10" s="37" t="e">
        <f t="shared" si="0"/>
        <v>#DIV/0!</v>
      </c>
    </row>
    <row r="11" spans="1:9" ht="15.6" customHeight="1" x14ac:dyDescent="0.25">
      <c r="A11" s="13">
        <v>7</v>
      </c>
      <c r="B11" s="14" t="s">
        <v>2491</v>
      </c>
      <c r="C11" s="14" t="s">
        <v>2492</v>
      </c>
      <c r="D11" s="46"/>
      <c r="E11" s="47"/>
      <c r="F11" s="1">
        <v>0.89999999999999991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2493</v>
      </c>
      <c r="C12" s="14" t="s">
        <v>2494</v>
      </c>
      <c r="D12" s="46"/>
      <c r="E12" s="47"/>
      <c r="F12" s="1">
        <v>1.2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2495</v>
      </c>
      <c r="C13" s="14" t="s">
        <v>2496</v>
      </c>
      <c r="D13" s="46"/>
      <c r="E13" s="47"/>
      <c r="F13" s="1">
        <v>0</v>
      </c>
      <c r="G13" s="15"/>
      <c r="H13" s="15"/>
      <c r="I13" s="37" t="e">
        <f t="shared" si="0"/>
        <v>#DIV/0!</v>
      </c>
    </row>
    <row r="14" spans="1:9" ht="15.6" customHeight="1" x14ac:dyDescent="0.25">
      <c r="A14" s="13">
        <v>10</v>
      </c>
      <c r="B14" s="14" t="s">
        <v>2497</v>
      </c>
      <c r="C14" s="14" t="s">
        <v>2498</v>
      </c>
      <c r="D14" s="46"/>
      <c r="E14" s="47"/>
      <c r="F14" s="1">
        <v>1.2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2499</v>
      </c>
      <c r="C15" s="14" t="s">
        <v>2500</v>
      </c>
      <c r="D15" s="46"/>
      <c r="E15" s="47"/>
      <c r="F15" s="1">
        <v>1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2501</v>
      </c>
      <c r="C16" s="14" t="s">
        <v>2502</v>
      </c>
      <c r="D16" s="46"/>
      <c r="E16" s="47"/>
      <c r="F16" s="1">
        <v>1</v>
      </c>
      <c r="G16" s="15"/>
      <c r="H16" s="15"/>
      <c r="I16" s="37">
        <f t="shared" si="0"/>
        <v>0</v>
      </c>
    </row>
    <row r="17" spans="1:9" ht="15.6" customHeight="1" x14ac:dyDescent="0.25">
      <c r="A17" s="13">
        <v>13</v>
      </c>
      <c r="B17" s="14" t="s">
        <v>2503</v>
      </c>
      <c r="C17" s="14" t="s">
        <v>2504</v>
      </c>
      <c r="D17" s="46"/>
      <c r="E17" s="47"/>
      <c r="F17" s="1">
        <v>1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4" t="s">
        <v>2505</v>
      </c>
      <c r="C18" s="14" t="s">
        <v>2506</v>
      </c>
      <c r="D18" s="46"/>
      <c r="E18" s="47"/>
      <c r="F18" s="1">
        <v>2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4" t="s">
        <v>2507</v>
      </c>
      <c r="C19" s="14" t="s">
        <v>2508</v>
      </c>
      <c r="D19" s="46"/>
      <c r="E19" s="47"/>
      <c r="F19" s="1">
        <v>1</v>
      </c>
      <c r="G19" s="15"/>
      <c r="H19" s="15"/>
      <c r="I19" s="37">
        <f t="shared" si="0"/>
        <v>0</v>
      </c>
    </row>
    <row r="20" spans="1:9" ht="15.6" customHeight="1" x14ac:dyDescent="0.25">
      <c r="A20" s="13">
        <v>16</v>
      </c>
      <c r="B20" s="14" t="s">
        <v>2509</v>
      </c>
      <c r="C20" s="14" t="s">
        <v>2510</v>
      </c>
      <c r="D20" s="46"/>
      <c r="E20" s="47"/>
      <c r="F20" s="1">
        <v>1</v>
      </c>
      <c r="G20" s="19"/>
      <c r="H20" s="19"/>
      <c r="I20" s="37">
        <f t="shared" si="0"/>
        <v>0</v>
      </c>
    </row>
    <row r="21" spans="1:9" ht="15.6" customHeight="1" x14ac:dyDescent="0.25">
      <c r="A21" s="13">
        <v>17</v>
      </c>
      <c r="B21" s="14" t="s">
        <v>2511</v>
      </c>
      <c r="C21" s="14" t="s">
        <v>2512</v>
      </c>
      <c r="D21" s="46" t="s">
        <v>2513</v>
      </c>
      <c r="E21" s="47" t="s">
        <v>2513</v>
      </c>
      <c r="F21" s="1">
        <v>12</v>
      </c>
      <c r="G21" s="19"/>
      <c r="H21" s="19"/>
      <c r="I21" s="37">
        <f t="shared" si="0"/>
        <v>0</v>
      </c>
    </row>
    <row r="22" spans="1:9" ht="15.6" customHeight="1" x14ac:dyDescent="0.25">
      <c r="A22" s="13">
        <v>18</v>
      </c>
      <c r="B22" s="14" t="s">
        <v>2514</v>
      </c>
      <c r="C22" s="14" t="s">
        <v>2515</v>
      </c>
      <c r="D22" s="46" t="s">
        <v>2513</v>
      </c>
      <c r="E22" s="47" t="s">
        <v>2513</v>
      </c>
      <c r="F22" s="1">
        <v>6</v>
      </c>
      <c r="G22" s="15"/>
      <c r="H22" s="15"/>
      <c r="I22" s="37">
        <f t="shared" si="0"/>
        <v>0</v>
      </c>
    </row>
    <row r="23" spans="1:9" ht="15.6" customHeight="1" x14ac:dyDescent="0.25">
      <c r="A23" s="13">
        <v>19</v>
      </c>
      <c r="B23" s="14" t="s">
        <v>2516</v>
      </c>
      <c r="C23" s="14" t="s">
        <v>2517</v>
      </c>
      <c r="D23" s="46" t="s">
        <v>2518</v>
      </c>
      <c r="E23" s="47" t="s">
        <v>2518</v>
      </c>
      <c r="F23" s="1">
        <v>5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4" t="s">
        <v>2519</v>
      </c>
      <c r="C24" s="14" t="s">
        <v>2520</v>
      </c>
      <c r="D24" s="46" t="s">
        <v>2521</v>
      </c>
      <c r="E24" s="47" t="s">
        <v>2521</v>
      </c>
      <c r="F24" s="1">
        <v>5</v>
      </c>
      <c r="G24" s="19"/>
      <c r="H24" s="19"/>
      <c r="I24" s="37">
        <f t="shared" si="0"/>
        <v>0</v>
      </c>
    </row>
    <row r="25" spans="1:9" ht="15.6" customHeight="1" x14ac:dyDescent="0.25">
      <c r="A25" s="13">
        <v>21</v>
      </c>
      <c r="B25" s="14" t="s">
        <v>2522</v>
      </c>
      <c r="C25" s="14" t="s">
        <v>2523</v>
      </c>
      <c r="D25" s="46" t="s">
        <v>2524</v>
      </c>
      <c r="E25" s="47" t="s">
        <v>2524</v>
      </c>
      <c r="F25" s="1">
        <v>5</v>
      </c>
      <c r="G25" s="15"/>
      <c r="H25" s="15"/>
      <c r="I25" s="37">
        <f t="shared" si="0"/>
        <v>0</v>
      </c>
    </row>
    <row r="26" spans="1:9" ht="15.6" customHeight="1" x14ac:dyDescent="0.25">
      <c r="A26" s="13">
        <v>22</v>
      </c>
      <c r="B26" s="14" t="s">
        <v>2525</v>
      </c>
      <c r="C26" s="14" t="s">
        <v>2526</v>
      </c>
      <c r="D26" s="46" t="s">
        <v>2490</v>
      </c>
      <c r="E26" s="47" t="s">
        <v>2490</v>
      </c>
      <c r="F26" s="1">
        <v>6</v>
      </c>
      <c r="G26" s="19"/>
      <c r="H26" s="19"/>
      <c r="I26" s="37">
        <f t="shared" si="0"/>
        <v>0</v>
      </c>
    </row>
    <row r="27" spans="1:9" ht="15.6" customHeight="1" x14ac:dyDescent="0.25">
      <c r="A27" s="13">
        <v>23</v>
      </c>
      <c r="B27" s="14" t="s">
        <v>2527</v>
      </c>
      <c r="C27" s="14" t="s">
        <v>2517</v>
      </c>
      <c r="D27" s="46" t="s">
        <v>2521</v>
      </c>
      <c r="E27" s="47" t="s">
        <v>2521</v>
      </c>
      <c r="F27" s="1">
        <v>5</v>
      </c>
      <c r="G27" s="19"/>
      <c r="H27" s="19"/>
      <c r="I27" s="37"/>
    </row>
    <row r="28" spans="1:9" ht="15.6" customHeight="1" x14ac:dyDescent="0.25">
      <c r="A28" s="13">
        <v>24</v>
      </c>
      <c r="B28" s="14" t="s">
        <v>2528</v>
      </c>
      <c r="C28" s="14" t="s">
        <v>2529</v>
      </c>
      <c r="D28" s="46" t="s">
        <v>2530</v>
      </c>
      <c r="E28" s="47" t="s">
        <v>2530</v>
      </c>
      <c r="F28" s="1">
        <v>5</v>
      </c>
      <c r="G28" s="19"/>
      <c r="H28" s="19"/>
      <c r="I28" s="37"/>
    </row>
    <row r="29" spans="1:9" ht="15.6" customHeight="1" x14ac:dyDescent="0.25">
      <c r="A29" s="13">
        <v>25</v>
      </c>
      <c r="B29" s="14" t="s">
        <v>2531</v>
      </c>
      <c r="C29" s="14" t="s">
        <v>2532</v>
      </c>
      <c r="D29" s="46" t="s">
        <v>2533</v>
      </c>
      <c r="E29" s="47" t="s">
        <v>2533</v>
      </c>
      <c r="F29" s="1">
        <v>2</v>
      </c>
      <c r="G29" s="19"/>
      <c r="H29" s="19"/>
      <c r="I29" s="37"/>
    </row>
    <row r="30" spans="1:9" ht="15.6" customHeight="1" x14ac:dyDescent="0.25">
      <c r="A30" s="13">
        <v>26</v>
      </c>
      <c r="B30" s="14" t="s">
        <v>2534</v>
      </c>
      <c r="C30" s="14" t="s">
        <v>2535</v>
      </c>
      <c r="D30" s="46" t="s">
        <v>2513</v>
      </c>
      <c r="E30" s="47" t="s">
        <v>2513</v>
      </c>
      <c r="F30" s="1">
        <v>36</v>
      </c>
      <c r="G30" s="19"/>
      <c r="H30" s="19"/>
      <c r="I30" s="37"/>
    </row>
    <row r="31" spans="1:9" ht="15.6" customHeight="1" x14ac:dyDescent="0.25">
      <c r="A31" s="13">
        <v>27</v>
      </c>
      <c r="B31" s="14" t="s">
        <v>2536</v>
      </c>
      <c r="C31" s="14" t="s">
        <v>2537</v>
      </c>
      <c r="D31" s="46" t="s">
        <v>2538</v>
      </c>
      <c r="E31" s="47" t="s">
        <v>2538</v>
      </c>
      <c r="F31" s="1">
        <v>10</v>
      </c>
      <c r="G31" s="19"/>
      <c r="H31" s="19"/>
      <c r="I31" s="37">
        <f>H31/F31</f>
        <v>0</v>
      </c>
    </row>
    <row r="32" spans="1:9" ht="16.8" customHeight="1" x14ac:dyDescent="0.25">
      <c r="A32" s="39" t="s">
        <v>1769</v>
      </c>
      <c r="B32" s="39"/>
      <c r="C32" s="39"/>
      <c r="D32" s="39" t="s">
        <v>1910</v>
      </c>
      <c r="E32" s="39"/>
      <c r="F32" s="12">
        <f>SUM(F5:F31)</f>
        <v>110.9</v>
      </c>
      <c r="G32" s="20"/>
      <c r="H32" s="12">
        <f>SUM(H5:H31)</f>
        <v>0</v>
      </c>
      <c r="I32" s="38">
        <f>H32/F32</f>
        <v>0</v>
      </c>
    </row>
    <row r="34" spans="1:9" ht="15" x14ac:dyDescent="0.25">
      <c r="A34" s="17" t="s">
        <v>1766</v>
      </c>
    </row>
    <row r="36" spans="1:9" s="18" customFormat="1" ht="17.399999999999999" customHeight="1" x14ac:dyDescent="0.25">
      <c r="A36" s="39" t="s">
        <v>0</v>
      </c>
      <c r="B36" s="41" t="s">
        <v>1761</v>
      </c>
      <c r="C36" s="41"/>
      <c r="D36" s="42" t="s">
        <v>1763</v>
      </c>
      <c r="E36" s="43"/>
      <c r="F36" s="41" t="s">
        <v>1768</v>
      </c>
      <c r="G36" s="40" t="s">
        <v>1772</v>
      </c>
      <c r="H36" s="39" t="s">
        <v>1773</v>
      </c>
      <c r="I36" s="39"/>
    </row>
    <row r="37" spans="1:9" s="18" customFormat="1" ht="17.399999999999999" customHeight="1" x14ac:dyDescent="0.25">
      <c r="A37" s="39"/>
      <c r="B37" s="11" t="s">
        <v>1</v>
      </c>
      <c r="C37" s="11" t="s">
        <v>1762</v>
      </c>
      <c r="D37" s="44"/>
      <c r="E37" s="45"/>
      <c r="F37" s="41"/>
      <c r="G37" s="40"/>
      <c r="H37" s="11" t="s">
        <v>1774</v>
      </c>
      <c r="I37" s="11" t="s">
        <v>1775</v>
      </c>
    </row>
    <row r="38" spans="1:9" ht="16.2" customHeight="1" x14ac:dyDescent="0.25">
      <c r="A38" s="8">
        <v>1</v>
      </c>
      <c r="B38" s="9" t="s">
        <v>2476</v>
      </c>
      <c r="C38" s="22" t="s">
        <v>2477</v>
      </c>
      <c r="D38" s="48" t="s">
        <v>2478</v>
      </c>
      <c r="E38" s="49" t="s">
        <v>2478</v>
      </c>
      <c r="F38" s="10">
        <v>803</v>
      </c>
      <c r="G38" s="19"/>
      <c r="H38" s="19"/>
      <c r="I38" s="37">
        <f>H38/F38</f>
        <v>0</v>
      </c>
    </row>
    <row r="39" spans="1:9" ht="16.8" customHeight="1" x14ac:dyDescent="0.25">
      <c r="A39" s="39" t="s">
        <v>1769</v>
      </c>
      <c r="B39" s="39"/>
      <c r="C39" s="39"/>
      <c r="D39" s="39" t="s">
        <v>2050</v>
      </c>
      <c r="E39" s="39"/>
      <c r="F39" s="12">
        <f>SUM(F38:F38)</f>
        <v>803</v>
      </c>
      <c r="G39" s="20"/>
      <c r="H39" s="12">
        <f>SUM(H38:H38)</f>
        <v>0</v>
      </c>
      <c r="I39" s="38">
        <f>H39/F39</f>
        <v>0</v>
      </c>
    </row>
  </sheetData>
  <mergeCells count="44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F36:F37"/>
    <mergeCell ref="G36:G37"/>
    <mergeCell ref="H36:I36"/>
    <mergeCell ref="D23:E23"/>
    <mergeCell ref="D24:E24"/>
    <mergeCell ref="D25:E25"/>
    <mergeCell ref="D26:E26"/>
    <mergeCell ref="D31:E31"/>
    <mergeCell ref="D32:E32"/>
    <mergeCell ref="D38:E38"/>
    <mergeCell ref="A39:C39"/>
    <mergeCell ref="D39:E39"/>
    <mergeCell ref="D27:E27"/>
    <mergeCell ref="D28:E28"/>
    <mergeCell ref="D29:E29"/>
    <mergeCell ref="D30:E30"/>
    <mergeCell ref="A36:A37"/>
    <mergeCell ref="B36:C36"/>
    <mergeCell ref="D36:E37"/>
    <mergeCell ref="A32:C32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EC8C-01EB-49FC-A890-08CAB2CE9E56}">
  <sheetPr codeName="Sheet41"/>
  <dimension ref="A1:I54"/>
  <sheetViews>
    <sheetView topLeftCell="A22" zoomScaleNormal="100" workbookViewId="0">
      <selection activeCell="C61" sqref="C61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2542</v>
      </c>
      <c r="C5" s="14" t="s">
        <v>2543</v>
      </c>
      <c r="D5" s="46" t="s">
        <v>119</v>
      </c>
      <c r="E5" s="47" t="s">
        <v>119</v>
      </c>
      <c r="F5" s="15">
        <v>0.5</v>
      </c>
      <c r="G5" s="19"/>
      <c r="H5" s="19"/>
      <c r="I5" s="37">
        <f t="shared" ref="I5:I26" si="0">H5/F5</f>
        <v>0</v>
      </c>
    </row>
    <row r="6" spans="1:9" ht="15.6" customHeight="1" x14ac:dyDescent="0.25">
      <c r="A6" s="13">
        <v>2</v>
      </c>
      <c r="B6" s="14" t="s">
        <v>2544</v>
      </c>
      <c r="C6" s="14" t="s">
        <v>2545</v>
      </c>
      <c r="D6" s="46" t="s">
        <v>119</v>
      </c>
      <c r="E6" s="47" t="s">
        <v>119</v>
      </c>
      <c r="F6" s="15">
        <v>3.5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2546</v>
      </c>
      <c r="C7" s="14" t="s">
        <v>2547</v>
      </c>
      <c r="D7" s="46" t="s">
        <v>1445</v>
      </c>
      <c r="E7" s="47" t="s">
        <v>1445</v>
      </c>
      <c r="F7" s="15">
        <v>8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2629</v>
      </c>
      <c r="C8" s="14" t="s">
        <v>2548</v>
      </c>
      <c r="D8" s="46" t="s">
        <v>2549</v>
      </c>
      <c r="E8" s="47" t="s">
        <v>2549</v>
      </c>
      <c r="F8" s="15">
        <v>11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2550</v>
      </c>
      <c r="C9" s="14" t="s">
        <v>2551</v>
      </c>
      <c r="D9" s="46" t="s">
        <v>1445</v>
      </c>
      <c r="E9" s="47" t="s">
        <v>1445</v>
      </c>
      <c r="F9" s="15">
        <v>5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2552</v>
      </c>
      <c r="C10" s="14" t="s">
        <v>2553</v>
      </c>
      <c r="D10" s="46" t="s">
        <v>2554</v>
      </c>
      <c r="E10" s="47" t="s">
        <v>2554</v>
      </c>
      <c r="F10" s="15">
        <v>12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2555</v>
      </c>
      <c r="C11" s="14" t="s">
        <v>2556</v>
      </c>
      <c r="D11" s="46" t="s">
        <v>1445</v>
      </c>
      <c r="E11" s="47" t="s">
        <v>1445</v>
      </c>
      <c r="F11" s="15">
        <v>14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2557</v>
      </c>
      <c r="C12" s="14" t="s">
        <v>2558</v>
      </c>
      <c r="D12" s="46" t="s">
        <v>1445</v>
      </c>
      <c r="E12" s="47" t="s">
        <v>1445</v>
      </c>
      <c r="F12" s="15">
        <v>1.5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2559</v>
      </c>
      <c r="C13" s="14" t="s">
        <v>2560</v>
      </c>
      <c r="D13" s="46" t="s">
        <v>1445</v>
      </c>
      <c r="E13" s="47" t="s">
        <v>1445</v>
      </c>
      <c r="F13" s="15">
        <v>8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2561</v>
      </c>
      <c r="C14" s="14" t="s">
        <v>2562</v>
      </c>
      <c r="D14" s="46" t="s">
        <v>1758</v>
      </c>
      <c r="E14" s="47" t="s">
        <v>1758</v>
      </c>
      <c r="F14" s="15">
        <v>7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2563</v>
      </c>
      <c r="C15" s="14" t="s">
        <v>2564</v>
      </c>
      <c r="D15" s="46" t="s">
        <v>1445</v>
      </c>
      <c r="E15" s="47" t="s">
        <v>1445</v>
      </c>
      <c r="F15" s="15">
        <v>4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2565</v>
      </c>
      <c r="C16" s="14" t="s">
        <v>2566</v>
      </c>
      <c r="D16" s="46" t="s">
        <v>1445</v>
      </c>
      <c r="E16" s="47" t="s">
        <v>1445</v>
      </c>
      <c r="F16" s="15">
        <v>2.8</v>
      </c>
      <c r="G16" s="15"/>
      <c r="H16" s="15"/>
      <c r="I16" s="37">
        <f t="shared" si="0"/>
        <v>0</v>
      </c>
    </row>
    <row r="17" spans="1:9" ht="15.6" customHeight="1" x14ac:dyDescent="0.25">
      <c r="A17" s="13">
        <v>13</v>
      </c>
      <c r="B17" s="14" t="s">
        <v>2567</v>
      </c>
      <c r="C17" s="14" t="s">
        <v>2568</v>
      </c>
      <c r="D17" s="46" t="s">
        <v>1757</v>
      </c>
      <c r="E17" s="47" t="s">
        <v>1757</v>
      </c>
      <c r="F17" s="15">
        <v>1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4" t="s">
        <v>2569</v>
      </c>
      <c r="C18" s="14" t="s">
        <v>2570</v>
      </c>
      <c r="D18" s="46" t="s">
        <v>1445</v>
      </c>
      <c r="E18" s="47" t="s">
        <v>1445</v>
      </c>
      <c r="F18" s="15">
        <v>5.2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4" t="s">
        <v>2571</v>
      </c>
      <c r="C19" s="14" t="s">
        <v>2572</v>
      </c>
      <c r="D19" s="46" t="s">
        <v>1445</v>
      </c>
      <c r="E19" s="47" t="s">
        <v>1445</v>
      </c>
      <c r="F19" s="15">
        <v>4</v>
      </c>
      <c r="G19" s="15"/>
      <c r="H19" s="15"/>
      <c r="I19" s="37">
        <f t="shared" si="0"/>
        <v>0</v>
      </c>
    </row>
    <row r="20" spans="1:9" ht="15.6" customHeight="1" x14ac:dyDescent="0.25">
      <c r="A20" s="13">
        <v>16</v>
      </c>
      <c r="B20" s="14" t="s">
        <v>2573</v>
      </c>
      <c r="C20" s="14" t="s">
        <v>2574</v>
      </c>
      <c r="D20" s="46" t="s">
        <v>699</v>
      </c>
      <c r="E20" s="47" t="s">
        <v>699</v>
      </c>
      <c r="F20" s="15">
        <v>1.5</v>
      </c>
      <c r="G20" s="19"/>
      <c r="H20" s="19"/>
      <c r="I20" s="37">
        <f t="shared" si="0"/>
        <v>0</v>
      </c>
    </row>
    <row r="21" spans="1:9" ht="15.6" customHeight="1" x14ac:dyDescent="0.25">
      <c r="A21" s="13">
        <v>17</v>
      </c>
      <c r="B21" s="14" t="s">
        <v>2630</v>
      </c>
      <c r="C21" s="14" t="s">
        <v>2575</v>
      </c>
      <c r="D21" s="46" t="s">
        <v>699</v>
      </c>
      <c r="E21" s="47" t="s">
        <v>699</v>
      </c>
      <c r="F21" s="16">
        <v>19</v>
      </c>
      <c r="G21" s="19"/>
      <c r="H21" s="19"/>
      <c r="I21" s="37">
        <f t="shared" si="0"/>
        <v>0</v>
      </c>
    </row>
    <row r="22" spans="1:9" ht="15.6" customHeight="1" x14ac:dyDescent="0.25">
      <c r="A22" s="13">
        <v>18</v>
      </c>
      <c r="B22" s="14" t="s">
        <v>2576</v>
      </c>
      <c r="C22" s="14" t="s">
        <v>2577</v>
      </c>
      <c r="D22" s="46" t="s">
        <v>1445</v>
      </c>
      <c r="E22" s="47" t="s">
        <v>1445</v>
      </c>
      <c r="F22" s="15">
        <v>3</v>
      </c>
      <c r="G22" s="15"/>
      <c r="H22" s="15"/>
      <c r="I22" s="37">
        <f t="shared" si="0"/>
        <v>0</v>
      </c>
    </row>
    <row r="23" spans="1:9" ht="15.6" customHeight="1" x14ac:dyDescent="0.25">
      <c r="A23" s="13">
        <v>19</v>
      </c>
      <c r="B23" s="14" t="s">
        <v>2578</v>
      </c>
      <c r="C23" s="14" t="s">
        <v>2579</v>
      </c>
      <c r="D23" s="46" t="s">
        <v>1445</v>
      </c>
      <c r="E23" s="47" t="s">
        <v>1445</v>
      </c>
      <c r="F23" s="15">
        <v>5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4" t="s">
        <v>2580</v>
      </c>
      <c r="C24" s="14" t="s">
        <v>2581</v>
      </c>
      <c r="D24" s="46" t="s">
        <v>1758</v>
      </c>
      <c r="E24" s="47" t="s">
        <v>1758</v>
      </c>
      <c r="F24" s="15">
        <v>2.5</v>
      </c>
      <c r="G24" s="19"/>
      <c r="H24" s="19"/>
      <c r="I24" s="37">
        <f t="shared" si="0"/>
        <v>0</v>
      </c>
    </row>
    <row r="25" spans="1:9" ht="15.6" customHeight="1" x14ac:dyDescent="0.25">
      <c r="A25" s="13">
        <v>21</v>
      </c>
      <c r="B25" s="14" t="s">
        <v>2582</v>
      </c>
      <c r="C25" s="14" t="s">
        <v>2583</v>
      </c>
      <c r="D25" s="46" t="s">
        <v>1445</v>
      </c>
      <c r="E25" s="47" t="s">
        <v>1445</v>
      </c>
      <c r="F25" s="15">
        <v>2.5</v>
      </c>
      <c r="G25" s="15"/>
      <c r="H25" s="15"/>
      <c r="I25" s="37">
        <f t="shared" si="0"/>
        <v>0</v>
      </c>
    </row>
    <row r="26" spans="1:9" ht="15.6" customHeight="1" x14ac:dyDescent="0.25">
      <c r="A26" s="13">
        <v>22</v>
      </c>
      <c r="B26" s="14" t="s">
        <v>2584</v>
      </c>
      <c r="C26" s="14" t="s">
        <v>2585</v>
      </c>
      <c r="D26" s="46" t="s">
        <v>699</v>
      </c>
      <c r="E26" s="47" t="s">
        <v>699</v>
      </c>
      <c r="F26" s="15">
        <v>3</v>
      </c>
      <c r="G26" s="19"/>
      <c r="H26" s="19"/>
      <c r="I26" s="37">
        <f t="shared" si="0"/>
        <v>0</v>
      </c>
    </row>
    <row r="27" spans="1:9" ht="15.6" customHeight="1" x14ac:dyDescent="0.25">
      <c r="A27" s="13">
        <v>23</v>
      </c>
      <c r="B27" s="14" t="s">
        <v>2586</v>
      </c>
      <c r="C27" s="14" t="s">
        <v>2587</v>
      </c>
      <c r="D27" s="46" t="s">
        <v>699</v>
      </c>
      <c r="E27" s="47" t="s">
        <v>699</v>
      </c>
      <c r="F27" s="15">
        <v>3</v>
      </c>
      <c r="G27" s="19"/>
      <c r="H27" s="19"/>
      <c r="I27" s="37">
        <f t="shared" ref="I27:I45" si="1">H27/F27</f>
        <v>0</v>
      </c>
    </row>
    <row r="28" spans="1:9" ht="15.6" customHeight="1" x14ac:dyDescent="0.25">
      <c r="A28" s="13">
        <v>24</v>
      </c>
      <c r="B28" s="14" t="s">
        <v>2588</v>
      </c>
      <c r="C28" s="14" t="s">
        <v>2589</v>
      </c>
      <c r="D28" s="46" t="s">
        <v>1758</v>
      </c>
      <c r="E28" s="47" t="s">
        <v>1758</v>
      </c>
      <c r="F28" s="15">
        <v>30</v>
      </c>
      <c r="G28" s="19"/>
      <c r="H28" s="19"/>
      <c r="I28" s="37">
        <f t="shared" si="1"/>
        <v>0</v>
      </c>
    </row>
    <row r="29" spans="1:9" ht="15.6" customHeight="1" x14ac:dyDescent="0.25">
      <c r="A29" s="13">
        <v>25</v>
      </c>
      <c r="B29" s="14" t="s">
        <v>2590</v>
      </c>
      <c r="C29" s="14" t="s">
        <v>2591</v>
      </c>
      <c r="D29" s="46" t="s">
        <v>1445</v>
      </c>
      <c r="E29" s="47" t="s">
        <v>1445</v>
      </c>
      <c r="F29" s="15">
        <v>2.1</v>
      </c>
      <c r="G29" s="19"/>
      <c r="H29" s="19"/>
      <c r="I29" s="37">
        <f t="shared" si="1"/>
        <v>0</v>
      </c>
    </row>
    <row r="30" spans="1:9" ht="15.6" customHeight="1" x14ac:dyDescent="0.25">
      <c r="A30" s="13">
        <v>26</v>
      </c>
      <c r="B30" s="14" t="s">
        <v>2592</v>
      </c>
      <c r="C30" s="14" t="s">
        <v>2593</v>
      </c>
      <c r="D30" s="46" t="s">
        <v>119</v>
      </c>
      <c r="E30" s="47" t="s">
        <v>119</v>
      </c>
      <c r="F30" s="15">
        <v>2.2000000000000002</v>
      </c>
      <c r="G30" s="19"/>
      <c r="H30" s="19"/>
      <c r="I30" s="37">
        <f t="shared" si="1"/>
        <v>0</v>
      </c>
    </row>
    <row r="31" spans="1:9" ht="15.6" customHeight="1" x14ac:dyDescent="0.25">
      <c r="A31" s="13">
        <v>27</v>
      </c>
      <c r="B31" s="14" t="s">
        <v>2594</v>
      </c>
      <c r="C31" s="14" t="s">
        <v>2595</v>
      </c>
      <c r="D31" s="46" t="s">
        <v>1445</v>
      </c>
      <c r="E31" s="47" t="s">
        <v>1445</v>
      </c>
      <c r="F31" s="15">
        <v>2.2999999999999998</v>
      </c>
      <c r="G31" s="19"/>
      <c r="H31" s="19"/>
      <c r="I31" s="37">
        <f t="shared" si="1"/>
        <v>0</v>
      </c>
    </row>
    <row r="32" spans="1:9" ht="15.6" customHeight="1" x14ac:dyDescent="0.25">
      <c r="A32" s="13">
        <v>28</v>
      </c>
      <c r="B32" s="14" t="s">
        <v>2596</v>
      </c>
      <c r="C32" s="14" t="s">
        <v>2597</v>
      </c>
      <c r="D32" s="46" t="s">
        <v>2598</v>
      </c>
      <c r="E32" s="47" t="s">
        <v>2598</v>
      </c>
      <c r="F32" s="15">
        <v>5</v>
      </c>
      <c r="G32" s="19"/>
      <c r="H32" s="19"/>
      <c r="I32" s="37">
        <f t="shared" si="1"/>
        <v>0</v>
      </c>
    </row>
    <row r="33" spans="1:9" ht="15.6" customHeight="1" x14ac:dyDescent="0.25">
      <c r="A33" s="13">
        <v>29</v>
      </c>
      <c r="B33" s="14" t="s">
        <v>2599</v>
      </c>
      <c r="C33" s="14" t="s">
        <v>2600</v>
      </c>
      <c r="D33" s="46" t="s">
        <v>1445</v>
      </c>
      <c r="E33" s="47" t="s">
        <v>1445</v>
      </c>
      <c r="F33" s="15">
        <v>3</v>
      </c>
      <c r="G33" s="19"/>
      <c r="H33" s="19"/>
      <c r="I33" s="37">
        <f t="shared" si="1"/>
        <v>0</v>
      </c>
    </row>
    <row r="34" spans="1:9" ht="15.6" customHeight="1" x14ac:dyDescent="0.25">
      <c r="A34" s="13">
        <v>30</v>
      </c>
      <c r="B34" s="14" t="s">
        <v>2601</v>
      </c>
      <c r="C34" s="14" t="s">
        <v>2602</v>
      </c>
      <c r="D34" s="46" t="s">
        <v>1757</v>
      </c>
      <c r="E34" s="47" t="s">
        <v>1757</v>
      </c>
      <c r="F34" s="15">
        <v>1.2</v>
      </c>
      <c r="G34" s="19"/>
      <c r="H34" s="19"/>
      <c r="I34" s="37">
        <f t="shared" si="1"/>
        <v>0</v>
      </c>
    </row>
    <row r="35" spans="1:9" ht="15.6" customHeight="1" x14ac:dyDescent="0.25">
      <c r="A35" s="13">
        <v>31</v>
      </c>
      <c r="B35" s="14" t="s">
        <v>2603</v>
      </c>
      <c r="C35" s="14" t="s">
        <v>2604</v>
      </c>
      <c r="D35" s="46" t="s">
        <v>1445</v>
      </c>
      <c r="E35" s="47" t="s">
        <v>1445</v>
      </c>
      <c r="F35" s="15">
        <v>2</v>
      </c>
      <c r="G35" s="19"/>
      <c r="H35" s="19"/>
      <c r="I35" s="37">
        <f t="shared" si="1"/>
        <v>0</v>
      </c>
    </row>
    <row r="36" spans="1:9" ht="15.6" customHeight="1" x14ac:dyDescent="0.25">
      <c r="A36" s="13">
        <v>32</v>
      </c>
      <c r="B36" s="14" t="s">
        <v>2605</v>
      </c>
      <c r="C36" s="14" t="s">
        <v>2606</v>
      </c>
      <c r="D36" s="46" t="s">
        <v>2598</v>
      </c>
      <c r="E36" s="47" t="s">
        <v>2598</v>
      </c>
      <c r="F36" s="15">
        <v>3.5</v>
      </c>
      <c r="G36" s="19"/>
      <c r="H36" s="19"/>
      <c r="I36" s="37">
        <f t="shared" si="1"/>
        <v>0</v>
      </c>
    </row>
    <row r="37" spans="1:9" ht="15.6" customHeight="1" x14ac:dyDescent="0.25">
      <c r="A37" s="13">
        <v>33</v>
      </c>
      <c r="B37" s="14" t="s">
        <v>2607</v>
      </c>
      <c r="C37" s="14" t="s">
        <v>2608</v>
      </c>
      <c r="D37" s="46" t="s">
        <v>2545</v>
      </c>
      <c r="E37" s="47" t="s">
        <v>2545</v>
      </c>
      <c r="F37" s="15">
        <v>1.5</v>
      </c>
      <c r="G37" s="19"/>
      <c r="H37" s="19"/>
      <c r="I37" s="37">
        <f t="shared" si="1"/>
        <v>0</v>
      </c>
    </row>
    <row r="38" spans="1:9" ht="15.6" customHeight="1" x14ac:dyDescent="0.25">
      <c r="A38" s="13">
        <v>34</v>
      </c>
      <c r="B38" s="14" t="s">
        <v>2609</v>
      </c>
      <c r="C38" s="14" t="s">
        <v>2610</v>
      </c>
      <c r="D38" s="46" t="s">
        <v>2554</v>
      </c>
      <c r="E38" s="47" t="s">
        <v>2554</v>
      </c>
      <c r="F38" s="15">
        <v>3.5</v>
      </c>
      <c r="G38" s="19"/>
      <c r="H38" s="19"/>
      <c r="I38" s="37">
        <f t="shared" si="1"/>
        <v>0</v>
      </c>
    </row>
    <row r="39" spans="1:9" ht="15.6" customHeight="1" x14ac:dyDescent="0.25">
      <c r="A39" s="13">
        <v>35</v>
      </c>
      <c r="B39" s="14" t="s">
        <v>2611</v>
      </c>
      <c r="C39" s="14" t="s">
        <v>2612</v>
      </c>
      <c r="D39" s="46" t="s">
        <v>1445</v>
      </c>
      <c r="E39" s="47" t="s">
        <v>1445</v>
      </c>
      <c r="F39" s="15">
        <v>3.5</v>
      </c>
      <c r="G39" s="19"/>
      <c r="H39" s="19"/>
      <c r="I39" s="37">
        <f t="shared" si="1"/>
        <v>0</v>
      </c>
    </row>
    <row r="40" spans="1:9" ht="15.6" customHeight="1" x14ac:dyDescent="0.25">
      <c r="A40" s="13">
        <v>36</v>
      </c>
      <c r="B40" s="14" t="s">
        <v>2613</v>
      </c>
      <c r="C40" s="14" t="s">
        <v>2614</v>
      </c>
      <c r="D40" s="46" t="s">
        <v>1445</v>
      </c>
      <c r="E40" s="47" t="s">
        <v>1445</v>
      </c>
      <c r="F40" s="15">
        <v>2.5</v>
      </c>
      <c r="G40" s="19"/>
      <c r="H40" s="19"/>
      <c r="I40" s="37">
        <f t="shared" si="1"/>
        <v>0</v>
      </c>
    </row>
    <row r="41" spans="1:9" ht="15.6" customHeight="1" x14ac:dyDescent="0.25">
      <c r="A41" s="13">
        <v>37</v>
      </c>
      <c r="B41" s="14" t="s">
        <v>2615</v>
      </c>
      <c r="C41" s="14" t="s">
        <v>2616</v>
      </c>
      <c r="D41" s="46" t="s">
        <v>2617</v>
      </c>
      <c r="E41" s="47" t="s">
        <v>2617</v>
      </c>
      <c r="F41" s="15">
        <v>2.5</v>
      </c>
      <c r="G41" s="19"/>
      <c r="H41" s="19"/>
      <c r="I41" s="37">
        <f t="shared" si="1"/>
        <v>0</v>
      </c>
    </row>
    <row r="42" spans="1:9" ht="15.6" customHeight="1" x14ac:dyDescent="0.25">
      <c r="A42" s="13">
        <v>38</v>
      </c>
      <c r="B42" s="14" t="s">
        <v>2618</v>
      </c>
      <c r="C42" s="14" t="s">
        <v>2619</v>
      </c>
      <c r="D42" s="46" t="s">
        <v>2617</v>
      </c>
      <c r="E42" s="47" t="s">
        <v>2617</v>
      </c>
      <c r="F42" s="15">
        <v>6</v>
      </c>
      <c r="G42" s="19"/>
      <c r="H42" s="19"/>
      <c r="I42" s="37">
        <f t="shared" si="1"/>
        <v>0</v>
      </c>
    </row>
    <row r="43" spans="1:9" ht="15.6" customHeight="1" x14ac:dyDescent="0.25">
      <c r="A43" s="13">
        <v>39</v>
      </c>
      <c r="B43" s="14" t="s">
        <v>2620</v>
      </c>
      <c r="C43" s="14" t="s">
        <v>2621</v>
      </c>
      <c r="D43" s="46" t="s">
        <v>2622</v>
      </c>
      <c r="E43" s="47" t="s">
        <v>2622</v>
      </c>
      <c r="F43" s="15">
        <v>3</v>
      </c>
      <c r="G43" s="19"/>
      <c r="H43" s="19"/>
      <c r="I43" s="37">
        <f t="shared" si="1"/>
        <v>0</v>
      </c>
    </row>
    <row r="44" spans="1:9" ht="15.6" customHeight="1" x14ac:dyDescent="0.25">
      <c r="A44" s="13">
        <v>40</v>
      </c>
      <c r="B44" s="14" t="s">
        <v>2623</v>
      </c>
      <c r="C44" s="14" t="s">
        <v>2624</v>
      </c>
      <c r="D44" s="46" t="s">
        <v>2622</v>
      </c>
      <c r="E44" s="47" t="s">
        <v>2622</v>
      </c>
      <c r="F44" s="15">
        <v>3</v>
      </c>
      <c r="G44" s="19"/>
      <c r="H44" s="19"/>
      <c r="I44" s="37">
        <f t="shared" si="1"/>
        <v>0</v>
      </c>
    </row>
    <row r="45" spans="1:9" ht="15.6" customHeight="1" x14ac:dyDescent="0.25">
      <c r="A45" s="13">
        <v>41</v>
      </c>
      <c r="B45" s="14" t="s">
        <v>2625</v>
      </c>
      <c r="C45" s="14" t="s">
        <v>2626</v>
      </c>
      <c r="D45" s="46" t="s">
        <v>2622</v>
      </c>
      <c r="E45" s="47" t="s">
        <v>2622</v>
      </c>
      <c r="F45" s="15">
        <v>3</v>
      </c>
      <c r="G45" s="19"/>
      <c r="H45" s="19"/>
      <c r="I45" s="37">
        <f t="shared" si="1"/>
        <v>0</v>
      </c>
    </row>
    <row r="46" spans="1:9" ht="15.6" customHeight="1" x14ac:dyDescent="0.25">
      <c r="A46" s="13">
        <v>42</v>
      </c>
      <c r="B46" s="14" t="s">
        <v>2627</v>
      </c>
      <c r="C46" s="14" t="s">
        <v>2628</v>
      </c>
      <c r="D46" s="46" t="s">
        <v>1445</v>
      </c>
      <c r="E46" s="47" t="s">
        <v>1445</v>
      </c>
      <c r="F46" s="15">
        <v>6</v>
      </c>
      <c r="G46" s="19"/>
      <c r="H46" s="19"/>
      <c r="I46" s="37">
        <f>H46/F46</f>
        <v>0</v>
      </c>
    </row>
    <row r="47" spans="1:9" ht="16.8" customHeight="1" x14ac:dyDescent="0.25">
      <c r="A47" s="39" t="s">
        <v>1769</v>
      </c>
      <c r="B47" s="39"/>
      <c r="C47" s="39"/>
      <c r="D47" s="39" t="s">
        <v>1961</v>
      </c>
      <c r="E47" s="39"/>
      <c r="F47" s="12">
        <f>SUM(F5:F46)</f>
        <v>212.79999999999998</v>
      </c>
      <c r="G47" s="20"/>
      <c r="H47" s="12">
        <f>SUM(H5:H46)</f>
        <v>0</v>
      </c>
      <c r="I47" s="38">
        <f>H47/F47</f>
        <v>0</v>
      </c>
    </row>
    <row r="49" spans="1:9" ht="15" x14ac:dyDescent="0.25">
      <c r="A49" s="17" t="s">
        <v>1766</v>
      </c>
    </row>
    <row r="51" spans="1:9" s="18" customFormat="1" ht="17.399999999999999" customHeight="1" x14ac:dyDescent="0.25">
      <c r="A51" s="39" t="s">
        <v>0</v>
      </c>
      <c r="B51" s="41" t="s">
        <v>1761</v>
      </c>
      <c r="C51" s="41"/>
      <c r="D51" s="42" t="s">
        <v>1763</v>
      </c>
      <c r="E51" s="43"/>
      <c r="F51" s="41" t="s">
        <v>1768</v>
      </c>
      <c r="G51" s="40" t="s">
        <v>1772</v>
      </c>
      <c r="H51" s="39" t="s">
        <v>1773</v>
      </c>
      <c r="I51" s="39"/>
    </row>
    <row r="52" spans="1:9" s="18" customFormat="1" ht="17.399999999999999" customHeight="1" x14ac:dyDescent="0.25">
      <c r="A52" s="39"/>
      <c r="B52" s="11" t="s">
        <v>1</v>
      </c>
      <c r="C52" s="11" t="s">
        <v>1762</v>
      </c>
      <c r="D52" s="44"/>
      <c r="E52" s="45"/>
      <c r="F52" s="41"/>
      <c r="G52" s="40"/>
      <c r="H52" s="11" t="s">
        <v>1774</v>
      </c>
      <c r="I52" s="11" t="s">
        <v>1775</v>
      </c>
    </row>
    <row r="53" spans="1:9" ht="16.2" customHeight="1" x14ac:dyDescent="0.25">
      <c r="A53" s="8">
        <v>1</v>
      </c>
      <c r="B53" s="9" t="s">
        <v>2539</v>
      </c>
      <c r="C53" s="22" t="s">
        <v>2540</v>
      </c>
      <c r="D53" s="48" t="s">
        <v>2541</v>
      </c>
      <c r="E53" s="49" t="s">
        <v>2541</v>
      </c>
      <c r="F53" s="10">
        <v>0</v>
      </c>
      <c r="G53" s="19"/>
      <c r="H53" s="19"/>
      <c r="I53" s="37" t="e">
        <f>H53/F53</f>
        <v>#DIV/0!</v>
      </c>
    </row>
    <row r="54" spans="1:9" ht="16.8" customHeight="1" x14ac:dyDescent="0.25">
      <c r="A54" s="39" t="s">
        <v>1769</v>
      </c>
      <c r="B54" s="39"/>
      <c r="C54" s="39"/>
      <c r="D54" s="39" t="s">
        <v>1771</v>
      </c>
      <c r="E54" s="39"/>
      <c r="F54" s="12">
        <f>SUM(F53:F53)</f>
        <v>0</v>
      </c>
      <c r="G54" s="20"/>
      <c r="H54" s="12">
        <f>SUM(H53:H53)</f>
        <v>0</v>
      </c>
      <c r="I54" s="38" t="e">
        <f>H54/F54</f>
        <v>#DIV/0!</v>
      </c>
    </row>
  </sheetData>
  <mergeCells count="59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F51:F52"/>
    <mergeCell ref="G51:G52"/>
    <mergeCell ref="H51:I51"/>
    <mergeCell ref="D23:E23"/>
    <mergeCell ref="D24:E24"/>
    <mergeCell ref="D25:E25"/>
    <mergeCell ref="D26:E26"/>
    <mergeCell ref="D46:E46"/>
    <mergeCell ref="D47:E47"/>
    <mergeCell ref="D32:E32"/>
    <mergeCell ref="D33:E33"/>
    <mergeCell ref="D34:E34"/>
    <mergeCell ref="D53:E53"/>
    <mergeCell ref="D35:E35"/>
    <mergeCell ref="A54:C54"/>
    <mergeCell ref="D54:E54"/>
    <mergeCell ref="D27:E27"/>
    <mergeCell ref="D28:E28"/>
    <mergeCell ref="D29:E29"/>
    <mergeCell ref="D30:E30"/>
    <mergeCell ref="D31:E31"/>
    <mergeCell ref="A51:A52"/>
    <mergeCell ref="B51:C51"/>
    <mergeCell ref="D51:E52"/>
    <mergeCell ref="A47:C47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41:E41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363B-B401-4FA4-994F-3A1C0D5F644E}">
  <sheetPr codeName="Sheet1"/>
  <dimension ref="A1:I141"/>
  <sheetViews>
    <sheetView topLeftCell="A119" zoomScaleNormal="100" workbookViewId="0">
      <selection activeCell="F150" sqref="F150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2631</v>
      </c>
      <c r="C5" s="14" t="s">
        <v>2632</v>
      </c>
      <c r="D5" s="46" t="s">
        <v>2633</v>
      </c>
      <c r="E5" s="47" t="s">
        <v>2633</v>
      </c>
      <c r="F5" s="15">
        <v>14</v>
      </c>
      <c r="G5" s="19"/>
      <c r="H5" s="19"/>
      <c r="I5" s="34">
        <f t="shared" ref="I5:I141" si="0">H5/F5</f>
        <v>0</v>
      </c>
    </row>
    <row r="6" spans="1:9" ht="15.6" customHeight="1" x14ac:dyDescent="0.25">
      <c r="A6" s="13">
        <v>2</v>
      </c>
      <c r="B6" s="14" t="s">
        <v>2634</v>
      </c>
      <c r="C6" s="14" t="s">
        <v>2635</v>
      </c>
      <c r="D6" s="46" t="s">
        <v>2636</v>
      </c>
      <c r="E6" s="47" t="s">
        <v>2636</v>
      </c>
      <c r="F6" s="15">
        <v>17</v>
      </c>
      <c r="G6" s="19"/>
      <c r="H6" s="19"/>
      <c r="I6" s="34">
        <f t="shared" si="0"/>
        <v>0</v>
      </c>
    </row>
    <row r="7" spans="1:9" ht="15.6" customHeight="1" x14ac:dyDescent="0.25">
      <c r="A7" s="13">
        <v>3</v>
      </c>
      <c r="B7" s="14" t="s">
        <v>2637</v>
      </c>
      <c r="C7" s="14" t="s">
        <v>2638</v>
      </c>
      <c r="D7" s="46" t="s">
        <v>2639</v>
      </c>
      <c r="E7" s="47" t="s">
        <v>2639</v>
      </c>
      <c r="F7" s="15">
        <v>11.5</v>
      </c>
      <c r="G7" s="15"/>
      <c r="H7" s="15"/>
      <c r="I7" s="34">
        <f t="shared" si="0"/>
        <v>0</v>
      </c>
    </row>
    <row r="8" spans="1:9" ht="15.6" customHeight="1" x14ac:dyDescent="0.25">
      <c r="A8" s="13">
        <v>4</v>
      </c>
      <c r="B8" s="14" t="s">
        <v>2640</v>
      </c>
      <c r="C8" s="14" t="s">
        <v>2641</v>
      </c>
      <c r="D8" s="46" t="s">
        <v>2642</v>
      </c>
      <c r="E8" s="47" t="s">
        <v>2642</v>
      </c>
      <c r="F8" s="15">
        <v>22</v>
      </c>
      <c r="G8" s="19"/>
      <c r="H8" s="19"/>
      <c r="I8" s="34">
        <f t="shared" si="0"/>
        <v>0</v>
      </c>
    </row>
    <row r="9" spans="1:9" ht="15.6" customHeight="1" x14ac:dyDescent="0.25">
      <c r="A9" s="13">
        <v>5</v>
      </c>
      <c r="B9" s="14" t="s">
        <v>2643</v>
      </c>
      <c r="C9" s="14" t="s">
        <v>2644</v>
      </c>
      <c r="D9" s="46" t="s">
        <v>2645</v>
      </c>
      <c r="E9" s="47" t="s">
        <v>2645</v>
      </c>
      <c r="F9" s="15">
        <v>22</v>
      </c>
      <c r="G9" s="19"/>
      <c r="H9" s="19"/>
      <c r="I9" s="34">
        <f t="shared" si="0"/>
        <v>0</v>
      </c>
    </row>
    <row r="10" spans="1:9" ht="15.6" customHeight="1" x14ac:dyDescent="0.25">
      <c r="A10" s="13">
        <v>6</v>
      </c>
      <c r="B10" s="14" t="s">
        <v>2646</v>
      </c>
      <c r="C10" s="14" t="s">
        <v>2647</v>
      </c>
      <c r="D10" s="46" t="s">
        <v>2648</v>
      </c>
      <c r="E10" s="47" t="s">
        <v>2648</v>
      </c>
      <c r="F10" s="15">
        <v>32</v>
      </c>
      <c r="G10" s="15"/>
      <c r="H10" s="15"/>
      <c r="I10" s="34">
        <f t="shared" si="0"/>
        <v>0</v>
      </c>
    </row>
    <row r="11" spans="1:9" ht="15.6" customHeight="1" x14ac:dyDescent="0.25">
      <c r="A11" s="13">
        <v>7</v>
      </c>
      <c r="B11" s="14" t="s">
        <v>2649</v>
      </c>
      <c r="C11" s="14" t="s">
        <v>2650</v>
      </c>
      <c r="D11" s="46" t="s">
        <v>2651</v>
      </c>
      <c r="E11" s="47" t="s">
        <v>2651</v>
      </c>
      <c r="F11" s="15">
        <v>12</v>
      </c>
      <c r="G11" s="19"/>
      <c r="H11" s="19"/>
      <c r="I11" s="34">
        <f t="shared" si="0"/>
        <v>0</v>
      </c>
    </row>
    <row r="12" spans="1:9" ht="15.6" customHeight="1" x14ac:dyDescent="0.25">
      <c r="A12" s="13">
        <v>8</v>
      </c>
      <c r="B12" s="14" t="s">
        <v>2652</v>
      </c>
      <c r="C12" s="14" t="s">
        <v>2653</v>
      </c>
      <c r="D12" s="46" t="s">
        <v>2654</v>
      </c>
      <c r="E12" s="47" t="s">
        <v>2654</v>
      </c>
      <c r="F12" s="15">
        <v>17</v>
      </c>
      <c r="G12" s="19"/>
      <c r="H12" s="19"/>
      <c r="I12" s="34">
        <f t="shared" si="0"/>
        <v>0</v>
      </c>
    </row>
    <row r="13" spans="1:9" ht="15.6" customHeight="1" x14ac:dyDescent="0.25">
      <c r="A13" s="13">
        <v>9</v>
      </c>
      <c r="B13" s="14" t="s">
        <v>2655</v>
      </c>
      <c r="C13" s="14" t="s">
        <v>2656</v>
      </c>
      <c r="D13" s="46" t="s">
        <v>2657</v>
      </c>
      <c r="E13" s="47" t="s">
        <v>2657</v>
      </c>
      <c r="F13" s="15">
        <v>9.6999999999999993</v>
      </c>
      <c r="G13" s="15"/>
      <c r="H13" s="15"/>
      <c r="I13" s="34">
        <f t="shared" si="0"/>
        <v>0</v>
      </c>
    </row>
    <row r="14" spans="1:9" ht="15.6" customHeight="1" x14ac:dyDescent="0.25">
      <c r="A14" s="13">
        <v>10</v>
      </c>
      <c r="B14" s="14" t="s">
        <v>2658</v>
      </c>
      <c r="C14" s="14" t="s">
        <v>2659</v>
      </c>
      <c r="D14" s="46" t="s">
        <v>2660</v>
      </c>
      <c r="E14" s="47" t="s">
        <v>2660</v>
      </c>
      <c r="F14" s="15">
        <v>6</v>
      </c>
      <c r="G14" s="19"/>
      <c r="H14" s="19"/>
      <c r="I14" s="34">
        <f t="shared" si="0"/>
        <v>0</v>
      </c>
    </row>
    <row r="15" spans="1:9" ht="15.6" customHeight="1" x14ac:dyDescent="0.25">
      <c r="A15" s="13">
        <v>11</v>
      </c>
      <c r="B15" s="14" t="s">
        <v>2661</v>
      </c>
      <c r="C15" s="14" t="s">
        <v>2662</v>
      </c>
      <c r="D15" s="46" t="s">
        <v>2663</v>
      </c>
      <c r="E15" s="47" t="s">
        <v>2663</v>
      </c>
      <c r="F15" s="15">
        <v>14</v>
      </c>
      <c r="G15" s="19"/>
      <c r="H15" s="19"/>
      <c r="I15" s="34">
        <f t="shared" si="0"/>
        <v>0</v>
      </c>
    </row>
    <row r="16" spans="1:9" ht="15.6" customHeight="1" x14ac:dyDescent="0.25">
      <c r="A16" s="13">
        <v>12</v>
      </c>
      <c r="B16" s="14" t="s">
        <v>2664</v>
      </c>
      <c r="C16" s="14" t="s">
        <v>2665</v>
      </c>
      <c r="D16" s="46" t="s">
        <v>2666</v>
      </c>
      <c r="E16" s="47" t="s">
        <v>2666</v>
      </c>
      <c r="F16" s="15">
        <v>5</v>
      </c>
      <c r="G16" s="15"/>
      <c r="H16" s="15"/>
      <c r="I16" s="34">
        <f t="shared" si="0"/>
        <v>0</v>
      </c>
    </row>
    <row r="17" spans="1:9" ht="15.6" customHeight="1" x14ac:dyDescent="0.25">
      <c r="A17" s="13">
        <v>13</v>
      </c>
      <c r="B17" s="14" t="s">
        <v>2667</v>
      </c>
      <c r="C17" s="14" t="s">
        <v>2668</v>
      </c>
      <c r="D17" s="46" t="s">
        <v>2654</v>
      </c>
      <c r="E17" s="47" t="s">
        <v>2654</v>
      </c>
      <c r="F17" s="15">
        <v>3.5</v>
      </c>
      <c r="G17" s="19"/>
      <c r="H17" s="19"/>
      <c r="I17" s="34">
        <f t="shared" si="0"/>
        <v>0</v>
      </c>
    </row>
    <row r="18" spans="1:9" ht="15.6" customHeight="1" x14ac:dyDescent="0.25">
      <c r="A18" s="13">
        <v>14</v>
      </c>
      <c r="B18" s="14" t="s">
        <v>2669</v>
      </c>
      <c r="C18" s="14" t="s">
        <v>2670</v>
      </c>
      <c r="D18" s="46" t="s">
        <v>2671</v>
      </c>
      <c r="E18" s="47" t="s">
        <v>2671</v>
      </c>
      <c r="F18" s="15">
        <v>3</v>
      </c>
      <c r="G18" s="19"/>
      <c r="H18" s="19"/>
      <c r="I18" s="34">
        <f t="shared" si="0"/>
        <v>0</v>
      </c>
    </row>
    <row r="19" spans="1:9" ht="15.6" customHeight="1" x14ac:dyDescent="0.25">
      <c r="A19" s="13">
        <v>15</v>
      </c>
      <c r="B19" s="14" t="s">
        <v>2672</v>
      </c>
      <c r="C19" s="14" t="s">
        <v>2673</v>
      </c>
      <c r="D19" s="46" t="s">
        <v>2671</v>
      </c>
      <c r="E19" s="47" t="s">
        <v>2671</v>
      </c>
      <c r="F19" s="15">
        <v>3</v>
      </c>
      <c r="G19" s="15"/>
      <c r="H19" s="15"/>
      <c r="I19" s="34">
        <f t="shared" si="0"/>
        <v>0</v>
      </c>
    </row>
    <row r="20" spans="1:9" ht="15.6" customHeight="1" x14ac:dyDescent="0.25">
      <c r="A20" s="13">
        <v>16</v>
      </c>
      <c r="B20" s="14" t="s">
        <v>2674</v>
      </c>
      <c r="C20" s="14" t="s">
        <v>2675</v>
      </c>
      <c r="D20" s="46" t="s">
        <v>119</v>
      </c>
      <c r="E20" s="47" t="s">
        <v>119</v>
      </c>
      <c r="F20" s="15">
        <v>4</v>
      </c>
      <c r="G20" s="19"/>
      <c r="H20" s="19"/>
      <c r="I20" s="34">
        <f t="shared" si="0"/>
        <v>0</v>
      </c>
    </row>
    <row r="21" spans="1:9" ht="15.6" customHeight="1" x14ac:dyDescent="0.25">
      <c r="A21" s="13">
        <v>17</v>
      </c>
      <c r="B21" s="14" t="s">
        <v>2676</v>
      </c>
      <c r="C21" s="14" t="s">
        <v>2677</v>
      </c>
      <c r="D21" s="46" t="s">
        <v>2678</v>
      </c>
      <c r="E21" s="47" t="s">
        <v>2678</v>
      </c>
      <c r="F21" s="16">
        <v>2</v>
      </c>
      <c r="G21" s="19"/>
      <c r="H21" s="19"/>
      <c r="I21" s="34">
        <f t="shared" si="0"/>
        <v>0</v>
      </c>
    </row>
    <row r="22" spans="1:9" ht="15.6" customHeight="1" x14ac:dyDescent="0.25">
      <c r="A22" s="13">
        <v>18</v>
      </c>
      <c r="B22" s="14" t="s">
        <v>2679</v>
      </c>
      <c r="C22" s="14" t="s">
        <v>2680</v>
      </c>
      <c r="D22" s="46" t="s">
        <v>2681</v>
      </c>
      <c r="E22" s="47" t="s">
        <v>2681</v>
      </c>
      <c r="F22" s="15">
        <v>4</v>
      </c>
      <c r="G22" s="15"/>
      <c r="H22" s="15"/>
      <c r="I22" s="34">
        <f t="shared" si="0"/>
        <v>0</v>
      </c>
    </row>
    <row r="23" spans="1:9" ht="15.6" customHeight="1" x14ac:dyDescent="0.25">
      <c r="A23" s="13">
        <v>19</v>
      </c>
      <c r="B23" s="14" t="s">
        <v>2682</v>
      </c>
      <c r="C23" s="14" t="s">
        <v>2683</v>
      </c>
      <c r="D23" s="46" t="s">
        <v>1445</v>
      </c>
      <c r="E23" s="47" t="s">
        <v>1445</v>
      </c>
      <c r="F23" s="15">
        <v>2.5</v>
      </c>
      <c r="G23" s="19"/>
      <c r="H23" s="19"/>
      <c r="I23" s="34">
        <f t="shared" si="0"/>
        <v>0</v>
      </c>
    </row>
    <row r="24" spans="1:9" ht="15.6" customHeight="1" x14ac:dyDescent="0.25">
      <c r="A24" s="13">
        <v>20</v>
      </c>
      <c r="B24" s="14" t="s">
        <v>2684</v>
      </c>
      <c r="C24" s="14" t="s">
        <v>2685</v>
      </c>
      <c r="D24" s="46" t="s">
        <v>304</v>
      </c>
      <c r="E24" s="47" t="s">
        <v>304</v>
      </c>
      <c r="F24" s="15">
        <v>3</v>
      </c>
      <c r="G24" s="19"/>
      <c r="H24" s="19"/>
      <c r="I24" s="34">
        <f t="shared" si="0"/>
        <v>0</v>
      </c>
    </row>
    <row r="25" spans="1:9" ht="15.6" customHeight="1" x14ac:dyDescent="0.25">
      <c r="A25" s="13">
        <v>21</v>
      </c>
      <c r="B25" s="14" t="s">
        <v>2686</v>
      </c>
      <c r="C25" s="14" t="s">
        <v>2687</v>
      </c>
      <c r="D25" s="46" t="s">
        <v>2688</v>
      </c>
      <c r="E25" s="47" t="s">
        <v>2688</v>
      </c>
      <c r="F25" s="15">
        <v>1.5</v>
      </c>
      <c r="G25" s="15"/>
      <c r="H25" s="15"/>
      <c r="I25" s="34">
        <f t="shared" si="0"/>
        <v>0</v>
      </c>
    </row>
    <row r="26" spans="1:9" ht="15.6" customHeight="1" x14ac:dyDescent="0.25">
      <c r="A26" s="13">
        <v>22</v>
      </c>
      <c r="B26" s="14" t="s">
        <v>2689</v>
      </c>
      <c r="C26" s="14" t="s">
        <v>2690</v>
      </c>
      <c r="D26" s="46" t="s">
        <v>304</v>
      </c>
      <c r="E26" s="47" t="s">
        <v>304</v>
      </c>
      <c r="F26" s="15">
        <v>3</v>
      </c>
      <c r="G26" s="19"/>
      <c r="H26" s="19"/>
      <c r="I26" s="34">
        <f t="shared" si="0"/>
        <v>0</v>
      </c>
    </row>
    <row r="27" spans="1:9" ht="15.6" customHeight="1" x14ac:dyDescent="0.25">
      <c r="A27" s="13">
        <v>23</v>
      </c>
      <c r="B27" s="14" t="s">
        <v>2691</v>
      </c>
      <c r="C27" s="14" t="s">
        <v>2692</v>
      </c>
      <c r="D27" s="46" t="s">
        <v>304</v>
      </c>
      <c r="E27" s="47" t="s">
        <v>304</v>
      </c>
      <c r="F27" s="15">
        <v>2</v>
      </c>
      <c r="G27" s="19"/>
      <c r="H27" s="19"/>
      <c r="I27" s="34">
        <f t="shared" si="0"/>
        <v>0</v>
      </c>
    </row>
    <row r="28" spans="1:9" ht="15.6" customHeight="1" x14ac:dyDescent="0.25">
      <c r="A28" s="13">
        <v>24</v>
      </c>
      <c r="B28" s="14" t="s">
        <v>2693</v>
      </c>
      <c r="C28" s="14" t="s">
        <v>2694</v>
      </c>
      <c r="D28" s="46" t="s">
        <v>119</v>
      </c>
      <c r="E28" s="47" t="s">
        <v>119</v>
      </c>
      <c r="F28" s="15">
        <v>2</v>
      </c>
      <c r="G28" s="19"/>
      <c r="H28" s="19"/>
      <c r="I28" s="34">
        <f t="shared" si="0"/>
        <v>0</v>
      </c>
    </row>
    <row r="29" spans="1:9" ht="15.6" customHeight="1" x14ac:dyDescent="0.25">
      <c r="A29" s="13">
        <v>25</v>
      </c>
      <c r="B29" s="14" t="s">
        <v>2695</v>
      </c>
      <c r="C29" s="14" t="s">
        <v>2696</v>
      </c>
      <c r="D29" s="46" t="s">
        <v>2697</v>
      </c>
      <c r="E29" s="47" t="s">
        <v>2697</v>
      </c>
      <c r="F29" s="15">
        <v>0.5</v>
      </c>
      <c r="G29" s="19"/>
      <c r="H29" s="19"/>
      <c r="I29" s="34">
        <f t="shared" si="0"/>
        <v>0</v>
      </c>
    </row>
    <row r="30" spans="1:9" ht="15.6" customHeight="1" x14ac:dyDescent="0.25">
      <c r="A30" s="13">
        <v>26</v>
      </c>
      <c r="B30" s="14" t="s">
        <v>2698</v>
      </c>
      <c r="C30" s="14" t="s">
        <v>2699</v>
      </c>
      <c r="D30" s="46" t="s">
        <v>304</v>
      </c>
      <c r="E30" s="47" t="s">
        <v>304</v>
      </c>
      <c r="F30" s="15">
        <v>3</v>
      </c>
      <c r="G30" s="19"/>
      <c r="H30" s="19"/>
      <c r="I30" s="34">
        <f t="shared" si="0"/>
        <v>0</v>
      </c>
    </row>
    <row r="31" spans="1:9" ht="15.6" customHeight="1" x14ac:dyDescent="0.25">
      <c r="A31" s="13">
        <v>27</v>
      </c>
      <c r="B31" s="14" t="s">
        <v>2700</v>
      </c>
      <c r="C31" s="14" t="s">
        <v>2701</v>
      </c>
      <c r="D31" s="46" t="s">
        <v>2702</v>
      </c>
      <c r="E31" s="47" t="s">
        <v>2702</v>
      </c>
      <c r="F31" s="15">
        <v>5</v>
      </c>
      <c r="G31" s="19"/>
      <c r="H31" s="19"/>
      <c r="I31" s="34">
        <f t="shared" si="0"/>
        <v>0</v>
      </c>
    </row>
    <row r="32" spans="1:9" ht="15.6" customHeight="1" x14ac:dyDescent="0.25">
      <c r="A32" s="13">
        <v>28</v>
      </c>
      <c r="B32" s="14" t="s">
        <v>2703</v>
      </c>
      <c r="C32" s="14" t="s">
        <v>2704</v>
      </c>
      <c r="D32" s="46" t="s">
        <v>2705</v>
      </c>
      <c r="E32" s="47" t="s">
        <v>2705</v>
      </c>
      <c r="F32" s="15">
        <v>1.1000000000000001</v>
      </c>
      <c r="G32" s="19"/>
      <c r="H32" s="19"/>
      <c r="I32" s="34">
        <f t="shared" si="0"/>
        <v>0</v>
      </c>
    </row>
    <row r="33" spans="1:9" ht="15.6" customHeight="1" x14ac:dyDescent="0.25">
      <c r="A33" s="13">
        <v>29</v>
      </c>
      <c r="B33" s="14" t="s">
        <v>2706</v>
      </c>
      <c r="C33" s="14" t="s">
        <v>2707</v>
      </c>
      <c r="D33" s="46" t="s">
        <v>304</v>
      </c>
      <c r="E33" s="47" t="s">
        <v>304</v>
      </c>
      <c r="F33" s="15">
        <v>0.5</v>
      </c>
      <c r="G33" s="19"/>
      <c r="H33" s="19"/>
      <c r="I33" s="34">
        <f t="shared" si="0"/>
        <v>0</v>
      </c>
    </row>
    <row r="34" spans="1:9" ht="15.6" customHeight="1" x14ac:dyDescent="0.25">
      <c r="A34" s="13">
        <v>30</v>
      </c>
      <c r="B34" s="14" t="s">
        <v>2708</v>
      </c>
      <c r="C34" s="14" t="s">
        <v>2709</v>
      </c>
      <c r="D34" s="46" t="s">
        <v>2678</v>
      </c>
      <c r="E34" s="47" t="s">
        <v>2678</v>
      </c>
      <c r="F34" s="15">
        <v>1.2</v>
      </c>
      <c r="G34" s="19"/>
      <c r="H34" s="19"/>
      <c r="I34" s="34">
        <f t="shared" si="0"/>
        <v>0</v>
      </c>
    </row>
    <row r="35" spans="1:9" ht="15.6" customHeight="1" x14ac:dyDescent="0.25">
      <c r="A35" s="13">
        <v>31</v>
      </c>
      <c r="B35" s="14" t="s">
        <v>2710</v>
      </c>
      <c r="C35" s="14" t="s">
        <v>2711</v>
      </c>
      <c r="D35" s="46" t="s">
        <v>119</v>
      </c>
      <c r="E35" s="47" t="s">
        <v>119</v>
      </c>
      <c r="F35" s="15">
        <v>0.8</v>
      </c>
      <c r="G35" s="19"/>
      <c r="H35" s="19"/>
      <c r="I35" s="34">
        <f t="shared" si="0"/>
        <v>0</v>
      </c>
    </row>
    <row r="36" spans="1:9" ht="15.6" customHeight="1" x14ac:dyDescent="0.25">
      <c r="A36" s="13">
        <v>32</v>
      </c>
      <c r="B36" s="14" t="s">
        <v>2712</v>
      </c>
      <c r="C36" s="14" t="s">
        <v>2713</v>
      </c>
      <c r="D36" s="46" t="s">
        <v>304</v>
      </c>
      <c r="E36" s="47" t="s">
        <v>304</v>
      </c>
      <c r="F36" s="15">
        <v>2.5</v>
      </c>
      <c r="G36" s="19"/>
      <c r="H36" s="19"/>
      <c r="I36" s="34">
        <f t="shared" si="0"/>
        <v>0</v>
      </c>
    </row>
    <row r="37" spans="1:9" ht="15.6" customHeight="1" x14ac:dyDescent="0.25">
      <c r="A37" s="13">
        <v>33</v>
      </c>
      <c r="B37" s="14" t="s">
        <v>2714</v>
      </c>
      <c r="C37" s="14" t="s">
        <v>2715</v>
      </c>
      <c r="D37" s="46" t="s">
        <v>2716</v>
      </c>
      <c r="E37" s="47" t="s">
        <v>2716</v>
      </c>
      <c r="F37" s="15">
        <v>6.7</v>
      </c>
      <c r="G37" s="19"/>
      <c r="H37" s="19"/>
      <c r="I37" s="34">
        <f t="shared" si="0"/>
        <v>0</v>
      </c>
    </row>
    <row r="38" spans="1:9" ht="15.6" customHeight="1" x14ac:dyDescent="0.25">
      <c r="A38" s="13">
        <v>34</v>
      </c>
      <c r="B38" s="14" t="s">
        <v>2717</v>
      </c>
      <c r="C38" s="14" t="s">
        <v>2718</v>
      </c>
      <c r="D38" s="46" t="s">
        <v>2716</v>
      </c>
      <c r="E38" s="47" t="s">
        <v>2716</v>
      </c>
      <c r="F38" s="15">
        <v>4</v>
      </c>
      <c r="G38" s="19"/>
      <c r="H38" s="19"/>
      <c r="I38" s="34">
        <f t="shared" si="0"/>
        <v>0</v>
      </c>
    </row>
    <row r="39" spans="1:9" ht="15.6" customHeight="1" x14ac:dyDescent="0.25">
      <c r="A39" s="13">
        <v>35</v>
      </c>
      <c r="B39" s="14" t="s">
        <v>2719</v>
      </c>
      <c r="C39" s="14" t="s">
        <v>2720</v>
      </c>
      <c r="D39" s="46" t="s">
        <v>2721</v>
      </c>
      <c r="E39" s="47" t="s">
        <v>2721</v>
      </c>
      <c r="F39" s="15">
        <v>1.2</v>
      </c>
      <c r="G39" s="19"/>
      <c r="H39" s="19"/>
      <c r="I39" s="34">
        <f t="shared" si="0"/>
        <v>0</v>
      </c>
    </row>
    <row r="40" spans="1:9" ht="15.6" customHeight="1" x14ac:dyDescent="0.25">
      <c r="A40" s="13">
        <v>36</v>
      </c>
      <c r="B40" s="14" t="s">
        <v>2722</v>
      </c>
      <c r="C40" s="14" t="s">
        <v>2723</v>
      </c>
      <c r="D40" s="46" t="s">
        <v>2721</v>
      </c>
      <c r="E40" s="47" t="s">
        <v>2721</v>
      </c>
      <c r="F40" s="15">
        <v>1</v>
      </c>
      <c r="G40" s="19"/>
      <c r="H40" s="19"/>
      <c r="I40" s="34">
        <f t="shared" si="0"/>
        <v>0</v>
      </c>
    </row>
    <row r="41" spans="1:9" ht="15.6" customHeight="1" x14ac:dyDescent="0.25">
      <c r="A41" s="13">
        <v>37</v>
      </c>
      <c r="B41" s="14" t="s">
        <v>2724</v>
      </c>
      <c r="C41" s="14" t="s">
        <v>2725</v>
      </c>
      <c r="D41" s="46" t="s">
        <v>2721</v>
      </c>
      <c r="E41" s="47" t="s">
        <v>2721</v>
      </c>
      <c r="F41" s="15">
        <v>2.8</v>
      </c>
      <c r="G41" s="19"/>
      <c r="H41" s="19"/>
      <c r="I41" s="34">
        <f t="shared" si="0"/>
        <v>0</v>
      </c>
    </row>
    <row r="42" spans="1:9" ht="15.6" customHeight="1" x14ac:dyDescent="0.25">
      <c r="A42" s="13">
        <v>38</v>
      </c>
      <c r="B42" s="14" t="s">
        <v>2726</v>
      </c>
      <c r="C42" s="14" t="s">
        <v>2727</v>
      </c>
      <c r="D42" s="46" t="s">
        <v>2721</v>
      </c>
      <c r="E42" s="47" t="s">
        <v>2721</v>
      </c>
      <c r="F42" s="15">
        <v>0.8</v>
      </c>
      <c r="G42" s="19"/>
      <c r="H42" s="19"/>
      <c r="I42" s="34">
        <f t="shared" si="0"/>
        <v>0</v>
      </c>
    </row>
    <row r="43" spans="1:9" ht="15.6" customHeight="1" x14ac:dyDescent="0.25">
      <c r="A43" s="13">
        <v>39</v>
      </c>
      <c r="B43" s="14" t="s">
        <v>2728</v>
      </c>
      <c r="C43" s="14" t="s">
        <v>2729</v>
      </c>
      <c r="D43" s="46" t="s">
        <v>2730</v>
      </c>
      <c r="E43" s="47" t="s">
        <v>2730</v>
      </c>
      <c r="F43" s="15">
        <v>1</v>
      </c>
      <c r="G43" s="19"/>
      <c r="H43" s="19"/>
      <c r="I43" s="34">
        <f t="shared" si="0"/>
        <v>0</v>
      </c>
    </row>
    <row r="44" spans="1:9" ht="15.6" customHeight="1" x14ac:dyDescent="0.25">
      <c r="A44" s="13">
        <v>40</v>
      </c>
      <c r="B44" s="14" t="s">
        <v>2731</v>
      </c>
      <c r="C44" s="14" t="s">
        <v>2732</v>
      </c>
      <c r="D44" s="46" t="s">
        <v>119</v>
      </c>
      <c r="E44" s="47" t="s">
        <v>119</v>
      </c>
      <c r="F44" s="15">
        <v>1.5</v>
      </c>
      <c r="G44" s="19"/>
      <c r="H44" s="19"/>
      <c r="I44" s="34">
        <f t="shared" si="0"/>
        <v>0</v>
      </c>
    </row>
    <row r="45" spans="1:9" ht="15.6" customHeight="1" x14ac:dyDescent="0.25">
      <c r="A45" s="13">
        <v>41</v>
      </c>
      <c r="B45" s="14" t="s">
        <v>2733</v>
      </c>
      <c r="C45" s="14" t="s">
        <v>2734</v>
      </c>
      <c r="D45" s="46" t="s">
        <v>2721</v>
      </c>
      <c r="E45" s="47" t="s">
        <v>2721</v>
      </c>
      <c r="F45" s="15">
        <v>1.2</v>
      </c>
      <c r="G45" s="19"/>
      <c r="H45" s="19"/>
      <c r="I45" s="34">
        <f t="shared" si="0"/>
        <v>0</v>
      </c>
    </row>
    <row r="46" spans="1:9" ht="15.6" customHeight="1" x14ac:dyDescent="0.25">
      <c r="A46" s="13">
        <v>42</v>
      </c>
      <c r="B46" s="14" t="s">
        <v>2735</v>
      </c>
      <c r="C46" s="14" t="s">
        <v>2736</v>
      </c>
      <c r="D46" s="46" t="s">
        <v>2721</v>
      </c>
      <c r="E46" s="47" t="s">
        <v>2721</v>
      </c>
      <c r="F46" s="15">
        <v>1.2</v>
      </c>
      <c r="G46" s="19"/>
      <c r="H46" s="19"/>
      <c r="I46" s="34">
        <f t="shared" si="0"/>
        <v>0</v>
      </c>
    </row>
    <row r="47" spans="1:9" ht="15.6" customHeight="1" x14ac:dyDescent="0.25">
      <c r="A47" s="13">
        <v>43</v>
      </c>
      <c r="B47" s="14" t="s">
        <v>2737</v>
      </c>
      <c r="C47" s="14" t="s">
        <v>2738</v>
      </c>
      <c r="D47" s="46" t="s">
        <v>2739</v>
      </c>
      <c r="E47" s="47" t="s">
        <v>2739</v>
      </c>
      <c r="F47" s="15">
        <v>6</v>
      </c>
      <c r="G47" s="19"/>
      <c r="H47" s="19"/>
      <c r="I47" s="34">
        <f t="shared" si="0"/>
        <v>0</v>
      </c>
    </row>
    <row r="48" spans="1:9" ht="15.6" customHeight="1" x14ac:dyDescent="0.25">
      <c r="A48" s="13">
        <v>44</v>
      </c>
      <c r="B48" s="14" t="s">
        <v>2740</v>
      </c>
      <c r="C48" s="14" t="s">
        <v>2741</v>
      </c>
      <c r="D48" s="46" t="s">
        <v>2742</v>
      </c>
      <c r="E48" s="47" t="s">
        <v>2742</v>
      </c>
      <c r="F48" s="15">
        <v>1.5</v>
      </c>
      <c r="G48" s="19"/>
      <c r="H48" s="19"/>
      <c r="I48" s="34">
        <f t="shared" si="0"/>
        <v>0</v>
      </c>
    </row>
    <row r="49" spans="1:9" ht="15.6" customHeight="1" x14ac:dyDescent="0.25">
      <c r="A49" s="13">
        <v>45</v>
      </c>
      <c r="B49" s="14" t="s">
        <v>2743</v>
      </c>
      <c r="C49" s="14" t="s">
        <v>2744</v>
      </c>
      <c r="D49" s="46" t="s">
        <v>2745</v>
      </c>
      <c r="E49" s="47" t="s">
        <v>2745</v>
      </c>
      <c r="F49" s="15">
        <v>4.5</v>
      </c>
      <c r="G49" s="19"/>
      <c r="H49" s="19"/>
      <c r="I49" s="34">
        <f t="shared" si="0"/>
        <v>0</v>
      </c>
    </row>
    <row r="50" spans="1:9" ht="15.6" customHeight="1" x14ac:dyDescent="0.25">
      <c r="A50" s="13">
        <v>46</v>
      </c>
      <c r="B50" s="14" t="s">
        <v>2746</v>
      </c>
      <c r="C50" s="14" t="s">
        <v>2747</v>
      </c>
      <c r="D50" s="46" t="s">
        <v>304</v>
      </c>
      <c r="E50" s="47" t="s">
        <v>304</v>
      </c>
      <c r="F50" s="15">
        <v>0.7</v>
      </c>
      <c r="G50" s="19"/>
      <c r="H50" s="19"/>
      <c r="I50" s="34">
        <f t="shared" si="0"/>
        <v>0</v>
      </c>
    </row>
    <row r="51" spans="1:9" ht="15.6" customHeight="1" x14ac:dyDescent="0.25">
      <c r="A51" s="13">
        <v>47</v>
      </c>
      <c r="B51" s="14" t="s">
        <v>2748</v>
      </c>
      <c r="C51" s="14" t="s">
        <v>2749</v>
      </c>
      <c r="D51" s="46" t="s">
        <v>304</v>
      </c>
      <c r="E51" s="47" t="s">
        <v>304</v>
      </c>
      <c r="F51" s="15">
        <v>1</v>
      </c>
      <c r="G51" s="19"/>
      <c r="H51" s="19"/>
      <c r="I51" s="34">
        <f t="shared" si="0"/>
        <v>0</v>
      </c>
    </row>
    <row r="52" spans="1:9" ht="15.6" customHeight="1" x14ac:dyDescent="0.25">
      <c r="A52" s="13">
        <v>48</v>
      </c>
      <c r="B52" s="14" t="s">
        <v>2750</v>
      </c>
      <c r="C52" s="14" t="s">
        <v>2751</v>
      </c>
      <c r="D52" s="46" t="s">
        <v>304</v>
      </c>
      <c r="E52" s="47" t="s">
        <v>304</v>
      </c>
      <c r="F52" s="15">
        <v>2</v>
      </c>
      <c r="G52" s="19"/>
      <c r="H52" s="19"/>
      <c r="I52" s="34">
        <f t="shared" si="0"/>
        <v>0</v>
      </c>
    </row>
    <row r="53" spans="1:9" ht="15.6" customHeight="1" x14ac:dyDescent="0.25">
      <c r="A53" s="13">
        <v>49</v>
      </c>
      <c r="B53" s="14" t="s">
        <v>2752</v>
      </c>
      <c r="C53" s="14" t="s">
        <v>2753</v>
      </c>
      <c r="D53" s="46" t="s">
        <v>304</v>
      </c>
      <c r="E53" s="47" t="s">
        <v>304</v>
      </c>
      <c r="F53" s="15">
        <v>3</v>
      </c>
      <c r="G53" s="19"/>
      <c r="H53" s="19"/>
      <c r="I53" s="34">
        <f t="shared" si="0"/>
        <v>0</v>
      </c>
    </row>
    <row r="54" spans="1:9" ht="15.6" customHeight="1" x14ac:dyDescent="0.25">
      <c r="A54" s="13">
        <v>50</v>
      </c>
      <c r="B54" s="14" t="s">
        <v>2754</v>
      </c>
      <c r="C54" s="14" t="s">
        <v>2755</v>
      </c>
      <c r="D54" s="46" t="s">
        <v>304</v>
      </c>
      <c r="E54" s="47" t="s">
        <v>304</v>
      </c>
      <c r="F54" s="15">
        <v>5</v>
      </c>
      <c r="G54" s="19"/>
      <c r="H54" s="19"/>
      <c r="I54" s="34">
        <f t="shared" si="0"/>
        <v>0</v>
      </c>
    </row>
    <row r="55" spans="1:9" ht="15.6" customHeight="1" x14ac:dyDescent="0.25">
      <c r="A55" s="13">
        <v>51</v>
      </c>
      <c r="B55" s="14" t="s">
        <v>2756</v>
      </c>
      <c r="C55" s="14" t="s">
        <v>2757</v>
      </c>
      <c r="D55" s="46" t="s">
        <v>304</v>
      </c>
      <c r="E55" s="47" t="s">
        <v>304</v>
      </c>
      <c r="F55" s="15">
        <v>4</v>
      </c>
      <c r="G55" s="19"/>
      <c r="H55" s="19"/>
      <c r="I55" s="34">
        <f t="shared" si="0"/>
        <v>0</v>
      </c>
    </row>
    <row r="56" spans="1:9" ht="15.6" customHeight="1" x14ac:dyDescent="0.25">
      <c r="A56" s="13">
        <v>52</v>
      </c>
      <c r="B56" s="14" t="s">
        <v>2758</v>
      </c>
      <c r="C56" s="14" t="s">
        <v>2759</v>
      </c>
      <c r="D56" s="46" t="s">
        <v>304</v>
      </c>
      <c r="E56" s="47" t="s">
        <v>304</v>
      </c>
      <c r="F56" s="15">
        <v>0.5</v>
      </c>
      <c r="G56" s="19"/>
      <c r="H56" s="19"/>
      <c r="I56" s="34">
        <f t="shared" si="0"/>
        <v>0</v>
      </c>
    </row>
    <row r="57" spans="1:9" ht="15.6" customHeight="1" x14ac:dyDescent="0.25">
      <c r="A57" s="13">
        <v>53</v>
      </c>
      <c r="B57" s="14" t="s">
        <v>2760</v>
      </c>
      <c r="C57" s="14" t="s">
        <v>2761</v>
      </c>
      <c r="D57" s="46" t="s">
        <v>2762</v>
      </c>
      <c r="E57" s="47" t="s">
        <v>2762</v>
      </c>
      <c r="F57" s="15">
        <v>3</v>
      </c>
      <c r="G57" s="19"/>
      <c r="H57" s="19"/>
      <c r="I57" s="34">
        <f t="shared" si="0"/>
        <v>0</v>
      </c>
    </row>
    <row r="58" spans="1:9" ht="15.6" customHeight="1" x14ac:dyDescent="0.25">
      <c r="A58" s="13">
        <v>54</v>
      </c>
      <c r="B58" s="14" t="s">
        <v>2763</v>
      </c>
      <c r="C58" s="14" t="s">
        <v>2764</v>
      </c>
      <c r="D58" s="46" t="s">
        <v>304</v>
      </c>
      <c r="E58" s="47" t="s">
        <v>304</v>
      </c>
      <c r="F58" s="15">
        <v>30</v>
      </c>
      <c r="G58" s="19"/>
      <c r="H58" s="19"/>
      <c r="I58" s="34">
        <f t="shared" si="0"/>
        <v>0</v>
      </c>
    </row>
    <row r="59" spans="1:9" ht="15.6" customHeight="1" x14ac:dyDescent="0.25">
      <c r="A59" s="13">
        <v>55</v>
      </c>
      <c r="B59" s="14" t="s">
        <v>2765</v>
      </c>
      <c r="C59" s="14" t="s">
        <v>2766</v>
      </c>
      <c r="D59" s="46" t="s">
        <v>304</v>
      </c>
      <c r="E59" s="47" t="s">
        <v>304</v>
      </c>
      <c r="F59" s="15">
        <v>1.5</v>
      </c>
      <c r="G59" s="19"/>
      <c r="H59" s="19"/>
      <c r="I59" s="34">
        <f t="shared" si="0"/>
        <v>0</v>
      </c>
    </row>
    <row r="60" spans="1:9" ht="15.6" customHeight="1" x14ac:dyDescent="0.25">
      <c r="A60" s="13">
        <v>56</v>
      </c>
      <c r="B60" s="14" t="s">
        <v>2767</v>
      </c>
      <c r="C60" s="14" t="s">
        <v>2768</v>
      </c>
      <c r="D60" s="46" t="s">
        <v>304</v>
      </c>
      <c r="E60" s="47" t="s">
        <v>304</v>
      </c>
      <c r="F60" s="15">
        <v>0.8</v>
      </c>
      <c r="G60" s="19"/>
      <c r="H60" s="19"/>
      <c r="I60" s="34">
        <f t="shared" si="0"/>
        <v>0</v>
      </c>
    </row>
    <row r="61" spans="1:9" ht="15.6" customHeight="1" x14ac:dyDescent="0.25">
      <c r="A61" s="13">
        <v>57</v>
      </c>
      <c r="B61" s="14" t="s">
        <v>2769</v>
      </c>
      <c r="C61" s="14" t="s">
        <v>2770</v>
      </c>
      <c r="D61" s="46" t="s">
        <v>304</v>
      </c>
      <c r="E61" s="47" t="s">
        <v>304</v>
      </c>
      <c r="F61" s="15">
        <v>1</v>
      </c>
      <c r="G61" s="19"/>
      <c r="H61" s="19"/>
      <c r="I61" s="34">
        <f t="shared" si="0"/>
        <v>0</v>
      </c>
    </row>
    <row r="62" spans="1:9" ht="15.6" customHeight="1" x14ac:dyDescent="0.25">
      <c r="A62" s="13">
        <v>58</v>
      </c>
      <c r="B62" s="14" t="s">
        <v>2771</v>
      </c>
      <c r="C62" s="14" t="s">
        <v>2772</v>
      </c>
      <c r="D62" s="46" t="s">
        <v>304</v>
      </c>
      <c r="E62" s="47" t="s">
        <v>304</v>
      </c>
      <c r="F62" s="15">
        <v>0.5</v>
      </c>
      <c r="G62" s="19"/>
      <c r="H62" s="19"/>
      <c r="I62" s="34">
        <f t="shared" si="0"/>
        <v>0</v>
      </c>
    </row>
    <row r="63" spans="1:9" ht="15.6" customHeight="1" x14ac:dyDescent="0.25">
      <c r="A63" s="13">
        <v>59</v>
      </c>
      <c r="B63" s="14" t="s">
        <v>2773</v>
      </c>
      <c r="C63" s="14" t="s">
        <v>2774</v>
      </c>
      <c r="D63" s="46" t="s">
        <v>119</v>
      </c>
      <c r="E63" s="47" t="s">
        <v>119</v>
      </c>
      <c r="F63" s="15">
        <v>4.5</v>
      </c>
      <c r="G63" s="19"/>
      <c r="H63" s="19"/>
      <c r="I63" s="34">
        <f t="shared" si="0"/>
        <v>0</v>
      </c>
    </row>
    <row r="64" spans="1:9" ht="15.6" customHeight="1" x14ac:dyDescent="0.25">
      <c r="A64" s="13">
        <v>60</v>
      </c>
      <c r="B64" s="14" t="s">
        <v>2775</v>
      </c>
      <c r="C64" s="14" t="s">
        <v>2776</v>
      </c>
      <c r="D64" s="46" t="s">
        <v>304</v>
      </c>
      <c r="E64" s="47" t="s">
        <v>304</v>
      </c>
      <c r="F64" s="15">
        <v>2</v>
      </c>
      <c r="G64" s="19"/>
      <c r="H64" s="19"/>
      <c r="I64" s="34">
        <f t="shared" si="0"/>
        <v>0</v>
      </c>
    </row>
    <row r="65" spans="1:9" ht="15.6" customHeight="1" x14ac:dyDescent="0.25">
      <c r="A65" s="13">
        <v>61</v>
      </c>
      <c r="B65" s="14" t="s">
        <v>2777</v>
      </c>
      <c r="C65" s="14" t="s">
        <v>2778</v>
      </c>
      <c r="D65" s="46" t="s">
        <v>304</v>
      </c>
      <c r="E65" s="47" t="s">
        <v>304</v>
      </c>
      <c r="F65" s="15">
        <v>1</v>
      </c>
      <c r="G65" s="19"/>
      <c r="H65" s="19"/>
      <c r="I65" s="34">
        <f t="shared" si="0"/>
        <v>0</v>
      </c>
    </row>
    <row r="66" spans="1:9" ht="15.6" customHeight="1" x14ac:dyDescent="0.25">
      <c r="A66" s="13">
        <v>62</v>
      </c>
      <c r="B66" s="14" t="s">
        <v>2779</v>
      </c>
      <c r="C66" s="14" t="s">
        <v>2780</v>
      </c>
      <c r="D66" s="46" t="s">
        <v>304</v>
      </c>
      <c r="E66" s="47" t="s">
        <v>304</v>
      </c>
      <c r="F66" s="15">
        <v>1</v>
      </c>
      <c r="G66" s="19"/>
      <c r="H66" s="19"/>
      <c r="I66" s="34">
        <f t="shared" si="0"/>
        <v>0</v>
      </c>
    </row>
    <row r="67" spans="1:9" ht="15.6" customHeight="1" x14ac:dyDescent="0.25">
      <c r="A67" s="13">
        <v>63</v>
      </c>
      <c r="B67" s="14" t="s">
        <v>2781</v>
      </c>
      <c r="C67" s="14" t="s">
        <v>2782</v>
      </c>
      <c r="D67" s="46" t="s">
        <v>304</v>
      </c>
      <c r="E67" s="47" t="s">
        <v>304</v>
      </c>
      <c r="F67" s="15">
        <v>1</v>
      </c>
      <c r="G67" s="19"/>
      <c r="H67" s="19"/>
      <c r="I67" s="34">
        <f t="shared" si="0"/>
        <v>0</v>
      </c>
    </row>
    <row r="68" spans="1:9" ht="15.6" customHeight="1" x14ac:dyDescent="0.25">
      <c r="A68" s="13">
        <v>64</v>
      </c>
      <c r="B68" s="14" t="s">
        <v>2783</v>
      </c>
      <c r="C68" s="14" t="s">
        <v>2701</v>
      </c>
      <c r="D68" s="46" t="s">
        <v>1445</v>
      </c>
      <c r="E68" s="47" t="s">
        <v>1445</v>
      </c>
      <c r="F68" s="15">
        <v>4</v>
      </c>
      <c r="G68" s="19"/>
      <c r="H68" s="19"/>
      <c r="I68" s="34">
        <f t="shared" si="0"/>
        <v>0</v>
      </c>
    </row>
    <row r="69" spans="1:9" ht="15.6" customHeight="1" x14ac:dyDescent="0.25">
      <c r="A69" s="13">
        <v>65</v>
      </c>
      <c r="B69" s="14" t="s">
        <v>2784</v>
      </c>
      <c r="C69" s="14" t="s">
        <v>2785</v>
      </c>
      <c r="D69" s="46" t="s">
        <v>2786</v>
      </c>
      <c r="E69" s="47" t="s">
        <v>2786</v>
      </c>
      <c r="F69" s="15">
        <v>1</v>
      </c>
      <c r="G69" s="19"/>
      <c r="H69" s="19"/>
      <c r="I69" s="34">
        <f t="shared" si="0"/>
        <v>0</v>
      </c>
    </row>
    <row r="70" spans="1:9" ht="15.6" customHeight="1" x14ac:dyDescent="0.25">
      <c r="A70" s="13">
        <v>66</v>
      </c>
      <c r="B70" s="14" t="s">
        <v>2787</v>
      </c>
      <c r="C70" s="14" t="s">
        <v>2788</v>
      </c>
      <c r="D70" s="46" t="s">
        <v>304</v>
      </c>
      <c r="E70" s="47" t="s">
        <v>304</v>
      </c>
      <c r="F70" s="15">
        <v>3.5</v>
      </c>
      <c r="G70" s="19"/>
      <c r="H70" s="19"/>
      <c r="I70" s="34">
        <f t="shared" si="0"/>
        <v>0</v>
      </c>
    </row>
    <row r="71" spans="1:9" ht="15.6" customHeight="1" x14ac:dyDescent="0.25">
      <c r="A71" s="13">
        <v>67</v>
      </c>
      <c r="B71" s="14" t="s">
        <v>2789</v>
      </c>
      <c r="C71" s="14" t="s">
        <v>2790</v>
      </c>
      <c r="D71" s="46" t="s">
        <v>1445</v>
      </c>
      <c r="E71" s="47" t="s">
        <v>1445</v>
      </c>
      <c r="F71" s="15">
        <v>7</v>
      </c>
      <c r="G71" s="19"/>
      <c r="H71" s="19"/>
      <c r="I71" s="34">
        <f t="shared" si="0"/>
        <v>0</v>
      </c>
    </row>
    <row r="72" spans="1:9" ht="15.6" customHeight="1" x14ac:dyDescent="0.25">
      <c r="A72" s="13">
        <v>68</v>
      </c>
      <c r="B72" s="14" t="s">
        <v>2791</v>
      </c>
      <c r="C72" s="14" t="s">
        <v>2792</v>
      </c>
      <c r="D72" s="46" t="s">
        <v>304</v>
      </c>
      <c r="E72" s="47" t="s">
        <v>304</v>
      </c>
      <c r="F72" s="15">
        <v>2</v>
      </c>
      <c r="G72" s="19"/>
      <c r="H72" s="19"/>
      <c r="I72" s="34">
        <f t="shared" si="0"/>
        <v>0</v>
      </c>
    </row>
    <row r="73" spans="1:9" ht="15.6" customHeight="1" x14ac:dyDescent="0.25">
      <c r="A73" s="13">
        <v>69</v>
      </c>
      <c r="B73" s="14" t="s">
        <v>2793</v>
      </c>
      <c r="C73" s="14" t="s">
        <v>2794</v>
      </c>
      <c r="D73" s="46" t="s">
        <v>2795</v>
      </c>
      <c r="E73" s="47" t="s">
        <v>2795</v>
      </c>
      <c r="F73" s="15">
        <v>2</v>
      </c>
      <c r="G73" s="19"/>
      <c r="H73" s="19"/>
      <c r="I73" s="34">
        <f t="shared" si="0"/>
        <v>0</v>
      </c>
    </row>
    <row r="74" spans="1:9" ht="15.6" customHeight="1" x14ac:dyDescent="0.25">
      <c r="A74" s="13">
        <v>70</v>
      </c>
      <c r="B74" s="14" t="s">
        <v>2796</v>
      </c>
      <c r="C74" s="14" t="s">
        <v>2797</v>
      </c>
      <c r="D74" s="46" t="s">
        <v>304</v>
      </c>
      <c r="E74" s="47" t="s">
        <v>304</v>
      </c>
      <c r="F74" s="15">
        <v>2</v>
      </c>
      <c r="G74" s="19"/>
      <c r="H74" s="19"/>
      <c r="I74" s="34">
        <f t="shared" si="0"/>
        <v>0</v>
      </c>
    </row>
    <row r="75" spans="1:9" ht="15.6" customHeight="1" x14ac:dyDescent="0.25">
      <c r="A75" s="13">
        <v>71</v>
      </c>
      <c r="B75" s="14" t="s">
        <v>2798</v>
      </c>
      <c r="C75" s="14" t="s">
        <v>2799</v>
      </c>
      <c r="D75" s="46" t="s">
        <v>1445</v>
      </c>
      <c r="E75" s="47" t="s">
        <v>1445</v>
      </c>
      <c r="F75" s="15">
        <v>4</v>
      </c>
      <c r="G75" s="19"/>
      <c r="H75" s="19"/>
      <c r="I75" s="34">
        <f t="shared" si="0"/>
        <v>0</v>
      </c>
    </row>
    <row r="76" spans="1:9" ht="15.6" customHeight="1" x14ac:dyDescent="0.25">
      <c r="A76" s="13">
        <v>72</v>
      </c>
      <c r="B76" s="14" t="s">
        <v>2800</v>
      </c>
      <c r="C76" s="14" t="s">
        <v>2801</v>
      </c>
      <c r="D76" s="46" t="s">
        <v>304</v>
      </c>
      <c r="E76" s="47" t="s">
        <v>304</v>
      </c>
      <c r="F76" s="15">
        <v>0.4</v>
      </c>
      <c r="G76" s="19"/>
      <c r="H76" s="19"/>
      <c r="I76" s="34">
        <f t="shared" si="0"/>
        <v>0</v>
      </c>
    </row>
    <row r="77" spans="1:9" ht="15.6" customHeight="1" x14ac:dyDescent="0.25">
      <c r="A77" s="13">
        <v>73</v>
      </c>
      <c r="B77" s="14" t="s">
        <v>2802</v>
      </c>
      <c r="C77" s="14" t="s">
        <v>2803</v>
      </c>
      <c r="D77" s="46" t="s">
        <v>2804</v>
      </c>
      <c r="E77" s="47" t="s">
        <v>2804</v>
      </c>
      <c r="F77" s="15">
        <v>1.9</v>
      </c>
      <c r="G77" s="19"/>
      <c r="H77" s="19"/>
      <c r="I77" s="34">
        <f t="shared" si="0"/>
        <v>0</v>
      </c>
    </row>
    <row r="78" spans="1:9" ht="15.6" customHeight="1" x14ac:dyDescent="0.25">
      <c r="A78" s="13">
        <v>74</v>
      </c>
      <c r="B78" s="14" t="s">
        <v>2805</v>
      </c>
      <c r="C78" s="14" t="s">
        <v>2806</v>
      </c>
      <c r="D78" s="46" t="s">
        <v>304</v>
      </c>
      <c r="E78" s="47" t="s">
        <v>304</v>
      </c>
      <c r="F78" s="15">
        <v>3</v>
      </c>
      <c r="G78" s="19"/>
      <c r="H78" s="19"/>
      <c r="I78" s="34">
        <f t="shared" si="0"/>
        <v>0</v>
      </c>
    </row>
    <row r="79" spans="1:9" ht="15.6" customHeight="1" x14ac:dyDescent="0.25">
      <c r="A79" s="13">
        <v>75</v>
      </c>
      <c r="B79" s="14" t="s">
        <v>2807</v>
      </c>
      <c r="C79" s="14" t="s">
        <v>2808</v>
      </c>
      <c r="D79" s="46" t="s">
        <v>2804</v>
      </c>
      <c r="E79" s="47" t="s">
        <v>2804</v>
      </c>
      <c r="F79" s="15">
        <v>4</v>
      </c>
      <c r="G79" s="19"/>
      <c r="H79" s="19"/>
      <c r="I79" s="34">
        <f t="shared" si="0"/>
        <v>0</v>
      </c>
    </row>
    <row r="80" spans="1:9" ht="15.6" customHeight="1" x14ac:dyDescent="0.25">
      <c r="A80" s="13">
        <v>76</v>
      </c>
      <c r="B80" s="14" t="s">
        <v>2809</v>
      </c>
      <c r="C80" s="14" t="s">
        <v>2810</v>
      </c>
      <c r="D80" s="46" t="s">
        <v>2804</v>
      </c>
      <c r="E80" s="47" t="s">
        <v>2804</v>
      </c>
      <c r="F80" s="15">
        <v>2</v>
      </c>
      <c r="G80" s="19"/>
      <c r="H80" s="19"/>
      <c r="I80" s="34">
        <f t="shared" si="0"/>
        <v>0</v>
      </c>
    </row>
    <row r="81" spans="1:9" ht="15.6" customHeight="1" x14ac:dyDescent="0.25">
      <c r="A81" s="13">
        <v>77</v>
      </c>
      <c r="B81" s="14" t="s">
        <v>2811</v>
      </c>
      <c r="C81" s="14" t="s">
        <v>2812</v>
      </c>
      <c r="D81" s="46" t="s">
        <v>2804</v>
      </c>
      <c r="E81" s="47" t="s">
        <v>2804</v>
      </c>
      <c r="F81" s="15">
        <v>1</v>
      </c>
      <c r="G81" s="19"/>
      <c r="H81" s="19"/>
      <c r="I81" s="34">
        <f t="shared" si="0"/>
        <v>0</v>
      </c>
    </row>
    <row r="82" spans="1:9" ht="15.6" customHeight="1" x14ac:dyDescent="0.25">
      <c r="A82" s="13">
        <v>78</v>
      </c>
      <c r="B82" s="14" t="s">
        <v>2813</v>
      </c>
      <c r="C82" s="14" t="s">
        <v>2814</v>
      </c>
      <c r="D82" s="46" t="s">
        <v>304</v>
      </c>
      <c r="E82" s="47" t="s">
        <v>304</v>
      </c>
      <c r="F82" s="15">
        <v>0.6</v>
      </c>
      <c r="G82" s="19"/>
      <c r="H82" s="19"/>
      <c r="I82" s="34">
        <f t="shared" si="0"/>
        <v>0</v>
      </c>
    </row>
    <row r="83" spans="1:9" ht="15.6" customHeight="1" x14ac:dyDescent="0.25">
      <c r="A83" s="13">
        <v>79</v>
      </c>
      <c r="B83" s="14" t="s">
        <v>2815</v>
      </c>
      <c r="C83" s="14" t="s">
        <v>2816</v>
      </c>
      <c r="D83" s="46" t="s">
        <v>304</v>
      </c>
      <c r="E83" s="47" t="s">
        <v>304</v>
      </c>
      <c r="F83" s="15">
        <v>0.4</v>
      </c>
      <c r="G83" s="19"/>
      <c r="H83" s="19"/>
      <c r="I83" s="34">
        <f t="shared" si="0"/>
        <v>0</v>
      </c>
    </row>
    <row r="84" spans="1:9" ht="15.6" customHeight="1" x14ac:dyDescent="0.25">
      <c r="A84" s="13">
        <v>80</v>
      </c>
      <c r="B84" s="14" t="s">
        <v>2817</v>
      </c>
      <c r="C84" s="14" t="s">
        <v>2818</v>
      </c>
      <c r="D84" s="46" t="s">
        <v>304</v>
      </c>
      <c r="E84" s="47" t="s">
        <v>304</v>
      </c>
      <c r="F84" s="15">
        <v>0.6</v>
      </c>
      <c r="G84" s="19"/>
      <c r="H84" s="19"/>
      <c r="I84" s="34">
        <f t="shared" si="0"/>
        <v>0</v>
      </c>
    </row>
    <row r="85" spans="1:9" ht="15.6" customHeight="1" x14ac:dyDescent="0.25">
      <c r="A85" s="13">
        <v>81</v>
      </c>
      <c r="B85" s="14" t="s">
        <v>2819</v>
      </c>
      <c r="C85" s="14" t="s">
        <v>2820</v>
      </c>
      <c r="D85" s="46" t="s">
        <v>304</v>
      </c>
      <c r="E85" s="47" t="s">
        <v>304</v>
      </c>
      <c r="F85" s="15">
        <v>0.4</v>
      </c>
      <c r="G85" s="19"/>
      <c r="H85" s="19"/>
      <c r="I85" s="34">
        <f t="shared" si="0"/>
        <v>0</v>
      </c>
    </row>
    <row r="86" spans="1:9" ht="15.6" customHeight="1" x14ac:dyDescent="0.25">
      <c r="A86" s="13">
        <v>82</v>
      </c>
      <c r="B86" s="14" t="s">
        <v>2821</v>
      </c>
      <c r="C86" s="14" t="s">
        <v>2822</v>
      </c>
      <c r="D86" s="46" t="s">
        <v>304</v>
      </c>
      <c r="E86" s="47" t="s">
        <v>304</v>
      </c>
      <c r="F86" s="15">
        <v>0.1</v>
      </c>
      <c r="G86" s="19"/>
      <c r="H86" s="19"/>
      <c r="I86" s="34">
        <f t="shared" si="0"/>
        <v>0</v>
      </c>
    </row>
    <row r="87" spans="1:9" ht="15.6" customHeight="1" x14ac:dyDescent="0.25">
      <c r="A87" s="13">
        <v>83</v>
      </c>
      <c r="B87" s="14" t="s">
        <v>2823</v>
      </c>
      <c r="C87" s="14" t="s">
        <v>2824</v>
      </c>
      <c r="D87" s="46" t="s">
        <v>1445</v>
      </c>
      <c r="E87" s="47" t="s">
        <v>1445</v>
      </c>
      <c r="F87" s="15">
        <v>4</v>
      </c>
      <c r="G87" s="19"/>
      <c r="H87" s="19"/>
      <c r="I87" s="34">
        <f t="shared" si="0"/>
        <v>0</v>
      </c>
    </row>
    <row r="88" spans="1:9" ht="15.6" customHeight="1" x14ac:dyDescent="0.25">
      <c r="A88" s="13">
        <v>84</v>
      </c>
      <c r="B88" s="14" t="s">
        <v>2825</v>
      </c>
      <c r="C88" s="14" t="s">
        <v>2826</v>
      </c>
      <c r="D88" s="46" t="s">
        <v>1445</v>
      </c>
      <c r="E88" s="47" t="s">
        <v>1445</v>
      </c>
      <c r="F88" s="15">
        <v>4</v>
      </c>
      <c r="G88" s="19"/>
      <c r="H88" s="19"/>
      <c r="I88" s="34">
        <f t="shared" si="0"/>
        <v>0</v>
      </c>
    </row>
    <row r="89" spans="1:9" ht="15.6" customHeight="1" x14ac:dyDescent="0.25">
      <c r="A89" s="13">
        <v>85</v>
      </c>
      <c r="B89" s="14" t="s">
        <v>2827</v>
      </c>
      <c r="C89" s="14" t="s">
        <v>2828</v>
      </c>
      <c r="D89" s="46" t="s">
        <v>2829</v>
      </c>
      <c r="E89" s="47" t="s">
        <v>2829</v>
      </c>
      <c r="F89" s="15">
        <v>1.2</v>
      </c>
      <c r="G89" s="19"/>
      <c r="H89" s="19"/>
      <c r="I89" s="34">
        <f t="shared" si="0"/>
        <v>0</v>
      </c>
    </row>
    <row r="90" spans="1:9" ht="15.6" customHeight="1" x14ac:dyDescent="0.25">
      <c r="A90" s="13">
        <v>86</v>
      </c>
      <c r="B90" s="14" t="s">
        <v>2830</v>
      </c>
      <c r="C90" s="14" t="s">
        <v>2831</v>
      </c>
      <c r="D90" s="46" t="s">
        <v>2829</v>
      </c>
      <c r="E90" s="47" t="s">
        <v>2829</v>
      </c>
      <c r="F90" s="15">
        <v>1.5</v>
      </c>
      <c r="G90" s="19"/>
      <c r="H90" s="19"/>
      <c r="I90" s="34">
        <f t="shared" si="0"/>
        <v>0</v>
      </c>
    </row>
    <row r="91" spans="1:9" ht="15.6" customHeight="1" x14ac:dyDescent="0.25">
      <c r="A91" s="13">
        <v>87</v>
      </c>
      <c r="B91" s="14" t="s">
        <v>2832</v>
      </c>
      <c r="C91" s="14" t="s">
        <v>2833</v>
      </c>
      <c r="D91" s="46" t="s">
        <v>2834</v>
      </c>
      <c r="E91" s="47" t="s">
        <v>2834</v>
      </c>
      <c r="F91" s="15">
        <v>4</v>
      </c>
      <c r="G91" s="19"/>
      <c r="H91" s="19"/>
      <c r="I91" s="34">
        <f t="shared" si="0"/>
        <v>0</v>
      </c>
    </row>
    <row r="92" spans="1:9" ht="15.6" customHeight="1" x14ac:dyDescent="0.25">
      <c r="A92" s="13">
        <v>88</v>
      </c>
      <c r="B92" s="14" t="s">
        <v>2835</v>
      </c>
      <c r="C92" s="14" t="s">
        <v>2836</v>
      </c>
      <c r="D92" s="46" t="s">
        <v>2834</v>
      </c>
      <c r="E92" s="47" t="s">
        <v>2834</v>
      </c>
      <c r="F92" s="15">
        <v>2</v>
      </c>
      <c r="G92" s="19"/>
      <c r="H92" s="19"/>
      <c r="I92" s="34">
        <f t="shared" si="0"/>
        <v>0</v>
      </c>
    </row>
    <row r="93" spans="1:9" ht="15.6" customHeight="1" x14ac:dyDescent="0.25">
      <c r="A93" s="13">
        <v>89</v>
      </c>
      <c r="B93" s="14" t="s">
        <v>2837</v>
      </c>
      <c r="C93" s="14" t="s">
        <v>2838</v>
      </c>
      <c r="D93" s="46" t="s">
        <v>2834</v>
      </c>
      <c r="E93" s="47" t="s">
        <v>2834</v>
      </c>
      <c r="F93" s="15">
        <v>2.5</v>
      </c>
      <c r="G93" s="19"/>
      <c r="H93" s="19"/>
      <c r="I93" s="34">
        <f t="shared" si="0"/>
        <v>0</v>
      </c>
    </row>
    <row r="94" spans="1:9" ht="15.6" customHeight="1" x14ac:dyDescent="0.25">
      <c r="A94" s="13">
        <v>90</v>
      </c>
      <c r="B94" s="14" t="s">
        <v>2839</v>
      </c>
      <c r="C94" s="14" t="s">
        <v>2840</v>
      </c>
      <c r="D94" s="46" t="s">
        <v>2834</v>
      </c>
      <c r="E94" s="47" t="s">
        <v>2834</v>
      </c>
      <c r="F94" s="15">
        <v>1</v>
      </c>
      <c r="G94" s="19"/>
      <c r="H94" s="19"/>
      <c r="I94" s="34">
        <f t="shared" si="0"/>
        <v>0</v>
      </c>
    </row>
    <row r="95" spans="1:9" ht="15.6" customHeight="1" x14ac:dyDescent="0.25">
      <c r="A95" s="13">
        <v>91</v>
      </c>
      <c r="B95" s="14" t="s">
        <v>2841</v>
      </c>
      <c r="C95" s="14" t="s">
        <v>2842</v>
      </c>
      <c r="D95" s="46" t="s">
        <v>2834</v>
      </c>
      <c r="E95" s="47" t="s">
        <v>2834</v>
      </c>
      <c r="F95" s="15">
        <v>4</v>
      </c>
      <c r="G95" s="19"/>
      <c r="H95" s="19"/>
      <c r="I95" s="34">
        <f t="shared" si="0"/>
        <v>0</v>
      </c>
    </row>
    <row r="96" spans="1:9" ht="15.6" customHeight="1" x14ac:dyDescent="0.25">
      <c r="A96" s="13">
        <v>92</v>
      </c>
      <c r="B96" s="14" t="s">
        <v>2843</v>
      </c>
      <c r="C96" s="14" t="s">
        <v>2844</v>
      </c>
      <c r="D96" s="46" t="s">
        <v>2834</v>
      </c>
      <c r="E96" s="47" t="s">
        <v>2834</v>
      </c>
      <c r="F96" s="15">
        <v>2.2999999999999998</v>
      </c>
      <c r="G96" s="19"/>
      <c r="H96" s="19"/>
      <c r="I96" s="34">
        <f t="shared" si="0"/>
        <v>0</v>
      </c>
    </row>
    <row r="97" spans="1:9" ht="15.6" customHeight="1" x14ac:dyDescent="0.25">
      <c r="A97" s="13">
        <v>93</v>
      </c>
      <c r="B97" s="14" t="s">
        <v>2845</v>
      </c>
      <c r="C97" s="14" t="s">
        <v>2846</v>
      </c>
      <c r="D97" s="46" t="s">
        <v>2847</v>
      </c>
      <c r="E97" s="47" t="s">
        <v>2847</v>
      </c>
      <c r="F97" s="15">
        <v>1</v>
      </c>
      <c r="G97" s="19"/>
      <c r="H97" s="19"/>
      <c r="I97" s="34">
        <f t="shared" si="0"/>
        <v>0</v>
      </c>
    </row>
    <row r="98" spans="1:9" ht="15.6" customHeight="1" x14ac:dyDescent="0.25">
      <c r="A98" s="13">
        <v>94</v>
      </c>
      <c r="B98" s="14" t="s">
        <v>2848</v>
      </c>
      <c r="C98" s="14" t="s">
        <v>2849</v>
      </c>
      <c r="D98" s="46" t="s">
        <v>2850</v>
      </c>
      <c r="E98" s="47" t="s">
        <v>2850</v>
      </c>
      <c r="F98" s="15">
        <v>0.6</v>
      </c>
      <c r="G98" s="19"/>
      <c r="H98" s="19"/>
      <c r="I98" s="34">
        <f t="shared" si="0"/>
        <v>0</v>
      </c>
    </row>
    <row r="99" spans="1:9" ht="15.6" customHeight="1" x14ac:dyDescent="0.25">
      <c r="A99" s="13">
        <v>95</v>
      </c>
      <c r="B99" s="14" t="s">
        <v>2851</v>
      </c>
      <c r="C99" s="14" t="s">
        <v>2852</v>
      </c>
      <c r="D99" s="46" t="s">
        <v>304</v>
      </c>
      <c r="E99" s="47" t="s">
        <v>304</v>
      </c>
      <c r="F99" s="15">
        <v>3</v>
      </c>
      <c r="G99" s="19"/>
      <c r="H99" s="19"/>
      <c r="I99" s="34">
        <f t="shared" si="0"/>
        <v>0</v>
      </c>
    </row>
    <row r="100" spans="1:9" ht="15.6" customHeight="1" x14ac:dyDescent="0.25">
      <c r="A100" s="13">
        <v>96</v>
      </c>
      <c r="B100" s="14" t="s">
        <v>2853</v>
      </c>
      <c r="C100" s="14" t="s">
        <v>2854</v>
      </c>
      <c r="D100" s="46" t="s">
        <v>2855</v>
      </c>
      <c r="E100" s="47" t="s">
        <v>2855</v>
      </c>
      <c r="F100" s="15">
        <v>0.9</v>
      </c>
      <c r="G100" s="19"/>
      <c r="H100" s="19"/>
      <c r="I100" s="34">
        <f t="shared" si="0"/>
        <v>0</v>
      </c>
    </row>
    <row r="101" spans="1:9" ht="15.6" customHeight="1" x14ac:dyDescent="0.25">
      <c r="A101" s="13">
        <v>97</v>
      </c>
      <c r="B101" s="14" t="s">
        <v>2856</v>
      </c>
      <c r="C101" s="14" t="s">
        <v>2857</v>
      </c>
      <c r="D101" s="46" t="s">
        <v>304</v>
      </c>
      <c r="E101" s="47" t="s">
        <v>304</v>
      </c>
      <c r="F101" s="15">
        <v>0.6</v>
      </c>
      <c r="G101" s="19"/>
      <c r="H101" s="19"/>
      <c r="I101" s="34">
        <f t="shared" si="0"/>
        <v>0</v>
      </c>
    </row>
    <row r="102" spans="1:9" ht="15.6" customHeight="1" x14ac:dyDescent="0.25">
      <c r="A102" s="13">
        <v>98</v>
      </c>
      <c r="B102" s="14" t="s">
        <v>2858</v>
      </c>
      <c r="C102" s="14" t="s">
        <v>2859</v>
      </c>
      <c r="D102" s="46" t="s">
        <v>304</v>
      </c>
      <c r="E102" s="47" t="s">
        <v>304</v>
      </c>
      <c r="F102" s="15">
        <v>0.6</v>
      </c>
      <c r="G102" s="19"/>
      <c r="H102" s="19"/>
      <c r="I102" s="34">
        <f t="shared" si="0"/>
        <v>0</v>
      </c>
    </row>
    <row r="103" spans="1:9" ht="15.6" customHeight="1" x14ac:dyDescent="0.25">
      <c r="A103" s="13">
        <v>99</v>
      </c>
      <c r="B103" s="14" t="s">
        <v>2860</v>
      </c>
      <c r="C103" s="14" t="s">
        <v>2861</v>
      </c>
      <c r="D103" s="46" t="s">
        <v>304</v>
      </c>
      <c r="E103" s="47" t="s">
        <v>304</v>
      </c>
      <c r="F103" s="15">
        <v>1.2</v>
      </c>
      <c r="G103" s="19"/>
      <c r="H103" s="19"/>
      <c r="I103" s="34">
        <f t="shared" si="0"/>
        <v>0</v>
      </c>
    </row>
    <row r="104" spans="1:9" ht="15.6" customHeight="1" x14ac:dyDescent="0.25">
      <c r="A104" s="13">
        <v>100</v>
      </c>
      <c r="B104" s="14" t="s">
        <v>2862</v>
      </c>
      <c r="C104" s="14" t="s">
        <v>2863</v>
      </c>
      <c r="D104" s="46" t="s">
        <v>2864</v>
      </c>
      <c r="E104" s="47" t="s">
        <v>2864</v>
      </c>
      <c r="F104" s="15">
        <v>5.5</v>
      </c>
      <c r="G104" s="19"/>
      <c r="H104" s="19"/>
      <c r="I104" s="34">
        <f t="shared" si="0"/>
        <v>0</v>
      </c>
    </row>
    <row r="105" spans="1:9" ht="15.6" customHeight="1" x14ac:dyDescent="0.25">
      <c r="A105" s="13">
        <v>101</v>
      </c>
      <c r="B105" s="14" t="s">
        <v>2865</v>
      </c>
      <c r="C105" s="14" t="s">
        <v>2866</v>
      </c>
      <c r="D105" s="46" t="s">
        <v>2867</v>
      </c>
      <c r="E105" s="47" t="s">
        <v>2867</v>
      </c>
      <c r="F105" s="15">
        <v>0.4</v>
      </c>
      <c r="G105" s="19"/>
      <c r="H105" s="19"/>
      <c r="I105" s="34">
        <f t="shared" si="0"/>
        <v>0</v>
      </c>
    </row>
    <row r="106" spans="1:9" ht="15.6" customHeight="1" x14ac:dyDescent="0.25">
      <c r="A106" s="13">
        <v>102</v>
      </c>
      <c r="B106" s="14" t="s">
        <v>2868</v>
      </c>
      <c r="C106" s="14" t="s">
        <v>2869</v>
      </c>
      <c r="D106" s="46" t="s">
        <v>2870</v>
      </c>
      <c r="E106" s="47" t="s">
        <v>2870</v>
      </c>
      <c r="F106" s="15">
        <v>1</v>
      </c>
      <c r="G106" s="19"/>
      <c r="H106" s="19"/>
      <c r="I106" s="34">
        <f t="shared" si="0"/>
        <v>0</v>
      </c>
    </row>
    <row r="107" spans="1:9" ht="15.6" customHeight="1" x14ac:dyDescent="0.25">
      <c r="A107" s="13">
        <v>103</v>
      </c>
      <c r="B107" s="14" t="s">
        <v>2871</v>
      </c>
      <c r="C107" s="14" t="s">
        <v>2872</v>
      </c>
      <c r="D107" s="46" t="s">
        <v>2873</v>
      </c>
      <c r="E107" s="47" t="s">
        <v>2873</v>
      </c>
      <c r="F107" s="15">
        <v>0.5</v>
      </c>
      <c r="G107" s="19"/>
      <c r="H107" s="19"/>
      <c r="I107" s="34">
        <f t="shared" si="0"/>
        <v>0</v>
      </c>
    </row>
    <row r="108" spans="1:9" ht="15.6" customHeight="1" x14ac:dyDescent="0.25">
      <c r="A108" s="13">
        <v>104</v>
      </c>
      <c r="B108" s="14" t="s">
        <v>2874</v>
      </c>
      <c r="C108" s="14" t="s">
        <v>2875</v>
      </c>
      <c r="D108" s="46" t="s">
        <v>2873</v>
      </c>
      <c r="E108" s="47" t="s">
        <v>2873</v>
      </c>
      <c r="F108" s="15">
        <v>0.7</v>
      </c>
      <c r="G108" s="19"/>
      <c r="H108" s="19"/>
      <c r="I108" s="34">
        <f t="shared" si="0"/>
        <v>0</v>
      </c>
    </row>
    <row r="109" spans="1:9" ht="15.6" customHeight="1" x14ac:dyDescent="0.25">
      <c r="A109" s="13">
        <v>105</v>
      </c>
      <c r="B109" s="14" t="s">
        <v>2876</v>
      </c>
      <c r="C109" s="14" t="s">
        <v>2877</v>
      </c>
      <c r="D109" s="46" t="s">
        <v>2878</v>
      </c>
      <c r="E109" s="47" t="s">
        <v>2878</v>
      </c>
      <c r="F109" s="15">
        <v>0.9</v>
      </c>
      <c r="G109" s="19"/>
      <c r="H109" s="19"/>
      <c r="I109" s="34">
        <f t="shared" si="0"/>
        <v>0</v>
      </c>
    </row>
    <row r="110" spans="1:9" ht="15.6" customHeight="1" x14ac:dyDescent="0.25">
      <c r="A110" s="13">
        <v>106</v>
      </c>
      <c r="B110" s="14" t="s">
        <v>2879</v>
      </c>
      <c r="C110" s="14" t="s">
        <v>2880</v>
      </c>
      <c r="D110" s="46" t="s">
        <v>2881</v>
      </c>
      <c r="E110" s="47" t="s">
        <v>2881</v>
      </c>
      <c r="F110" s="15">
        <v>3</v>
      </c>
      <c r="G110" s="19"/>
      <c r="H110" s="19"/>
      <c r="I110" s="34">
        <f t="shared" si="0"/>
        <v>0</v>
      </c>
    </row>
    <row r="111" spans="1:9" ht="15.6" customHeight="1" x14ac:dyDescent="0.25">
      <c r="A111" s="13">
        <v>107</v>
      </c>
      <c r="B111" s="14" t="s">
        <v>2882</v>
      </c>
      <c r="C111" s="14" t="s">
        <v>2883</v>
      </c>
      <c r="D111" s="46" t="s">
        <v>2884</v>
      </c>
      <c r="E111" s="47" t="s">
        <v>2884</v>
      </c>
      <c r="F111" s="15">
        <v>2</v>
      </c>
      <c r="G111" s="19"/>
      <c r="H111" s="19"/>
      <c r="I111" s="34">
        <f t="shared" si="0"/>
        <v>0</v>
      </c>
    </row>
    <row r="112" spans="1:9" ht="15.6" customHeight="1" x14ac:dyDescent="0.25">
      <c r="A112" s="13">
        <v>108</v>
      </c>
      <c r="B112" s="14" t="s">
        <v>2885</v>
      </c>
      <c r="C112" s="14" t="s">
        <v>2886</v>
      </c>
      <c r="D112" s="46" t="s">
        <v>2887</v>
      </c>
      <c r="E112" s="47" t="s">
        <v>2887</v>
      </c>
      <c r="F112" s="15">
        <v>1</v>
      </c>
      <c r="G112" s="19"/>
      <c r="H112" s="19"/>
      <c r="I112" s="34">
        <f t="shared" si="0"/>
        <v>0</v>
      </c>
    </row>
    <row r="113" spans="1:9" ht="15.6" customHeight="1" x14ac:dyDescent="0.25">
      <c r="A113" s="13">
        <v>109</v>
      </c>
      <c r="B113" s="14" t="s">
        <v>2888</v>
      </c>
      <c r="C113" s="14" t="s">
        <v>2889</v>
      </c>
      <c r="D113" s="46" t="s">
        <v>2890</v>
      </c>
      <c r="E113" s="47" t="s">
        <v>2890</v>
      </c>
      <c r="F113" s="15">
        <v>0.8</v>
      </c>
      <c r="G113" s="19"/>
      <c r="H113" s="19"/>
      <c r="I113" s="34">
        <f t="shared" si="0"/>
        <v>0</v>
      </c>
    </row>
    <row r="114" spans="1:9" ht="15.6" customHeight="1" x14ac:dyDescent="0.25">
      <c r="A114" s="13">
        <v>110</v>
      </c>
      <c r="B114" s="14" t="s">
        <v>2891</v>
      </c>
      <c r="C114" s="14" t="s">
        <v>2892</v>
      </c>
      <c r="D114" s="46" t="s">
        <v>2762</v>
      </c>
      <c r="E114" s="47" t="s">
        <v>2762</v>
      </c>
      <c r="F114" s="15">
        <v>2.7</v>
      </c>
      <c r="G114" s="19"/>
      <c r="H114" s="19"/>
      <c r="I114" s="34">
        <f t="shared" si="0"/>
        <v>0</v>
      </c>
    </row>
    <row r="115" spans="1:9" ht="15.6" customHeight="1" x14ac:dyDescent="0.25">
      <c r="A115" s="13">
        <v>111</v>
      </c>
      <c r="B115" s="14" t="s">
        <v>2893</v>
      </c>
      <c r="C115" s="14" t="s">
        <v>2894</v>
      </c>
      <c r="D115" s="46" t="s">
        <v>2671</v>
      </c>
      <c r="E115" s="47" t="s">
        <v>2671</v>
      </c>
      <c r="F115" s="15">
        <v>1.5</v>
      </c>
      <c r="G115" s="19"/>
      <c r="H115" s="19"/>
      <c r="I115" s="34">
        <f t="shared" si="0"/>
        <v>0</v>
      </c>
    </row>
    <row r="116" spans="1:9" ht="15.6" customHeight="1" x14ac:dyDescent="0.25">
      <c r="A116" s="13">
        <v>112</v>
      </c>
      <c r="B116" s="14" t="s">
        <v>2895</v>
      </c>
      <c r="C116" s="14" t="s">
        <v>2896</v>
      </c>
      <c r="D116" s="46" t="s">
        <v>2671</v>
      </c>
      <c r="E116" s="47" t="s">
        <v>2671</v>
      </c>
      <c r="F116" s="15">
        <v>1</v>
      </c>
      <c r="G116" s="19"/>
      <c r="H116" s="19"/>
      <c r="I116" s="34">
        <f t="shared" si="0"/>
        <v>0</v>
      </c>
    </row>
    <row r="117" spans="1:9" ht="15.6" customHeight="1" x14ac:dyDescent="0.25">
      <c r="A117" s="13">
        <v>113</v>
      </c>
      <c r="B117" s="14" t="s">
        <v>2897</v>
      </c>
      <c r="C117" s="14" t="s">
        <v>2898</v>
      </c>
      <c r="D117" s="46" t="s">
        <v>2899</v>
      </c>
      <c r="E117" s="47" t="s">
        <v>2899</v>
      </c>
      <c r="F117" s="15">
        <v>1.2</v>
      </c>
      <c r="G117" s="19"/>
      <c r="H117" s="19"/>
      <c r="I117" s="34">
        <f t="shared" si="0"/>
        <v>0</v>
      </c>
    </row>
    <row r="118" spans="1:9" ht="15.6" customHeight="1" x14ac:dyDescent="0.25">
      <c r="A118" s="13">
        <v>114</v>
      </c>
      <c r="B118" s="14" t="s">
        <v>2900</v>
      </c>
      <c r="C118" s="14" t="s">
        <v>2901</v>
      </c>
      <c r="D118" s="46" t="s">
        <v>2671</v>
      </c>
      <c r="E118" s="47" t="s">
        <v>2671</v>
      </c>
      <c r="F118" s="15">
        <v>3.5</v>
      </c>
      <c r="G118" s="19"/>
      <c r="H118" s="19"/>
      <c r="I118" s="34">
        <f t="shared" si="0"/>
        <v>0</v>
      </c>
    </row>
    <row r="119" spans="1:9" ht="15.6" customHeight="1" x14ac:dyDescent="0.25">
      <c r="A119" s="13">
        <v>115</v>
      </c>
      <c r="B119" s="14" t="s">
        <v>2902</v>
      </c>
      <c r="C119" s="14" t="s">
        <v>2903</v>
      </c>
      <c r="D119" s="46" t="s">
        <v>2671</v>
      </c>
      <c r="E119" s="47" t="s">
        <v>2671</v>
      </c>
      <c r="F119" s="15">
        <v>0.7</v>
      </c>
      <c r="G119" s="19"/>
      <c r="H119" s="19"/>
      <c r="I119" s="34">
        <f t="shared" si="0"/>
        <v>0</v>
      </c>
    </row>
    <row r="120" spans="1:9" ht="15.6" customHeight="1" x14ac:dyDescent="0.25">
      <c r="A120" s="13">
        <v>116</v>
      </c>
      <c r="B120" s="14" t="s">
        <v>2904</v>
      </c>
      <c r="C120" s="14" t="s">
        <v>2905</v>
      </c>
      <c r="D120" s="46" t="s">
        <v>2657</v>
      </c>
      <c r="E120" s="47" t="s">
        <v>2657</v>
      </c>
      <c r="F120" s="15">
        <v>3</v>
      </c>
      <c r="G120" s="19"/>
      <c r="H120" s="19"/>
      <c r="I120" s="34">
        <f t="shared" si="0"/>
        <v>0</v>
      </c>
    </row>
    <row r="121" spans="1:9" ht="15.6" customHeight="1" x14ac:dyDescent="0.25">
      <c r="A121" s="13">
        <v>117</v>
      </c>
      <c r="B121" s="14" t="s">
        <v>2906</v>
      </c>
      <c r="C121" s="14" t="s">
        <v>2907</v>
      </c>
      <c r="D121" s="46" t="s">
        <v>2908</v>
      </c>
      <c r="E121" s="47" t="s">
        <v>2908</v>
      </c>
      <c r="F121" s="15">
        <v>1.2</v>
      </c>
      <c r="G121" s="19"/>
      <c r="H121" s="19"/>
      <c r="I121" s="34">
        <f t="shared" si="0"/>
        <v>0</v>
      </c>
    </row>
    <row r="122" spans="1:9" ht="15.6" customHeight="1" x14ac:dyDescent="0.25">
      <c r="A122" s="13">
        <v>118</v>
      </c>
      <c r="B122" s="14" t="s">
        <v>2909</v>
      </c>
      <c r="C122" s="14" t="s">
        <v>2910</v>
      </c>
      <c r="D122" s="46" t="s">
        <v>2911</v>
      </c>
      <c r="E122" s="47" t="s">
        <v>2911</v>
      </c>
      <c r="F122" s="15">
        <v>2</v>
      </c>
      <c r="G122" s="19"/>
      <c r="H122" s="19"/>
      <c r="I122" s="34">
        <f t="shared" si="0"/>
        <v>0</v>
      </c>
    </row>
    <row r="123" spans="1:9" ht="15.6" customHeight="1" x14ac:dyDescent="0.25">
      <c r="A123" s="13">
        <v>119</v>
      </c>
      <c r="B123" s="14" t="s">
        <v>2912</v>
      </c>
      <c r="C123" s="14" t="s">
        <v>2913</v>
      </c>
      <c r="D123" s="46" t="s">
        <v>2908</v>
      </c>
      <c r="E123" s="47" t="s">
        <v>2908</v>
      </c>
      <c r="F123" s="15">
        <v>1.2</v>
      </c>
      <c r="G123" s="19"/>
      <c r="H123" s="19"/>
      <c r="I123" s="34">
        <f t="shared" si="0"/>
        <v>0</v>
      </c>
    </row>
    <row r="124" spans="1:9" ht="15.6" customHeight="1" x14ac:dyDescent="0.25">
      <c r="A124" s="13">
        <v>120</v>
      </c>
      <c r="B124" s="14" t="s">
        <v>2914</v>
      </c>
      <c r="C124" s="14" t="s">
        <v>2915</v>
      </c>
      <c r="D124" s="46" t="s">
        <v>2911</v>
      </c>
      <c r="E124" s="47" t="s">
        <v>2911</v>
      </c>
      <c r="F124" s="15">
        <v>0.5</v>
      </c>
      <c r="G124" s="19"/>
      <c r="H124" s="19"/>
      <c r="I124" s="34">
        <f t="shared" si="0"/>
        <v>0</v>
      </c>
    </row>
    <row r="125" spans="1:9" ht="15.6" customHeight="1" x14ac:dyDescent="0.25">
      <c r="A125" s="13">
        <v>121</v>
      </c>
      <c r="B125" s="14" t="s">
        <v>2916</v>
      </c>
      <c r="C125" s="14" t="s">
        <v>2917</v>
      </c>
      <c r="D125" s="46" t="s">
        <v>2918</v>
      </c>
      <c r="E125" s="47" t="s">
        <v>2918</v>
      </c>
      <c r="F125" s="15">
        <v>0.4</v>
      </c>
      <c r="G125" s="19"/>
      <c r="H125" s="19"/>
      <c r="I125" s="34">
        <f t="shared" si="0"/>
        <v>0</v>
      </c>
    </row>
    <row r="126" spans="1:9" ht="15.6" customHeight="1" x14ac:dyDescent="0.25">
      <c r="A126" s="13">
        <v>122</v>
      </c>
      <c r="B126" s="14" t="s">
        <v>2919</v>
      </c>
      <c r="C126" s="14" t="s">
        <v>2920</v>
      </c>
      <c r="D126" s="46" t="s">
        <v>2921</v>
      </c>
      <c r="E126" s="47" t="s">
        <v>2921</v>
      </c>
      <c r="F126" s="15">
        <v>0.3</v>
      </c>
      <c r="G126" s="19"/>
      <c r="H126" s="19"/>
      <c r="I126" s="34">
        <f t="shared" si="0"/>
        <v>0</v>
      </c>
    </row>
    <row r="127" spans="1:9" ht="15.6" customHeight="1" x14ac:dyDescent="0.25">
      <c r="A127" s="13">
        <v>123</v>
      </c>
      <c r="B127" s="14" t="s">
        <v>2922</v>
      </c>
      <c r="C127" s="14" t="s">
        <v>2923</v>
      </c>
      <c r="D127" s="46" t="s">
        <v>2924</v>
      </c>
      <c r="E127" s="47" t="s">
        <v>2924</v>
      </c>
      <c r="F127" s="15">
        <v>0.8</v>
      </c>
      <c r="G127" s="19"/>
      <c r="H127" s="19"/>
      <c r="I127" s="34">
        <f t="shared" si="0"/>
        <v>0</v>
      </c>
    </row>
    <row r="128" spans="1:9" ht="15.6" customHeight="1" x14ac:dyDescent="0.25">
      <c r="A128" s="13">
        <v>124</v>
      </c>
      <c r="B128" s="14" t="s">
        <v>2925</v>
      </c>
      <c r="C128" s="14" t="s">
        <v>2926</v>
      </c>
      <c r="D128" s="46" t="s">
        <v>2927</v>
      </c>
      <c r="E128" s="47" t="s">
        <v>2927</v>
      </c>
      <c r="F128" s="15">
        <v>0.9</v>
      </c>
      <c r="G128" s="19"/>
      <c r="H128" s="19"/>
      <c r="I128" s="34">
        <f t="shared" si="0"/>
        <v>0</v>
      </c>
    </row>
    <row r="129" spans="1:9" ht="15.6" customHeight="1" x14ac:dyDescent="0.25">
      <c r="A129" s="13">
        <v>125</v>
      </c>
      <c r="B129" s="14" t="s">
        <v>2928</v>
      </c>
      <c r="C129" s="14" t="s">
        <v>2929</v>
      </c>
      <c r="D129" s="46" t="s">
        <v>2930</v>
      </c>
      <c r="E129" s="47" t="s">
        <v>2930</v>
      </c>
      <c r="F129" s="15">
        <v>6</v>
      </c>
      <c r="G129" s="19"/>
      <c r="H129" s="19"/>
      <c r="I129" s="34">
        <f t="shared" si="0"/>
        <v>0</v>
      </c>
    </row>
    <row r="130" spans="1:9" ht="15.6" customHeight="1" x14ac:dyDescent="0.25">
      <c r="A130" s="13">
        <v>126</v>
      </c>
      <c r="B130" s="14" t="s">
        <v>2931</v>
      </c>
      <c r="C130" s="14" t="s">
        <v>2932</v>
      </c>
      <c r="D130" s="46" t="s">
        <v>2933</v>
      </c>
      <c r="E130" s="47" t="s">
        <v>2933</v>
      </c>
      <c r="F130" s="15">
        <v>2</v>
      </c>
      <c r="G130" s="19"/>
      <c r="H130" s="19"/>
      <c r="I130" s="34">
        <f t="shared" si="0"/>
        <v>0</v>
      </c>
    </row>
    <row r="131" spans="1:9" ht="15.6" customHeight="1" x14ac:dyDescent="0.25">
      <c r="A131" s="13">
        <v>127</v>
      </c>
      <c r="B131" s="14" t="s">
        <v>2934</v>
      </c>
      <c r="C131" s="14" t="s">
        <v>2935</v>
      </c>
      <c r="D131" s="46" t="s">
        <v>2933</v>
      </c>
      <c r="E131" s="47" t="s">
        <v>2933</v>
      </c>
      <c r="F131" s="15">
        <v>2.5</v>
      </c>
      <c r="G131" s="19"/>
      <c r="H131" s="19"/>
      <c r="I131" s="34">
        <f t="shared" si="0"/>
        <v>0</v>
      </c>
    </row>
    <row r="132" spans="1:9" ht="15.6" customHeight="1" x14ac:dyDescent="0.25">
      <c r="A132" s="13">
        <v>128</v>
      </c>
      <c r="B132" s="14" t="s">
        <v>2936</v>
      </c>
      <c r="C132" s="14" t="s">
        <v>2937</v>
      </c>
      <c r="D132" s="46" t="s">
        <v>2933</v>
      </c>
      <c r="E132" s="47" t="s">
        <v>2933</v>
      </c>
      <c r="F132" s="15">
        <v>1.5</v>
      </c>
      <c r="G132" s="19"/>
      <c r="H132" s="19"/>
      <c r="I132" s="34">
        <f t="shared" si="0"/>
        <v>0</v>
      </c>
    </row>
    <row r="133" spans="1:9" ht="15.6" customHeight="1" x14ac:dyDescent="0.25">
      <c r="A133" s="13">
        <v>129</v>
      </c>
      <c r="B133" s="14" t="s">
        <v>2938</v>
      </c>
      <c r="C133" s="14" t="s">
        <v>2939</v>
      </c>
      <c r="D133" s="46" t="s">
        <v>2933</v>
      </c>
      <c r="E133" s="47" t="s">
        <v>2933</v>
      </c>
      <c r="F133" s="15">
        <v>7</v>
      </c>
      <c r="G133" s="19"/>
      <c r="H133" s="19"/>
      <c r="I133" s="34">
        <f t="shared" si="0"/>
        <v>0</v>
      </c>
    </row>
    <row r="134" spans="1:9" ht="15.6" customHeight="1" x14ac:dyDescent="0.25">
      <c r="A134" s="13">
        <v>130</v>
      </c>
      <c r="B134" s="14" t="s">
        <v>2940</v>
      </c>
      <c r="C134" s="14" t="s">
        <v>2941</v>
      </c>
      <c r="D134" s="46" t="s">
        <v>2942</v>
      </c>
      <c r="E134" s="47" t="s">
        <v>2942</v>
      </c>
      <c r="F134" s="15">
        <v>1</v>
      </c>
      <c r="G134" s="19"/>
      <c r="H134" s="19"/>
      <c r="I134" s="34">
        <f t="shared" si="0"/>
        <v>0</v>
      </c>
    </row>
    <row r="135" spans="1:9" ht="15.6" customHeight="1" x14ac:dyDescent="0.25">
      <c r="A135" s="13">
        <v>131</v>
      </c>
      <c r="B135" s="14" t="s">
        <v>2943</v>
      </c>
      <c r="C135" s="14" t="s">
        <v>2944</v>
      </c>
      <c r="D135" s="46" t="s">
        <v>2942</v>
      </c>
      <c r="E135" s="47" t="s">
        <v>2942</v>
      </c>
      <c r="F135" s="15">
        <v>3</v>
      </c>
      <c r="G135" s="19"/>
      <c r="H135" s="19"/>
      <c r="I135" s="34">
        <f t="shared" si="0"/>
        <v>0</v>
      </c>
    </row>
    <row r="136" spans="1:9" ht="15.6" customHeight="1" x14ac:dyDescent="0.25">
      <c r="A136" s="13">
        <v>132</v>
      </c>
      <c r="B136" s="14" t="s">
        <v>2945</v>
      </c>
      <c r="C136" s="14" t="s">
        <v>2946</v>
      </c>
      <c r="D136" s="46" t="s">
        <v>2947</v>
      </c>
      <c r="E136" s="47" t="s">
        <v>2947</v>
      </c>
      <c r="F136" s="15">
        <v>0.8</v>
      </c>
      <c r="G136" s="19"/>
      <c r="H136" s="19"/>
      <c r="I136" s="34">
        <f t="shared" si="0"/>
        <v>0</v>
      </c>
    </row>
    <row r="137" spans="1:9" ht="15.6" customHeight="1" x14ac:dyDescent="0.25">
      <c r="A137" s="13">
        <v>133</v>
      </c>
      <c r="B137" s="14" t="s">
        <v>2948</v>
      </c>
      <c r="C137" s="14" t="s">
        <v>2949</v>
      </c>
      <c r="D137" s="46" t="s">
        <v>2930</v>
      </c>
      <c r="E137" s="47" t="s">
        <v>2930</v>
      </c>
      <c r="F137" s="15">
        <v>4.5</v>
      </c>
      <c r="G137" s="19"/>
      <c r="H137" s="19"/>
      <c r="I137" s="34">
        <f t="shared" si="0"/>
        <v>0</v>
      </c>
    </row>
    <row r="138" spans="1:9" ht="15.6" customHeight="1" x14ac:dyDescent="0.25">
      <c r="A138" s="13">
        <v>134</v>
      </c>
      <c r="B138" s="14" t="s">
        <v>2950</v>
      </c>
      <c r="C138" s="14" t="s">
        <v>2951</v>
      </c>
      <c r="D138" s="46" t="s">
        <v>2952</v>
      </c>
      <c r="E138" s="47" t="s">
        <v>2952</v>
      </c>
      <c r="F138" s="15">
        <v>8</v>
      </c>
      <c r="G138" s="19"/>
      <c r="H138" s="19"/>
      <c r="I138" s="34">
        <f t="shared" si="0"/>
        <v>0</v>
      </c>
    </row>
    <row r="139" spans="1:9" ht="15.6" customHeight="1" x14ac:dyDescent="0.25">
      <c r="A139" s="13">
        <v>135</v>
      </c>
      <c r="B139" s="14" t="s">
        <v>2953</v>
      </c>
      <c r="C139" s="14" t="s">
        <v>2954</v>
      </c>
      <c r="D139" s="46" t="s">
        <v>2955</v>
      </c>
      <c r="E139" s="47" t="s">
        <v>2955</v>
      </c>
      <c r="F139" s="15">
        <v>0.7</v>
      </c>
      <c r="G139" s="19"/>
      <c r="H139" s="19"/>
      <c r="I139" s="34">
        <f t="shared" si="0"/>
        <v>0</v>
      </c>
    </row>
    <row r="140" spans="1:9" ht="15.6" customHeight="1" x14ac:dyDescent="0.25">
      <c r="A140" s="13">
        <v>136</v>
      </c>
      <c r="B140" s="14" t="s">
        <v>2956</v>
      </c>
      <c r="C140" s="14" t="s">
        <v>2957</v>
      </c>
      <c r="D140" s="46" t="s">
        <v>2762</v>
      </c>
      <c r="E140" s="47" t="s">
        <v>2762</v>
      </c>
      <c r="F140" s="15">
        <v>3</v>
      </c>
      <c r="G140" s="19"/>
      <c r="H140" s="19"/>
      <c r="I140" s="34">
        <f t="shared" si="0"/>
        <v>0</v>
      </c>
    </row>
    <row r="141" spans="1:9" ht="16.8" customHeight="1" x14ac:dyDescent="0.25">
      <c r="A141" s="39" t="s">
        <v>1769</v>
      </c>
      <c r="B141" s="39"/>
      <c r="C141" s="39"/>
      <c r="D141" s="39" t="s">
        <v>2958</v>
      </c>
      <c r="E141" s="39"/>
      <c r="F141" s="12">
        <f>SUM(F5:F140)</f>
        <v>477.19999999999982</v>
      </c>
      <c r="G141" s="20"/>
      <c r="H141" s="12">
        <f>SUM(H5:H140)</f>
        <v>0</v>
      </c>
      <c r="I141" s="35">
        <f t="shared" si="0"/>
        <v>0</v>
      </c>
    </row>
  </sheetData>
  <mergeCells count="144">
    <mergeCell ref="D52:E52"/>
    <mergeCell ref="D53:E53"/>
    <mergeCell ref="D54:E54"/>
    <mergeCell ref="D55:E55"/>
    <mergeCell ref="D56:E56"/>
    <mergeCell ref="D90:E90"/>
    <mergeCell ref="D91:E91"/>
    <mergeCell ref="D92:E92"/>
    <mergeCell ref="A141:C141"/>
    <mergeCell ref="D141:E141"/>
    <mergeCell ref="D17:E17"/>
    <mergeCell ref="D18:E18"/>
    <mergeCell ref="D19:E19"/>
    <mergeCell ref="D20:E20"/>
    <mergeCell ref="D21:E21"/>
    <mergeCell ref="D22:E22"/>
    <mergeCell ref="D41:E41"/>
    <mergeCell ref="D42:E42"/>
    <mergeCell ref="D43:E43"/>
    <mergeCell ref="D44:E44"/>
    <mergeCell ref="D45:E45"/>
    <mergeCell ref="D46:E46"/>
    <mergeCell ref="D47:E47"/>
    <mergeCell ref="D48:E48"/>
    <mergeCell ref="D23:E23"/>
    <mergeCell ref="D24:E24"/>
    <mergeCell ref="D25:E25"/>
    <mergeCell ref="D26:E26"/>
    <mergeCell ref="D140:E140"/>
    <mergeCell ref="D49:E49"/>
    <mergeCell ref="D50:E50"/>
    <mergeCell ref="D51:E51"/>
    <mergeCell ref="D35:E35"/>
    <mergeCell ref="D36:E36"/>
    <mergeCell ref="D37:E37"/>
    <mergeCell ref="D38:E38"/>
    <mergeCell ref="D39:E39"/>
    <mergeCell ref="D40:E40"/>
    <mergeCell ref="A3:A4"/>
    <mergeCell ref="B3:C3"/>
    <mergeCell ref="D3:E4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H3:I3"/>
    <mergeCell ref="D27:E27"/>
    <mergeCell ref="D28:E28"/>
    <mergeCell ref="D29:E29"/>
    <mergeCell ref="D30:E30"/>
    <mergeCell ref="D31:E31"/>
    <mergeCell ref="D32:E32"/>
    <mergeCell ref="D33:E33"/>
    <mergeCell ref="D34:E34"/>
    <mergeCell ref="F3:F4"/>
    <mergeCell ref="G3:G4"/>
    <mergeCell ref="D62:E62"/>
    <mergeCell ref="D63:E63"/>
    <mergeCell ref="D64:E64"/>
    <mergeCell ref="D65:E65"/>
    <mergeCell ref="D66:E66"/>
    <mergeCell ref="D57:E57"/>
    <mergeCell ref="D58:E58"/>
    <mergeCell ref="D59:E59"/>
    <mergeCell ref="D60:E60"/>
    <mergeCell ref="D61:E61"/>
    <mergeCell ref="D72:E72"/>
    <mergeCell ref="D73:E73"/>
    <mergeCell ref="D74:E74"/>
    <mergeCell ref="D75:E75"/>
    <mergeCell ref="D76:E76"/>
    <mergeCell ref="D67:E67"/>
    <mergeCell ref="D68:E68"/>
    <mergeCell ref="D69:E69"/>
    <mergeCell ref="D70:E70"/>
    <mergeCell ref="D71:E71"/>
    <mergeCell ref="D82:E82"/>
    <mergeCell ref="D83:E83"/>
    <mergeCell ref="D84:E84"/>
    <mergeCell ref="D85:E85"/>
    <mergeCell ref="D86:E86"/>
    <mergeCell ref="D77:E77"/>
    <mergeCell ref="D78:E78"/>
    <mergeCell ref="D79:E79"/>
    <mergeCell ref="D80:E80"/>
    <mergeCell ref="D81:E81"/>
    <mergeCell ref="D95:E95"/>
    <mergeCell ref="D96:E96"/>
    <mergeCell ref="D97:E97"/>
    <mergeCell ref="D98:E98"/>
    <mergeCell ref="D99:E99"/>
    <mergeCell ref="D87:E87"/>
    <mergeCell ref="D88:E88"/>
    <mergeCell ref="D89:E89"/>
    <mergeCell ref="D93:E93"/>
    <mergeCell ref="D94:E94"/>
    <mergeCell ref="D105:E105"/>
    <mergeCell ref="D106:E106"/>
    <mergeCell ref="D107:E107"/>
    <mergeCell ref="D108:E108"/>
    <mergeCell ref="D109:E109"/>
    <mergeCell ref="D100:E100"/>
    <mergeCell ref="D101:E101"/>
    <mergeCell ref="D102:E102"/>
    <mergeCell ref="D103:E103"/>
    <mergeCell ref="D104:E104"/>
    <mergeCell ref="D115:E115"/>
    <mergeCell ref="D116:E116"/>
    <mergeCell ref="D117:E117"/>
    <mergeCell ref="D118:E118"/>
    <mergeCell ref="D119:E119"/>
    <mergeCell ref="D110:E110"/>
    <mergeCell ref="D111:E111"/>
    <mergeCell ref="D112:E112"/>
    <mergeCell ref="D113:E113"/>
    <mergeCell ref="D114:E114"/>
    <mergeCell ref="D125:E125"/>
    <mergeCell ref="D126:E126"/>
    <mergeCell ref="D127:E127"/>
    <mergeCell ref="D128:E128"/>
    <mergeCell ref="D129:E129"/>
    <mergeCell ref="D120:E120"/>
    <mergeCell ref="D121:E121"/>
    <mergeCell ref="D122:E122"/>
    <mergeCell ref="D123:E123"/>
    <mergeCell ref="D124:E124"/>
    <mergeCell ref="D135:E135"/>
    <mergeCell ref="D136:E136"/>
    <mergeCell ref="D137:E137"/>
    <mergeCell ref="D138:E138"/>
    <mergeCell ref="D139:E139"/>
    <mergeCell ref="D130:E130"/>
    <mergeCell ref="D131:E131"/>
    <mergeCell ref="D132:E132"/>
    <mergeCell ref="D133:E133"/>
    <mergeCell ref="D134:E13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AB3C-2FDF-4F3C-BC80-4054D3CB2204}">
  <sheetPr codeName="Sheet42"/>
  <dimension ref="A1:I36"/>
  <sheetViews>
    <sheetView zoomScaleNormal="100" workbookViewId="0">
      <selection activeCell="K28" sqref="K28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2959</v>
      </c>
      <c r="C5" s="14" t="s">
        <v>2960</v>
      </c>
      <c r="D5" s="46" t="s">
        <v>1445</v>
      </c>
      <c r="E5" s="47" t="s">
        <v>1445</v>
      </c>
      <c r="F5" s="15">
        <v>8</v>
      </c>
      <c r="G5" s="19"/>
      <c r="H5" s="19"/>
      <c r="I5" s="37">
        <f t="shared" ref="I5:I24" si="0">H5/F5</f>
        <v>0</v>
      </c>
    </row>
    <row r="6" spans="1:9" ht="15.6" customHeight="1" x14ac:dyDescent="0.25">
      <c r="A6" s="13">
        <v>2</v>
      </c>
      <c r="B6" s="14" t="s">
        <v>2961</v>
      </c>
      <c r="C6" s="14" t="s">
        <v>2962</v>
      </c>
      <c r="D6" s="46" t="s">
        <v>2963</v>
      </c>
      <c r="E6" s="47" t="s">
        <v>2963</v>
      </c>
      <c r="F6" s="15">
        <v>4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2964</v>
      </c>
      <c r="C7" s="14" t="s">
        <v>2965</v>
      </c>
      <c r="D7" s="46" t="s">
        <v>1445</v>
      </c>
      <c r="E7" s="47" t="s">
        <v>1445</v>
      </c>
      <c r="F7" s="15">
        <v>2.2000000000000002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2966</v>
      </c>
      <c r="C8" s="14" t="s">
        <v>2967</v>
      </c>
      <c r="D8" s="46" t="s">
        <v>1445</v>
      </c>
      <c r="E8" s="47" t="s">
        <v>1445</v>
      </c>
      <c r="F8" s="15">
        <v>5.4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2968</v>
      </c>
      <c r="C9" s="14" t="s">
        <v>2969</v>
      </c>
      <c r="D9" s="46" t="s">
        <v>1445</v>
      </c>
      <c r="E9" s="47" t="s">
        <v>1445</v>
      </c>
      <c r="F9" s="15">
        <v>4.7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2970</v>
      </c>
      <c r="C10" s="14" t="s">
        <v>2971</v>
      </c>
      <c r="D10" s="46" t="s">
        <v>1445</v>
      </c>
      <c r="E10" s="47" t="s">
        <v>1445</v>
      </c>
      <c r="F10" s="15">
        <v>3.1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2972</v>
      </c>
      <c r="C11" s="14" t="s">
        <v>2973</v>
      </c>
      <c r="D11" s="46" t="s">
        <v>1445</v>
      </c>
      <c r="E11" s="47" t="s">
        <v>1445</v>
      </c>
      <c r="F11" s="15">
        <v>3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2974</v>
      </c>
      <c r="C12" s="14" t="s">
        <v>2975</v>
      </c>
      <c r="D12" s="46" t="s">
        <v>2976</v>
      </c>
      <c r="E12" s="47" t="s">
        <v>2976</v>
      </c>
      <c r="F12" s="15">
        <v>4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2977</v>
      </c>
      <c r="C13" s="14" t="s">
        <v>2978</v>
      </c>
      <c r="D13" s="46" t="s">
        <v>1445</v>
      </c>
      <c r="E13" s="47" t="s">
        <v>1445</v>
      </c>
      <c r="F13" s="15">
        <v>4.5999999999999996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2979</v>
      </c>
      <c r="C14" s="14" t="s">
        <v>2980</v>
      </c>
      <c r="D14" s="46" t="s">
        <v>2981</v>
      </c>
      <c r="E14" s="47" t="s">
        <v>2981</v>
      </c>
      <c r="F14" s="15">
        <v>2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2982</v>
      </c>
      <c r="C15" s="14" t="s">
        <v>2983</v>
      </c>
      <c r="D15" s="46" t="s">
        <v>1445</v>
      </c>
      <c r="E15" s="47" t="s">
        <v>1445</v>
      </c>
      <c r="F15" s="15">
        <v>3.3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2984</v>
      </c>
      <c r="C16" s="14" t="s">
        <v>2985</v>
      </c>
      <c r="D16" s="46" t="s">
        <v>1445</v>
      </c>
      <c r="E16" s="47" t="s">
        <v>1445</v>
      </c>
      <c r="F16" s="15">
        <v>2</v>
      </c>
      <c r="G16" s="15"/>
      <c r="H16" s="15"/>
      <c r="I16" s="37">
        <f t="shared" si="0"/>
        <v>0</v>
      </c>
    </row>
    <row r="17" spans="1:9" ht="15.6" customHeight="1" x14ac:dyDescent="0.25">
      <c r="A17" s="13">
        <v>13</v>
      </c>
      <c r="B17" s="14" t="s">
        <v>2986</v>
      </c>
      <c r="C17" s="14" t="s">
        <v>2987</v>
      </c>
      <c r="D17" s="46" t="s">
        <v>1445</v>
      </c>
      <c r="E17" s="47" t="s">
        <v>1445</v>
      </c>
      <c r="F17" s="15">
        <v>3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4" t="s">
        <v>2988</v>
      </c>
      <c r="C18" s="14" t="s">
        <v>2989</v>
      </c>
      <c r="D18" s="46" t="s">
        <v>2990</v>
      </c>
      <c r="E18" s="47" t="s">
        <v>2990</v>
      </c>
      <c r="F18" s="15">
        <v>2.2000000000000002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4" t="s">
        <v>2991</v>
      </c>
      <c r="C19" s="14" t="s">
        <v>2992</v>
      </c>
      <c r="D19" s="46" t="s">
        <v>1445</v>
      </c>
      <c r="E19" s="47" t="s">
        <v>1445</v>
      </c>
      <c r="F19" s="15">
        <v>1.9</v>
      </c>
      <c r="G19" s="15"/>
      <c r="H19" s="15"/>
      <c r="I19" s="37">
        <f t="shared" si="0"/>
        <v>0</v>
      </c>
    </row>
    <row r="20" spans="1:9" ht="15.6" customHeight="1" x14ac:dyDescent="0.25">
      <c r="A20" s="13">
        <v>16</v>
      </c>
      <c r="B20" s="14" t="s">
        <v>2993</v>
      </c>
      <c r="C20" s="14" t="s">
        <v>2994</v>
      </c>
      <c r="D20" s="46" t="s">
        <v>1445</v>
      </c>
      <c r="E20" s="47" t="s">
        <v>1445</v>
      </c>
      <c r="F20" s="15">
        <v>2.2999999999999998</v>
      </c>
      <c r="G20" s="19"/>
      <c r="H20" s="19"/>
      <c r="I20" s="37">
        <f t="shared" si="0"/>
        <v>0</v>
      </c>
    </row>
    <row r="21" spans="1:9" ht="15.6" customHeight="1" x14ac:dyDescent="0.25">
      <c r="A21" s="13">
        <v>17</v>
      </c>
      <c r="B21" s="14" t="s">
        <v>2995</v>
      </c>
      <c r="C21" s="14" t="s">
        <v>2996</v>
      </c>
      <c r="D21" s="46" t="s">
        <v>2997</v>
      </c>
      <c r="E21" s="47" t="s">
        <v>2997</v>
      </c>
      <c r="F21" s="16">
        <v>4</v>
      </c>
      <c r="G21" s="19"/>
      <c r="H21" s="19"/>
      <c r="I21" s="37">
        <f t="shared" si="0"/>
        <v>0</v>
      </c>
    </row>
    <row r="22" spans="1:9" ht="15.6" customHeight="1" x14ac:dyDescent="0.25">
      <c r="A22" s="13">
        <v>18</v>
      </c>
      <c r="B22" s="14" t="s">
        <v>2998</v>
      </c>
      <c r="C22" s="14" t="s">
        <v>2999</v>
      </c>
      <c r="D22" s="46" t="s">
        <v>3000</v>
      </c>
      <c r="E22" s="47" t="s">
        <v>3000</v>
      </c>
      <c r="F22" s="15">
        <v>4</v>
      </c>
      <c r="G22" s="15"/>
      <c r="H22" s="15"/>
      <c r="I22" s="37">
        <f t="shared" si="0"/>
        <v>0</v>
      </c>
    </row>
    <row r="23" spans="1:9" ht="15.6" customHeight="1" x14ac:dyDescent="0.25">
      <c r="A23" s="13">
        <v>19</v>
      </c>
      <c r="B23" s="14" t="s">
        <v>3001</v>
      </c>
      <c r="C23" s="14" t="s">
        <v>3002</v>
      </c>
      <c r="D23" s="46" t="s">
        <v>3003</v>
      </c>
      <c r="E23" s="47" t="s">
        <v>3003</v>
      </c>
      <c r="F23" s="15">
        <v>1.5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4" t="s">
        <v>3004</v>
      </c>
      <c r="C24" s="14" t="s">
        <v>3005</v>
      </c>
      <c r="D24" s="46" t="s">
        <v>3006</v>
      </c>
      <c r="E24" s="47" t="s">
        <v>3006</v>
      </c>
      <c r="F24" s="15">
        <v>4</v>
      </c>
      <c r="G24" s="19"/>
      <c r="H24" s="19"/>
      <c r="I24" s="37">
        <f t="shared" si="0"/>
        <v>0</v>
      </c>
    </row>
    <row r="25" spans="1:9" ht="15.6" customHeight="1" x14ac:dyDescent="0.25">
      <c r="A25" s="13">
        <v>21</v>
      </c>
      <c r="B25" s="14" t="s">
        <v>3007</v>
      </c>
      <c r="C25" s="14" t="s">
        <v>3008</v>
      </c>
      <c r="D25" s="46" t="s">
        <v>1759</v>
      </c>
      <c r="E25" s="47" t="s">
        <v>1759</v>
      </c>
      <c r="F25" s="15">
        <v>2</v>
      </c>
      <c r="G25" s="19"/>
      <c r="H25" s="19"/>
      <c r="I25" s="37">
        <f t="shared" ref="I25:I33" si="1">H25/F25</f>
        <v>0</v>
      </c>
    </row>
    <row r="26" spans="1:9" ht="15.6" customHeight="1" x14ac:dyDescent="0.25">
      <c r="A26" s="13">
        <v>22</v>
      </c>
      <c r="B26" s="14" t="s">
        <v>3009</v>
      </c>
      <c r="C26" s="14" t="s">
        <v>3010</v>
      </c>
      <c r="D26" s="46" t="s">
        <v>3011</v>
      </c>
      <c r="E26" s="47" t="s">
        <v>3011</v>
      </c>
      <c r="F26" s="15">
        <v>1.5</v>
      </c>
      <c r="G26" s="19"/>
      <c r="H26" s="19"/>
      <c r="I26" s="37">
        <f t="shared" si="1"/>
        <v>0</v>
      </c>
    </row>
    <row r="27" spans="1:9" ht="15.6" customHeight="1" x14ac:dyDescent="0.25">
      <c r="A27" s="13">
        <v>23</v>
      </c>
      <c r="B27" s="14" t="s">
        <v>3012</v>
      </c>
      <c r="C27" s="14" t="s">
        <v>3013</v>
      </c>
      <c r="D27" s="46" t="s">
        <v>3011</v>
      </c>
      <c r="E27" s="47" t="s">
        <v>3011</v>
      </c>
      <c r="F27" s="15">
        <v>1.5</v>
      </c>
      <c r="G27" s="15"/>
      <c r="H27" s="15"/>
      <c r="I27" s="37">
        <f t="shared" si="1"/>
        <v>0</v>
      </c>
    </row>
    <row r="28" spans="1:9" ht="15.6" customHeight="1" x14ac:dyDescent="0.25">
      <c r="A28" s="13">
        <v>24</v>
      </c>
      <c r="B28" s="14" t="s">
        <v>3014</v>
      </c>
      <c r="C28" s="14" t="s">
        <v>3015</v>
      </c>
      <c r="D28" s="46" t="s">
        <v>3011</v>
      </c>
      <c r="E28" s="47" t="s">
        <v>3011</v>
      </c>
      <c r="F28" s="15">
        <v>2.2000000000000002</v>
      </c>
      <c r="G28" s="15"/>
      <c r="H28" s="15"/>
      <c r="I28" s="37">
        <f t="shared" si="1"/>
        <v>0</v>
      </c>
    </row>
    <row r="29" spans="1:9" ht="15.6" customHeight="1" x14ac:dyDescent="0.25">
      <c r="A29" s="13">
        <v>25</v>
      </c>
      <c r="B29" s="14" t="s">
        <v>3016</v>
      </c>
      <c r="C29" s="14" t="s">
        <v>3017</v>
      </c>
      <c r="D29" s="46" t="s">
        <v>3018</v>
      </c>
      <c r="E29" s="47" t="s">
        <v>3018</v>
      </c>
      <c r="F29" s="15">
        <v>2.5</v>
      </c>
      <c r="G29" s="15"/>
      <c r="H29" s="15"/>
      <c r="I29" s="37">
        <f t="shared" si="1"/>
        <v>0</v>
      </c>
    </row>
    <row r="30" spans="1:9" ht="15.6" customHeight="1" x14ac:dyDescent="0.25">
      <c r="A30" s="13">
        <v>26</v>
      </c>
      <c r="B30" s="14" t="s">
        <v>3019</v>
      </c>
      <c r="C30" s="14" t="s">
        <v>3020</v>
      </c>
      <c r="D30" s="46" t="s">
        <v>3021</v>
      </c>
      <c r="E30" s="47" t="s">
        <v>3021</v>
      </c>
      <c r="F30" s="15">
        <v>1.8</v>
      </c>
      <c r="G30" s="15"/>
      <c r="H30" s="15"/>
      <c r="I30" s="37">
        <f t="shared" si="1"/>
        <v>0</v>
      </c>
    </row>
    <row r="31" spans="1:9" ht="15.6" customHeight="1" x14ac:dyDescent="0.25">
      <c r="A31" s="13">
        <v>27</v>
      </c>
      <c r="B31" s="14" t="s">
        <v>3022</v>
      </c>
      <c r="C31" s="14" t="s">
        <v>3023</v>
      </c>
      <c r="D31" s="46" t="s">
        <v>3021</v>
      </c>
      <c r="E31" s="47" t="s">
        <v>3021</v>
      </c>
      <c r="F31" s="15">
        <v>1.6</v>
      </c>
      <c r="G31" s="15"/>
      <c r="H31" s="15"/>
      <c r="I31" s="37">
        <f t="shared" si="1"/>
        <v>0</v>
      </c>
    </row>
    <row r="32" spans="1:9" ht="15.6" customHeight="1" x14ac:dyDescent="0.25">
      <c r="A32" s="13">
        <v>28</v>
      </c>
      <c r="B32" s="14" t="s">
        <v>3024</v>
      </c>
      <c r="C32" s="14" t="s">
        <v>3025</v>
      </c>
      <c r="D32" s="46" t="s">
        <v>3011</v>
      </c>
      <c r="E32" s="47" t="s">
        <v>3011</v>
      </c>
      <c r="F32" s="15">
        <v>1.5</v>
      </c>
      <c r="G32" s="15"/>
      <c r="H32" s="15"/>
      <c r="I32" s="37">
        <f t="shared" si="1"/>
        <v>0</v>
      </c>
    </row>
    <row r="33" spans="1:9" ht="15.6" customHeight="1" x14ac:dyDescent="0.25">
      <c r="A33" s="13">
        <v>29</v>
      </c>
      <c r="B33" s="14" t="s">
        <v>3026</v>
      </c>
      <c r="C33" s="14" t="s">
        <v>3027</v>
      </c>
      <c r="D33" s="46" t="s">
        <v>3011</v>
      </c>
      <c r="E33" s="47" t="s">
        <v>3011</v>
      </c>
      <c r="F33" s="15">
        <v>2.5</v>
      </c>
      <c r="G33" s="15"/>
      <c r="H33" s="15"/>
      <c r="I33" s="37">
        <f t="shared" si="1"/>
        <v>0</v>
      </c>
    </row>
    <row r="34" spans="1:9" ht="15.6" customHeight="1" x14ac:dyDescent="0.25">
      <c r="A34" s="13">
        <v>30</v>
      </c>
      <c r="B34" s="14" t="s">
        <v>3028</v>
      </c>
      <c r="C34" s="14" t="s">
        <v>3029</v>
      </c>
      <c r="D34" s="46" t="s">
        <v>3011</v>
      </c>
      <c r="E34" s="47" t="s">
        <v>3011</v>
      </c>
      <c r="F34" s="15">
        <v>0.9</v>
      </c>
      <c r="G34" s="19"/>
      <c r="H34" s="19"/>
      <c r="I34" s="37">
        <f>H34/F34</f>
        <v>0</v>
      </c>
    </row>
    <row r="35" spans="1:9" ht="15.6" customHeight="1" x14ac:dyDescent="0.25">
      <c r="A35" s="13">
        <v>31</v>
      </c>
      <c r="B35" s="14" t="s">
        <v>3030</v>
      </c>
      <c r="C35" s="14" t="s">
        <v>3031</v>
      </c>
      <c r="D35" s="46" t="s">
        <v>3032</v>
      </c>
      <c r="E35" s="47" t="s">
        <v>3032</v>
      </c>
      <c r="F35" s="15">
        <v>3</v>
      </c>
      <c r="G35" s="19"/>
      <c r="H35" s="19"/>
      <c r="I35" s="37">
        <f>H35/F35</f>
        <v>0</v>
      </c>
    </row>
    <row r="36" spans="1:9" ht="16.8" customHeight="1" x14ac:dyDescent="0.25">
      <c r="A36" s="39" t="s">
        <v>1769</v>
      </c>
      <c r="B36" s="39"/>
      <c r="C36" s="39"/>
      <c r="D36" s="39" t="s">
        <v>2063</v>
      </c>
      <c r="E36" s="39"/>
      <c r="F36" s="12">
        <f>SUM(F5:F35)</f>
        <v>90.2</v>
      </c>
      <c r="G36" s="20"/>
      <c r="H36" s="12">
        <f>SUM(H5:H35)</f>
        <v>0</v>
      </c>
      <c r="I36" s="38">
        <f>H36/F36</f>
        <v>0</v>
      </c>
    </row>
  </sheetData>
  <mergeCells count="39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34:E34"/>
    <mergeCell ref="D35:E35"/>
    <mergeCell ref="A36:C36"/>
    <mergeCell ref="D36:E36"/>
    <mergeCell ref="D31:E31"/>
    <mergeCell ref="D32:E32"/>
    <mergeCell ref="D33:E33"/>
    <mergeCell ref="D23:E23"/>
    <mergeCell ref="D24:E24"/>
    <mergeCell ref="D27:E27"/>
    <mergeCell ref="D25:E25"/>
    <mergeCell ref="D26:E26"/>
    <mergeCell ref="D28:E28"/>
    <mergeCell ref="D29:E29"/>
    <mergeCell ref="D30:E30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DE4B-82A0-46D8-89E6-2284038DAA1C}">
  <sheetPr codeName="Sheet43"/>
  <dimension ref="A1:I67"/>
  <sheetViews>
    <sheetView topLeftCell="A44" zoomScaleNormal="100" workbookViewId="0">
      <selection activeCell="C73" sqref="C73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9" t="s">
        <v>3169</v>
      </c>
      <c r="C5" s="26" t="s">
        <v>3033</v>
      </c>
      <c r="D5" s="46" t="s">
        <v>3034</v>
      </c>
      <c r="E5" s="47" t="s">
        <v>3034</v>
      </c>
      <c r="F5" s="19">
        <v>14</v>
      </c>
      <c r="G5" s="19"/>
      <c r="H5" s="19"/>
      <c r="I5" s="37">
        <f t="shared" ref="I5:I26" si="0">H5/F5</f>
        <v>0</v>
      </c>
    </row>
    <row r="6" spans="1:9" ht="15.6" customHeight="1" x14ac:dyDescent="0.25">
      <c r="A6" s="13">
        <v>2</v>
      </c>
      <c r="B6" s="15" t="s">
        <v>3038</v>
      </c>
      <c r="C6" s="25" t="s">
        <v>3039</v>
      </c>
      <c r="D6" s="46" t="s">
        <v>1445</v>
      </c>
      <c r="E6" s="47" t="s">
        <v>1445</v>
      </c>
      <c r="F6" s="19">
        <v>12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9" t="s">
        <v>3040</v>
      </c>
      <c r="C7" s="26" t="s">
        <v>3041</v>
      </c>
      <c r="D7" s="46" t="s">
        <v>3042</v>
      </c>
      <c r="E7" s="47" t="s">
        <v>3042</v>
      </c>
      <c r="F7" s="19">
        <v>6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9" t="s">
        <v>3043</v>
      </c>
      <c r="C8" s="26" t="s">
        <v>3044</v>
      </c>
      <c r="D8" s="46" t="s">
        <v>3045</v>
      </c>
      <c r="E8" s="47" t="s">
        <v>3045</v>
      </c>
      <c r="F8" s="19">
        <v>12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5" t="s">
        <v>3046</v>
      </c>
      <c r="C9" s="25" t="s">
        <v>3047</v>
      </c>
      <c r="D9" s="46" t="s">
        <v>3048</v>
      </c>
      <c r="E9" s="47" t="s">
        <v>3048</v>
      </c>
      <c r="F9" s="19">
        <v>8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9" t="s">
        <v>3049</v>
      </c>
      <c r="C10" s="26" t="s">
        <v>3050</v>
      </c>
      <c r="D10" s="46" t="s">
        <v>1445</v>
      </c>
      <c r="E10" s="47" t="s">
        <v>1445</v>
      </c>
      <c r="F10" s="19">
        <v>4.0999999999999996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9" t="s">
        <v>3051</v>
      </c>
      <c r="C11" s="26" t="s">
        <v>3052</v>
      </c>
      <c r="D11" s="46" t="s">
        <v>1445</v>
      </c>
      <c r="E11" s="47" t="s">
        <v>1445</v>
      </c>
      <c r="F11" s="19">
        <v>4.0999999999999996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5" t="s">
        <v>3053</v>
      </c>
      <c r="C12" s="25" t="s">
        <v>3054</v>
      </c>
      <c r="D12" s="46" t="s">
        <v>1445</v>
      </c>
      <c r="E12" s="47" t="s">
        <v>1445</v>
      </c>
      <c r="F12" s="19">
        <v>5.4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9" t="s">
        <v>3055</v>
      </c>
      <c r="C13" s="26" t="s">
        <v>3056</v>
      </c>
      <c r="D13" s="46" t="s">
        <v>1445</v>
      </c>
      <c r="E13" s="47" t="s">
        <v>1445</v>
      </c>
      <c r="F13" s="19">
        <v>6.6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9" t="s">
        <v>3057</v>
      </c>
      <c r="C14" s="26" t="s">
        <v>3058</v>
      </c>
      <c r="D14" s="46" t="s">
        <v>1445</v>
      </c>
      <c r="E14" s="47" t="s">
        <v>1445</v>
      </c>
      <c r="F14" s="19">
        <v>5.5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5" t="s">
        <v>3059</v>
      </c>
      <c r="C15" s="25" t="s">
        <v>3060</v>
      </c>
      <c r="D15" s="46" t="s">
        <v>1445</v>
      </c>
      <c r="E15" s="47" t="s">
        <v>1445</v>
      </c>
      <c r="F15" s="19">
        <v>1.6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9" t="s">
        <v>3061</v>
      </c>
      <c r="C16" s="26" t="s">
        <v>3062</v>
      </c>
      <c r="D16" s="46" t="s">
        <v>1445</v>
      </c>
      <c r="E16" s="47" t="s">
        <v>1445</v>
      </c>
      <c r="F16" s="19">
        <v>5.2</v>
      </c>
      <c r="G16" s="15"/>
      <c r="H16" s="15"/>
      <c r="I16" s="37">
        <f t="shared" si="0"/>
        <v>0</v>
      </c>
    </row>
    <row r="17" spans="1:9" ht="15.6" customHeight="1" x14ac:dyDescent="0.25">
      <c r="A17" s="13">
        <v>13</v>
      </c>
      <c r="B17" s="19" t="s">
        <v>3063</v>
      </c>
      <c r="C17" s="26" t="s">
        <v>3064</v>
      </c>
      <c r="D17" s="46" t="s">
        <v>1445</v>
      </c>
      <c r="E17" s="47" t="s">
        <v>1445</v>
      </c>
      <c r="F17" s="19">
        <v>1.5</v>
      </c>
      <c r="G17" s="19"/>
      <c r="H17" s="19"/>
      <c r="I17" s="37">
        <f t="shared" si="0"/>
        <v>0</v>
      </c>
    </row>
    <row r="18" spans="1:9" ht="15.6" customHeight="1" x14ac:dyDescent="0.25">
      <c r="A18" s="13">
        <v>14</v>
      </c>
      <c r="B18" s="15" t="s">
        <v>3065</v>
      </c>
      <c r="C18" s="25" t="s">
        <v>3066</v>
      </c>
      <c r="D18" s="46" t="s">
        <v>1445</v>
      </c>
      <c r="E18" s="47" t="s">
        <v>1445</v>
      </c>
      <c r="F18" s="19">
        <v>4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9" t="s">
        <v>3067</v>
      </c>
      <c r="C19" s="26" t="s">
        <v>3068</v>
      </c>
      <c r="D19" s="46" t="s">
        <v>3069</v>
      </c>
      <c r="E19" s="47" t="s">
        <v>3069</v>
      </c>
      <c r="F19" s="19">
        <v>14</v>
      </c>
      <c r="G19" s="15"/>
      <c r="H19" s="15"/>
      <c r="I19" s="37">
        <f t="shared" si="0"/>
        <v>0</v>
      </c>
    </row>
    <row r="20" spans="1:9" ht="15.6" customHeight="1" x14ac:dyDescent="0.25">
      <c r="A20" s="13">
        <v>16</v>
      </c>
      <c r="B20" s="19" t="s">
        <v>3070</v>
      </c>
      <c r="C20" s="26" t="s">
        <v>3071</v>
      </c>
      <c r="D20" s="46" t="s">
        <v>3072</v>
      </c>
      <c r="E20" s="47" t="s">
        <v>3072</v>
      </c>
      <c r="F20" s="19">
        <v>4</v>
      </c>
      <c r="G20" s="19"/>
      <c r="H20" s="19"/>
      <c r="I20" s="37">
        <f t="shared" si="0"/>
        <v>0</v>
      </c>
    </row>
    <row r="21" spans="1:9" ht="15.6" customHeight="1" x14ac:dyDescent="0.25">
      <c r="A21" s="13">
        <v>17</v>
      </c>
      <c r="B21" s="15" t="s">
        <v>3073</v>
      </c>
      <c r="C21" s="25" t="s">
        <v>3074</v>
      </c>
      <c r="D21" s="46" t="s">
        <v>1445</v>
      </c>
      <c r="E21" s="47" t="s">
        <v>1445</v>
      </c>
      <c r="F21" s="19">
        <v>1.1000000000000001</v>
      </c>
      <c r="G21" s="19"/>
      <c r="H21" s="19"/>
      <c r="I21" s="37">
        <f t="shared" si="0"/>
        <v>0</v>
      </c>
    </row>
    <row r="22" spans="1:9" ht="15.6" customHeight="1" x14ac:dyDescent="0.25">
      <c r="A22" s="13">
        <v>18</v>
      </c>
      <c r="B22" s="19" t="s">
        <v>3075</v>
      </c>
      <c r="C22" s="26" t="s">
        <v>3076</v>
      </c>
      <c r="D22" s="46" t="s">
        <v>1445</v>
      </c>
      <c r="E22" s="47" t="s">
        <v>1445</v>
      </c>
      <c r="F22" s="19">
        <v>4.2</v>
      </c>
      <c r="G22" s="15"/>
      <c r="H22" s="15"/>
      <c r="I22" s="37">
        <f t="shared" si="0"/>
        <v>0</v>
      </c>
    </row>
    <row r="23" spans="1:9" ht="15.6" customHeight="1" x14ac:dyDescent="0.25">
      <c r="A23" s="13">
        <v>19</v>
      </c>
      <c r="B23" s="19" t="s">
        <v>3077</v>
      </c>
      <c r="C23" s="26" t="s">
        <v>3078</v>
      </c>
      <c r="D23" s="46" t="s">
        <v>1445</v>
      </c>
      <c r="E23" s="47" t="s">
        <v>1445</v>
      </c>
      <c r="F23" s="19">
        <v>2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5" t="s">
        <v>3079</v>
      </c>
      <c r="C24" s="25" t="s">
        <v>3080</v>
      </c>
      <c r="D24" s="46" t="s">
        <v>1445</v>
      </c>
      <c r="E24" s="47" t="s">
        <v>1445</v>
      </c>
      <c r="F24" s="19">
        <v>5</v>
      </c>
      <c r="G24" s="19"/>
      <c r="H24" s="19"/>
      <c r="I24" s="37">
        <f t="shared" si="0"/>
        <v>0</v>
      </c>
    </row>
    <row r="25" spans="1:9" ht="15.6" customHeight="1" x14ac:dyDescent="0.25">
      <c r="A25" s="13">
        <v>21</v>
      </c>
      <c r="B25" s="19" t="s">
        <v>3081</v>
      </c>
      <c r="C25" s="26" t="s">
        <v>3082</v>
      </c>
      <c r="D25" s="46" t="s">
        <v>1445</v>
      </c>
      <c r="E25" s="47" t="s">
        <v>1445</v>
      </c>
      <c r="F25" s="19">
        <v>1.6</v>
      </c>
      <c r="G25" s="15"/>
      <c r="H25" s="15"/>
      <c r="I25" s="37">
        <f t="shared" si="0"/>
        <v>0</v>
      </c>
    </row>
    <row r="26" spans="1:9" ht="15.6" customHeight="1" x14ac:dyDescent="0.25">
      <c r="A26" s="13">
        <v>22</v>
      </c>
      <c r="B26" s="19" t="s">
        <v>3083</v>
      </c>
      <c r="C26" s="26" t="s">
        <v>3084</v>
      </c>
      <c r="D26" s="46" t="s">
        <v>1445</v>
      </c>
      <c r="E26" s="47" t="s">
        <v>1445</v>
      </c>
      <c r="F26" s="19">
        <v>5</v>
      </c>
      <c r="G26" s="19"/>
      <c r="H26" s="19"/>
      <c r="I26" s="37">
        <f t="shared" si="0"/>
        <v>0</v>
      </c>
    </row>
    <row r="27" spans="1:9" ht="15.6" customHeight="1" x14ac:dyDescent="0.25">
      <c r="A27" s="13">
        <v>23</v>
      </c>
      <c r="B27" s="15" t="s">
        <v>3085</v>
      </c>
      <c r="C27" s="25" t="s">
        <v>3086</v>
      </c>
      <c r="D27" s="46" t="s">
        <v>1445</v>
      </c>
      <c r="E27" s="47" t="s">
        <v>1445</v>
      </c>
      <c r="F27" s="19">
        <v>1.5</v>
      </c>
      <c r="G27" s="19"/>
      <c r="H27" s="19"/>
      <c r="I27" s="37">
        <f t="shared" ref="I27:I58" si="1">H27/F27</f>
        <v>0</v>
      </c>
    </row>
    <row r="28" spans="1:9" ht="15.6" customHeight="1" x14ac:dyDescent="0.25">
      <c r="A28" s="13">
        <v>24</v>
      </c>
      <c r="B28" s="19" t="s">
        <v>3087</v>
      </c>
      <c r="C28" s="26" t="s">
        <v>3088</v>
      </c>
      <c r="D28" s="46" t="s">
        <v>3089</v>
      </c>
      <c r="E28" s="47" t="s">
        <v>3089</v>
      </c>
      <c r="F28" s="19">
        <v>2</v>
      </c>
      <c r="G28" s="19"/>
      <c r="H28" s="19"/>
      <c r="I28" s="37">
        <f t="shared" si="1"/>
        <v>0</v>
      </c>
    </row>
    <row r="29" spans="1:9" ht="15.6" customHeight="1" x14ac:dyDescent="0.25">
      <c r="A29" s="13">
        <v>25</v>
      </c>
      <c r="B29" s="19" t="s">
        <v>3090</v>
      </c>
      <c r="C29" s="26" t="s">
        <v>3091</v>
      </c>
      <c r="D29" s="46" t="s">
        <v>1445</v>
      </c>
      <c r="E29" s="47" t="s">
        <v>1445</v>
      </c>
      <c r="F29" s="19">
        <v>3.4</v>
      </c>
      <c r="G29" s="19"/>
      <c r="H29" s="19"/>
      <c r="I29" s="37">
        <f t="shared" si="1"/>
        <v>0</v>
      </c>
    </row>
    <row r="30" spans="1:9" ht="15.6" customHeight="1" x14ac:dyDescent="0.25">
      <c r="A30" s="13">
        <v>26</v>
      </c>
      <c r="B30" s="15" t="s">
        <v>3092</v>
      </c>
      <c r="C30" s="25" t="s">
        <v>3093</v>
      </c>
      <c r="D30" s="46" t="s">
        <v>3094</v>
      </c>
      <c r="E30" s="47" t="s">
        <v>3094</v>
      </c>
      <c r="F30" s="19">
        <v>2</v>
      </c>
      <c r="G30" s="19"/>
      <c r="H30" s="19"/>
      <c r="I30" s="37">
        <f t="shared" si="1"/>
        <v>0</v>
      </c>
    </row>
    <row r="31" spans="1:9" ht="15.6" customHeight="1" x14ac:dyDescent="0.25">
      <c r="A31" s="13">
        <v>27</v>
      </c>
      <c r="B31" s="19" t="s">
        <v>3095</v>
      </c>
      <c r="C31" s="26" t="s">
        <v>3096</v>
      </c>
      <c r="D31" s="46" t="s">
        <v>3097</v>
      </c>
      <c r="E31" s="47" t="s">
        <v>3097</v>
      </c>
      <c r="F31" s="19">
        <v>1.4</v>
      </c>
      <c r="G31" s="19"/>
      <c r="H31" s="19"/>
      <c r="I31" s="37">
        <f t="shared" si="1"/>
        <v>0</v>
      </c>
    </row>
    <row r="32" spans="1:9" ht="15.6" customHeight="1" x14ac:dyDescent="0.25">
      <c r="A32" s="13">
        <v>28</v>
      </c>
      <c r="B32" s="19" t="s">
        <v>3098</v>
      </c>
      <c r="C32" s="26" t="s">
        <v>3099</v>
      </c>
      <c r="D32" s="46" t="s">
        <v>3100</v>
      </c>
      <c r="E32" s="47" t="s">
        <v>3100</v>
      </c>
      <c r="F32" s="19">
        <v>2</v>
      </c>
      <c r="G32" s="19"/>
      <c r="H32" s="19"/>
      <c r="I32" s="37">
        <f t="shared" si="1"/>
        <v>0</v>
      </c>
    </row>
    <row r="33" spans="1:9" ht="15.6" customHeight="1" x14ac:dyDescent="0.25">
      <c r="A33" s="13">
        <v>29</v>
      </c>
      <c r="B33" s="15" t="s">
        <v>3101</v>
      </c>
      <c r="C33" s="25" t="s">
        <v>3102</v>
      </c>
      <c r="D33" s="46" t="s">
        <v>3103</v>
      </c>
      <c r="E33" s="47" t="s">
        <v>3103</v>
      </c>
      <c r="F33" s="19">
        <v>3</v>
      </c>
      <c r="G33" s="19"/>
      <c r="H33" s="19"/>
      <c r="I33" s="37">
        <f t="shared" si="1"/>
        <v>0</v>
      </c>
    </row>
    <row r="34" spans="1:9" ht="15.6" customHeight="1" x14ac:dyDescent="0.25">
      <c r="A34" s="13">
        <v>30</v>
      </c>
      <c r="B34" s="19" t="s">
        <v>3104</v>
      </c>
      <c r="C34" s="26" t="s">
        <v>3105</v>
      </c>
      <c r="D34" s="46" t="s">
        <v>1445</v>
      </c>
      <c r="E34" s="47" t="s">
        <v>1445</v>
      </c>
      <c r="F34" s="19">
        <v>4.5</v>
      </c>
      <c r="G34" s="19"/>
      <c r="H34" s="19"/>
      <c r="I34" s="37">
        <f t="shared" si="1"/>
        <v>0</v>
      </c>
    </row>
    <row r="35" spans="1:9" ht="15.6" customHeight="1" x14ac:dyDescent="0.25">
      <c r="A35" s="13">
        <v>31</v>
      </c>
      <c r="B35" s="19" t="s">
        <v>3106</v>
      </c>
      <c r="C35" s="26" t="s">
        <v>3107</v>
      </c>
      <c r="D35" s="46" t="s">
        <v>3108</v>
      </c>
      <c r="E35" s="47" t="s">
        <v>3108</v>
      </c>
      <c r="F35" s="19">
        <v>2.5</v>
      </c>
      <c r="G35" s="19"/>
      <c r="H35" s="19"/>
      <c r="I35" s="37">
        <f t="shared" si="1"/>
        <v>0</v>
      </c>
    </row>
    <row r="36" spans="1:9" ht="15.6" customHeight="1" x14ac:dyDescent="0.25">
      <c r="A36" s="13">
        <v>32</v>
      </c>
      <c r="B36" s="15" t="s">
        <v>3109</v>
      </c>
      <c r="C36" s="25" t="s">
        <v>3110</v>
      </c>
      <c r="D36" s="46" t="s">
        <v>3111</v>
      </c>
      <c r="E36" s="47" t="s">
        <v>3111</v>
      </c>
      <c r="F36" s="19">
        <v>2</v>
      </c>
      <c r="G36" s="19"/>
      <c r="H36" s="19"/>
      <c r="I36" s="37">
        <f t="shared" si="1"/>
        <v>0</v>
      </c>
    </row>
    <row r="37" spans="1:9" ht="15.6" customHeight="1" x14ac:dyDescent="0.25">
      <c r="A37" s="13">
        <v>33</v>
      </c>
      <c r="B37" s="19" t="s">
        <v>3112</v>
      </c>
      <c r="C37" s="26" t="s">
        <v>3113</v>
      </c>
      <c r="D37" s="46" t="s">
        <v>3114</v>
      </c>
      <c r="E37" s="47" t="s">
        <v>3114</v>
      </c>
      <c r="F37" s="19">
        <v>3</v>
      </c>
      <c r="G37" s="19"/>
      <c r="H37" s="19"/>
      <c r="I37" s="37">
        <f t="shared" si="1"/>
        <v>0</v>
      </c>
    </row>
    <row r="38" spans="1:9" ht="15.6" customHeight="1" x14ac:dyDescent="0.25">
      <c r="A38" s="13">
        <v>34</v>
      </c>
      <c r="B38" s="19" t="s">
        <v>3115</v>
      </c>
      <c r="C38" s="26" t="s">
        <v>3116</v>
      </c>
      <c r="D38" s="46" t="s">
        <v>3117</v>
      </c>
      <c r="E38" s="47" t="s">
        <v>3117</v>
      </c>
      <c r="F38" s="19">
        <v>1</v>
      </c>
      <c r="G38" s="19"/>
      <c r="H38" s="19"/>
      <c r="I38" s="37">
        <f t="shared" si="1"/>
        <v>0</v>
      </c>
    </row>
    <row r="39" spans="1:9" ht="15.6" customHeight="1" x14ac:dyDescent="0.25">
      <c r="A39" s="13">
        <v>35</v>
      </c>
      <c r="B39" s="15" t="s">
        <v>3118</v>
      </c>
      <c r="C39" s="25" t="s">
        <v>3119</v>
      </c>
      <c r="D39" s="46" t="s">
        <v>3120</v>
      </c>
      <c r="E39" s="47" t="s">
        <v>3120</v>
      </c>
      <c r="F39" s="19">
        <v>1</v>
      </c>
      <c r="G39" s="19"/>
      <c r="H39" s="19"/>
      <c r="I39" s="37">
        <f t="shared" si="1"/>
        <v>0</v>
      </c>
    </row>
    <row r="40" spans="1:9" ht="15.6" customHeight="1" x14ac:dyDescent="0.25">
      <c r="A40" s="13">
        <v>36</v>
      </c>
      <c r="B40" s="19" t="s">
        <v>3121</v>
      </c>
      <c r="C40" s="26" t="s">
        <v>3122</v>
      </c>
      <c r="D40" s="46" t="s">
        <v>3123</v>
      </c>
      <c r="E40" s="47" t="s">
        <v>3123</v>
      </c>
      <c r="F40" s="19">
        <v>2</v>
      </c>
      <c r="G40" s="19"/>
      <c r="H40" s="19"/>
      <c r="I40" s="37">
        <f t="shared" si="1"/>
        <v>0</v>
      </c>
    </row>
    <row r="41" spans="1:9" ht="15.6" customHeight="1" x14ac:dyDescent="0.25">
      <c r="A41" s="13">
        <v>37</v>
      </c>
      <c r="B41" s="19" t="s">
        <v>3124</v>
      </c>
      <c r="C41" s="26" t="s">
        <v>3125</v>
      </c>
      <c r="D41" s="46" t="s">
        <v>3126</v>
      </c>
      <c r="E41" s="47" t="s">
        <v>3126</v>
      </c>
      <c r="F41" s="19">
        <v>1</v>
      </c>
      <c r="G41" s="19"/>
      <c r="H41" s="19"/>
      <c r="I41" s="37">
        <f t="shared" si="1"/>
        <v>0</v>
      </c>
    </row>
    <row r="42" spans="1:9" ht="15.6" customHeight="1" x14ac:dyDescent="0.25">
      <c r="A42" s="13">
        <v>38</v>
      </c>
      <c r="B42" s="15" t="s">
        <v>3127</v>
      </c>
      <c r="C42" s="25" t="s">
        <v>3128</v>
      </c>
      <c r="D42" s="46" t="s">
        <v>3129</v>
      </c>
      <c r="E42" s="47" t="s">
        <v>3129</v>
      </c>
      <c r="F42" s="19">
        <v>1</v>
      </c>
      <c r="G42" s="19"/>
      <c r="H42" s="19"/>
      <c r="I42" s="37">
        <f t="shared" si="1"/>
        <v>0</v>
      </c>
    </row>
    <row r="43" spans="1:9" ht="15.6" customHeight="1" x14ac:dyDescent="0.25">
      <c r="A43" s="13">
        <v>39</v>
      </c>
      <c r="B43" s="19" t="s">
        <v>3130</v>
      </c>
      <c r="C43" s="26" t="s">
        <v>3131</v>
      </c>
      <c r="D43" s="46" t="s">
        <v>3132</v>
      </c>
      <c r="E43" s="47" t="s">
        <v>3132</v>
      </c>
      <c r="F43" s="19">
        <v>0.4</v>
      </c>
      <c r="G43" s="19"/>
      <c r="H43" s="19"/>
      <c r="I43" s="37">
        <f t="shared" si="1"/>
        <v>0</v>
      </c>
    </row>
    <row r="44" spans="1:9" ht="15.6" customHeight="1" x14ac:dyDescent="0.25">
      <c r="A44" s="13">
        <v>40</v>
      </c>
      <c r="B44" s="19" t="s">
        <v>3133</v>
      </c>
      <c r="C44" s="26" t="s">
        <v>3131</v>
      </c>
      <c r="D44" s="46" t="s">
        <v>3132</v>
      </c>
      <c r="E44" s="47" t="s">
        <v>3132</v>
      </c>
      <c r="F44" s="19">
        <v>3.2</v>
      </c>
      <c r="G44" s="19"/>
      <c r="H44" s="19"/>
      <c r="I44" s="37">
        <f t="shared" si="1"/>
        <v>0</v>
      </c>
    </row>
    <row r="45" spans="1:9" ht="15.6" customHeight="1" x14ac:dyDescent="0.25">
      <c r="A45" s="13">
        <v>41</v>
      </c>
      <c r="B45" s="15" t="s">
        <v>3134</v>
      </c>
      <c r="C45" s="25" t="s">
        <v>3135</v>
      </c>
      <c r="D45" s="46" t="s">
        <v>3136</v>
      </c>
      <c r="E45" s="47" t="s">
        <v>3136</v>
      </c>
      <c r="F45" s="19">
        <v>2</v>
      </c>
      <c r="G45" s="19"/>
      <c r="H45" s="19"/>
      <c r="I45" s="37">
        <f t="shared" si="1"/>
        <v>0</v>
      </c>
    </row>
    <row r="46" spans="1:9" ht="15.6" customHeight="1" x14ac:dyDescent="0.25">
      <c r="A46" s="13">
        <v>42</v>
      </c>
      <c r="B46" s="19" t="s">
        <v>3137</v>
      </c>
      <c r="C46" s="26" t="s">
        <v>3138</v>
      </c>
      <c r="D46" s="46" t="s">
        <v>3139</v>
      </c>
      <c r="E46" s="47" t="s">
        <v>3139</v>
      </c>
      <c r="F46" s="19">
        <v>1</v>
      </c>
      <c r="G46" s="19"/>
      <c r="H46" s="19"/>
      <c r="I46" s="37">
        <f t="shared" si="1"/>
        <v>0</v>
      </c>
    </row>
    <row r="47" spans="1:9" ht="15.6" customHeight="1" x14ac:dyDescent="0.25">
      <c r="A47" s="13">
        <v>43</v>
      </c>
      <c r="B47" s="19" t="s">
        <v>3140</v>
      </c>
      <c r="C47" s="26" t="s">
        <v>3141</v>
      </c>
      <c r="D47" s="46" t="s">
        <v>3136</v>
      </c>
      <c r="E47" s="47" t="s">
        <v>3136</v>
      </c>
      <c r="F47" s="19">
        <v>1</v>
      </c>
      <c r="G47" s="19"/>
      <c r="H47" s="19"/>
      <c r="I47" s="37">
        <f t="shared" si="1"/>
        <v>0</v>
      </c>
    </row>
    <row r="48" spans="1:9" ht="15.6" customHeight="1" x14ac:dyDescent="0.25">
      <c r="A48" s="13">
        <v>44</v>
      </c>
      <c r="B48" s="15" t="s">
        <v>3142</v>
      </c>
      <c r="C48" s="25" t="s">
        <v>3143</v>
      </c>
      <c r="D48" s="46" t="s">
        <v>3144</v>
      </c>
      <c r="E48" s="47" t="s">
        <v>3144</v>
      </c>
      <c r="F48" s="19">
        <v>1.8</v>
      </c>
      <c r="G48" s="19"/>
      <c r="H48" s="19"/>
      <c r="I48" s="37">
        <f t="shared" si="1"/>
        <v>0</v>
      </c>
    </row>
    <row r="49" spans="1:9" ht="15.6" customHeight="1" x14ac:dyDescent="0.25">
      <c r="A49" s="13">
        <v>45</v>
      </c>
      <c r="B49" s="19" t="s">
        <v>3145</v>
      </c>
      <c r="C49" s="26" t="s">
        <v>3146</v>
      </c>
      <c r="D49" s="46" t="s">
        <v>3147</v>
      </c>
      <c r="E49" s="47" t="s">
        <v>3147</v>
      </c>
      <c r="F49" s="19">
        <v>3.3</v>
      </c>
      <c r="G49" s="19"/>
      <c r="H49" s="19"/>
      <c r="I49" s="37">
        <f t="shared" si="1"/>
        <v>0</v>
      </c>
    </row>
    <row r="50" spans="1:9" ht="15.6" customHeight="1" x14ac:dyDescent="0.25">
      <c r="A50" s="13">
        <v>46</v>
      </c>
      <c r="B50" s="19" t="s">
        <v>3148</v>
      </c>
      <c r="C50" s="26" t="s">
        <v>3149</v>
      </c>
      <c r="D50" s="46" t="s">
        <v>3150</v>
      </c>
      <c r="E50" s="47" t="s">
        <v>3150</v>
      </c>
      <c r="F50" s="19">
        <v>1</v>
      </c>
      <c r="G50" s="19"/>
      <c r="H50" s="19"/>
      <c r="I50" s="37">
        <f t="shared" si="1"/>
        <v>0</v>
      </c>
    </row>
    <row r="51" spans="1:9" ht="15.6" customHeight="1" x14ac:dyDescent="0.25">
      <c r="A51" s="13">
        <v>47</v>
      </c>
      <c r="B51" s="15" t="s">
        <v>3151</v>
      </c>
      <c r="C51" s="25" t="s">
        <v>3152</v>
      </c>
      <c r="D51" s="46" t="s">
        <v>3150</v>
      </c>
      <c r="E51" s="47" t="s">
        <v>3150</v>
      </c>
      <c r="F51" s="19">
        <v>1</v>
      </c>
      <c r="G51" s="19"/>
      <c r="H51" s="19"/>
      <c r="I51" s="37">
        <f t="shared" si="1"/>
        <v>0</v>
      </c>
    </row>
    <row r="52" spans="1:9" ht="15.6" customHeight="1" x14ac:dyDescent="0.25">
      <c r="A52" s="13">
        <v>48</v>
      </c>
      <c r="B52" s="19" t="s">
        <v>3153</v>
      </c>
      <c r="C52" s="26" t="s">
        <v>3154</v>
      </c>
      <c r="D52" s="46" t="s">
        <v>3147</v>
      </c>
      <c r="E52" s="47" t="s">
        <v>3147</v>
      </c>
      <c r="F52" s="19">
        <v>1.2</v>
      </c>
      <c r="G52" s="19"/>
      <c r="H52" s="19"/>
      <c r="I52" s="37">
        <f t="shared" si="1"/>
        <v>0</v>
      </c>
    </row>
    <row r="53" spans="1:9" ht="15.6" customHeight="1" x14ac:dyDescent="0.25">
      <c r="A53" s="13">
        <v>49</v>
      </c>
      <c r="B53" s="19" t="s">
        <v>3155</v>
      </c>
      <c r="C53" s="26" t="s">
        <v>3048</v>
      </c>
      <c r="D53" s="46" t="s">
        <v>3048</v>
      </c>
      <c r="E53" s="47" t="s">
        <v>3048</v>
      </c>
      <c r="F53" s="19">
        <v>8</v>
      </c>
      <c r="G53" s="19"/>
      <c r="H53" s="19"/>
      <c r="I53" s="37">
        <f t="shared" si="1"/>
        <v>0</v>
      </c>
    </row>
    <row r="54" spans="1:9" ht="15.6" customHeight="1" x14ac:dyDescent="0.25">
      <c r="A54" s="13">
        <v>50</v>
      </c>
      <c r="B54" s="15" t="s">
        <v>3156</v>
      </c>
      <c r="C54" s="25" t="s">
        <v>3157</v>
      </c>
      <c r="D54" s="46" t="s">
        <v>1760</v>
      </c>
      <c r="E54" s="47" t="s">
        <v>1760</v>
      </c>
      <c r="F54" s="19">
        <v>1.5</v>
      </c>
      <c r="G54" s="19"/>
      <c r="H54" s="19"/>
      <c r="I54" s="37">
        <f t="shared" si="1"/>
        <v>0</v>
      </c>
    </row>
    <row r="55" spans="1:9" ht="15.6" customHeight="1" x14ac:dyDescent="0.25">
      <c r="A55" s="13">
        <v>51</v>
      </c>
      <c r="B55" s="19" t="s">
        <v>3158</v>
      </c>
      <c r="C55" s="26" t="s">
        <v>3159</v>
      </c>
      <c r="D55" s="46" t="s">
        <v>1760</v>
      </c>
      <c r="E55" s="47" t="s">
        <v>1760</v>
      </c>
      <c r="F55" s="19">
        <v>0.5</v>
      </c>
      <c r="G55" s="19"/>
      <c r="H55" s="19"/>
      <c r="I55" s="37">
        <f t="shared" si="1"/>
        <v>0</v>
      </c>
    </row>
    <row r="56" spans="1:9" ht="15.6" customHeight="1" x14ac:dyDescent="0.25">
      <c r="A56" s="13">
        <v>52</v>
      </c>
      <c r="B56" s="19" t="s">
        <v>3160</v>
      </c>
      <c r="C56" s="26" t="s">
        <v>3161</v>
      </c>
      <c r="D56" s="46" t="s">
        <v>3162</v>
      </c>
      <c r="E56" s="47" t="s">
        <v>3162</v>
      </c>
      <c r="F56" s="19">
        <v>0.6</v>
      </c>
      <c r="G56" s="19"/>
      <c r="H56" s="19"/>
      <c r="I56" s="37">
        <f t="shared" si="1"/>
        <v>0</v>
      </c>
    </row>
    <row r="57" spans="1:9" ht="15.6" customHeight="1" x14ac:dyDescent="0.25">
      <c r="A57" s="13">
        <v>53</v>
      </c>
      <c r="B57" s="15" t="s">
        <v>3163</v>
      </c>
      <c r="C57" s="25" t="s">
        <v>3164</v>
      </c>
      <c r="D57" s="46" t="s">
        <v>3068</v>
      </c>
      <c r="E57" s="47" t="s">
        <v>3068</v>
      </c>
      <c r="F57" s="19">
        <v>1.2</v>
      </c>
      <c r="G57" s="19"/>
      <c r="H57" s="19"/>
      <c r="I57" s="37">
        <f t="shared" si="1"/>
        <v>0</v>
      </c>
    </row>
    <row r="58" spans="1:9" ht="15.6" customHeight="1" x14ac:dyDescent="0.25">
      <c r="A58" s="13">
        <v>54</v>
      </c>
      <c r="B58" s="19" t="s">
        <v>3165</v>
      </c>
      <c r="C58" s="26" t="s">
        <v>3166</v>
      </c>
      <c r="D58" s="46" t="s">
        <v>3167</v>
      </c>
      <c r="E58" s="47" t="s">
        <v>3167</v>
      </c>
      <c r="F58" s="19">
        <v>1.6</v>
      </c>
      <c r="G58" s="19"/>
      <c r="H58" s="19"/>
      <c r="I58" s="37">
        <f t="shared" si="1"/>
        <v>0</v>
      </c>
    </row>
    <row r="59" spans="1:9" ht="15.6" customHeight="1" x14ac:dyDescent="0.25">
      <c r="A59" s="13">
        <v>55</v>
      </c>
      <c r="B59" s="19" t="s">
        <v>3168</v>
      </c>
      <c r="C59" s="26" t="s">
        <v>3089</v>
      </c>
      <c r="D59" s="46" t="s">
        <v>3167</v>
      </c>
      <c r="E59" s="47" t="s">
        <v>3167</v>
      </c>
      <c r="F59" s="19">
        <v>2.5</v>
      </c>
      <c r="G59" s="19"/>
      <c r="H59" s="19"/>
      <c r="I59" s="37">
        <f>H59/F59</f>
        <v>0</v>
      </c>
    </row>
    <row r="60" spans="1:9" ht="16.8" customHeight="1" x14ac:dyDescent="0.25">
      <c r="A60" s="39" t="s">
        <v>1769</v>
      </c>
      <c r="B60" s="39"/>
      <c r="C60" s="39"/>
      <c r="D60" s="39" t="s">
        <v>2061</v>
      </c>
      <c r="E60" s="39"/>
      <c r="F60" s="12">
        <f>SUM(F5:F59)</f>
        <v>191.99999999999997</v>
      </c>
      <c r="G60" s="20"/>
      <c r="H60" s="12">
        <f>SUM(H5:H59)</f>
        <v>0</v>
      </c>
      <c r="I60" s="38">
        <f>H60/F60</f>
        <v>0</v>
      </c>
    </row>
    <row r="62" spans="1:9" ht="15" x14ac:dyDescent="0.25">
      <c r="A62" s="17" t="s">
        <v>1766</v>
      </c>
    </row>
    <row r="64" spans="1:9" s="18" customFormat="1" ht="17.399999999999999" customHeight="1" x14ac:dyDescent="0.25">
      <c r="A64" s="39" t="s">
        <v>0</v>
      </c>
      <c r="B64" s="41" t="s">
        <v>1761</v>
      </c>
      <c r="C64" s="41"/>
      <c r="D64" s="42" t="s">
        <v>1763</v>
      </c>
      <c r="E64" s="43"/>
      <c r="F64" s="41" t="s">
        <v>1768</v>
      </c>
      <c r="G64" s="40" t="s">
        <v>1772</v>
      </c>
      <c r="H64" s="39" t="s">
        <v>1773</v>
      </c>
      <c r="I64" s="39"/>
    </row>
    <row r="65" spans="1:9" s="18" customFormat="1" ht="17.399999999999999" customHeight="1" x14ac:dyDescent="0.25">
      <c r="A65" s="39"/>
      <c r="B65" s="11" t="s">
        <v>1</v>
      </c>
      <c r="C65" s="11" t="s">
        <v>1762</v>
      </c>
      <c r="D65" s="44"/>
      <c r="E65" s="45"/>
      <c r="F65" s="41"/>
      <c r="G65" s="40"/>
      <c r="H65" s="11" t="s">
        <v>1774</v>
      </c>
      <c r="I65" s="11" t="s">
        <v>1775</v>
      </c>
    </row>
    <row r="66" spans="1:9" ht="16.2" customHeight="1" x14ac:dyDescent="0.25">
      <c r="A66" s="8">
        <v>1</v>
      </c>
      <c r="B66" s="9" t="s">
        <v>3035</v>
      </c>
      <c r="C66" s="22" t="s">
        <v>3036</v>
      </c>
      <c r="D66" s="48" t="s">
        <v>3037</v>
      </c>
      <c r="E66" s="49" t="s">
        <v>3037</v>
      </c>
      <c r="F66" s="10">
        <v>0</v>
      </c>
      <c r="G66" s="19"/>
      <c r="H66" s="19"/>
      <c r="I66" s="37" t="e">
        <f>H66/F66</f>
        <v>#DIV/0!</v>
      </c>
    </row>
    <row r="67" spans="1:9" ht="16.8" customHeight="1" x14ac:dyDescent="0.25">
      <c r="A67" s="39" t="s">
        <v>1769</v>
      </c>
      <c r="B67" s="39"/>
      <c r="C67" s="39"/>
      <c r="D67" s="39" t="s">
        <v>2050</v>
      </c>
      <c r="E67" s="39"/>
      <c r="F67" s="12">
        <f>SUM(F66:F66)</f>
        <v>0</v>
      </c>
      <c r="G67" s="20"/>
      <c r="H67" s="12">
        <f>SUM(H66:H66)</f>
        <v>0</v>
      </c>
      <c r="I67" s="38" t="e">
        <f>H67/F67</f>
        <v>#DIV/0!</v>
      </c>
    </row>
  </sheetData>
  <mergeCells count="72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F64:F65"/>
    <mergeCell ref="G64:G65"/>
    <mergeCell ref="H64:I64"/>
    <mergeCell ref="D23:E23"/>
    <mergeCell ref="D24:E24"/>
    <mergeCell ref="D25:E25"/>
    <mergeCell ref="D26:E26"/>
    <mergeCell ref="D59:E59"/>
    <mergeCell ref="D60:E60"/>
    <mergeCell ref="D32:E32"/>
    <mergeCell ref="D33:E33"/>
    <mergeCell ref="D34:E34"/>
    <mergeCell ref="D66:E66"/>
    <mergeCell ref="A67:C67"/>
    <mergeCell ref="D67:E67"/>
    <mergeCell ref="D27:E27"/>
    <mergeCell ref="D28:E28"/>
    <mergeCell ref="D29:E29"/>
    <mergeCell ref="D30:E30"/>
    <mergeCell ref="D31:E31"/>
    <mergeCell ref="A64:A65"/>
    <mergeCell ref="B64:C64"/>
    <mergeCell ref="D64:E65"/>
    <mergeCell ref="A60:C60"/>
    <mergeCell ref="D46:E46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58:E58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0500-DF9C-424D-BAED-89935630897F}">
  <sheetPr codeName="Sheet44"/>
  <dimension ref="A1:I8"/>
  <sheetViews>
    <sheetView zoomScaleNormal="100" workbookViewId="0">
      <selection activeCell="E25" sqref="E25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3170</v>
      </c>
      <c r="C5" s="14" t="s">
        <v>3171</v>
      </c>
      <c r="D5" s="46" t="s">
        <v>243</v>
      </c>
      <c r="E5" s="47" t="s">
        <v>243</v>
      </c>
      <c r="F5" s="15">
        <v>3</v>
      </c>
      <c r="G5" s="19"/>
      <c r="H5" s="19"/>
      <c r="I5" s="37">
        <f>H5/F5</f>
        <v>0</v>
      </c>
    </row>
    <row r="6" spans="1:9" ht="15.6" customHeight="1" x14ac:dyDescent="0.25">
      <c r="A6" s="13">
        <v>2</v>
      </c>
      <c r="B6" s="14" t="s">
        <v>3172</v>
      </c>
      <c r="C6" s="14" t="s">
        <v>3173</v>
      </c>
      <c r="D6" s="46" t="s">
        <v>3174</v>
      </c>
      <c r="E6" s="47" t="s">
        <v>3174</v>
      </c>
      <c r="F6" s="15">
        <v>5</v>
      </c>
      <c r="G6" s="19"/>
      <c r="H6" s="19"/>
      <c r="I6" s="37">
        <f>H6/F6</f>
        <v>0</v>
      </c>
    </row>
    <row r="7" spans="1:9" ht="15.6" customHeight="1" x14ac:dyDescent="0.25">
      <c r="A7" s="13">
        <v>3</v>
      </c>
      <c r="B7" s="14" t="s">
        <v>3175</v>
      </c>
      <c r="C7" s="14" t="s">
        <v>3176</v>
      </c>
      <c r="D7" s="46" t="s">
        <v>3174</v>
      </c>
      <c r="E7" s="47" t="s">
        <v>3174</v>
      </c>
      <c r="F7" s="15">
        <v>2</v>
      </c>
      <c r="G7" s="15"/>
      <c r="H7" s="15"/>
      <c r="I7" s="37">
        <f>H7/F7</f>
        <v>0</v>
      </c>
    </row>
    <row r="8" spans="1:9" ht="16.8" customHeight="1" x14ac:dyDescent="0.25">
      <c r="A8" s="39" t="s">
        <v>1769</v>
      </c>
      <c r="B8" s="39"/>
      <c r="C8" s="39"/>
      <c r="D8" s="39" t="s">
        <v>2060</v>
      </c>
      <c r="E8" s="39"/>
      <c r="F8" s="12">
        <f>SUM(F5:F7)</f>
        <v>10</v>
      </c>
      <c r="G8" s="20"/>
      <c r="H8" s="12">
        <f>SUM(H5:H7)</f>
        <v>0</v>
      </c>
      <c r="I8" s="38">
        <f>H8/F8</f>
        <v>0</v>
      </c>
    </row>
  </sheetData>
  <mergeCells count="11">
    <mergeCell ref="H3:I3"/>
    <mergeCell ref="A3:A4"/>
    <mergeCell ref="B3:C3"/>
    <mergeCell ref="D3:E4"/>
    <mergeCell ref="F3:F4"/>
    <mergeCell ref="G3:G4"/>
    <mergeCell ref="A8:C8"/>
    <mergeCell ref="D8:E8"/>
    <mergeCell ref="D5:E5"/>
    <mergeCell ref="D6:E6"/>
    <mergeCell ref="D7:E7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2D78-C90D-4B0C-B986-4907698557D4}">
  <sheetPr codeName="Sheet45"/>
  <dimension ref="A1:I11"/>
  <sheetViews>
    <sheetView zoomScaleNormal="100" workbookViewId="0">
      <selection activeCell="D18" sqref="D18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3177</v>
      </c>
      <c r="C5" s="14" t="s">
        <v>2720</v>
      </c>
      <c r="D5" s="46" t="s">
        <v>1757</v>
      </c>
      <c r="E5" s="47" t="s">
        <v>1757</v>
      </c>
      <c r="F5" s="15">
        <v>13</v>
      </c>
      <c r="G5" s="19"/>
      <c r="H5" s="19"/>
      <c r="I5" s="37">
        <f t="shared" ref="I5:I11" si="0">H5/F5</f>
        <v>0</v>
      </c>
    </row>
    <row r="6" spans="1:9" ht="15.6" customHeight="1" x14ac:dyDescent="0.25">
      <c r="A6" s="13">
        <v>2</v>
      </c>
      <c r="B6" s="14" t="s">
        <v>3178</v>
      </c>
      <c r="C6" s="14" t="s">
        <v>3179</v>
      </c>
      <c r="D6" s="46" t="s">
        <v>243</v>
      </c>
      <c r="E6" s="47" t="s">
        <v>243</v>
      </c>
      <c r="F6" s="15">
        <v>2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3180</v>
      </c>
      <c r="C7" s="14" t="s">
        <v>3181</v>
      </c>
      <c r="D7" s="46" t="s">
        <v>243</v>
      </c>
      <c r="E7" s="47" t="s">
        <v>243</v>
      </c>
      <c r="F7" s="15">
        <v>2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3182</v>
      </c>
      <c r="C8" s="14" t="s">
        <v>3183</v>
      </c>
      <c r="D8" s="46" t="s">
        <v>270</v>
      </c>
      <c r="E8" s="47" t="s">
        <v>270</v>
      </c>
      <c r="F8" s="15">
        <v>0</v>
      </c>
      <c r="G8" s="19"/>
      <c r="H8" s="19"/>
      <c r="I8" s="37" t="e">
        <f t="shared" si="0"/>
        <v>#DIV/0!</v>
      </c>
    </row>
    <row r="9" spans="1:9" ht="15.6" customHeight="1" x14ac:dyDescent="0.25">
      <c r="A9" s="13">
        <v>5</v>
      </c>
      <c r="B9" s="14" t="s">
        <v>3184</v>
      </c>
      <c r="C9" s="14" t="s">
        <v>3185</v>
      </c>
      <c r="D9" s="46" t="s">
        <v>992</v>
      </c>
      <c r="E9" s="47" t="s">
        <v>992</v>
      </c>
      <c r="F9" s="15">
        <v>0</v>
      </c>
      <c r="G9" s="19"/>
      <c r="H9" s="19"/>
      <c r="I9" s="37" t="e">
        <f t="shared" si="0"/>
        <v>#DIV/0!</v>
      </c>
    </row>
    <row r="10" spans="1:9" ht="15.6" customHeight="1" x14ac:dyDescent="0.25">
      <c r="A10" s="13">
        <v>6</v>
      </c>
      <c r="B10" s="14" t="s">
        <v>3186</v>
      </c>
      <c r="C10" s="14" t="s">
        <v>3187</v>
      </c>
      <c r="D10" s="46" t="s">
        <v>992</v>
      </c>
      <c r="E10" s="47" t="s">
        <v>992</v>
      </c>
      <c r="F10" s="15">
        <v>0</v>
      </c>
      <c r="G10" s="15"/>
      <c r="H10" s="15"/>
      <c r="I10" s="37" t="e">
        <f t="shared" si="0"/>
        <v>#DIV/0!</v>
      </c>
    </row>
    <row r="11" spans="1:9" ht="16.8" customHeight="1" x14ac:dyDescent="0.25">
      <c r="A11" s="39" t="s">
        <v>1769</v>
      </c>
      <c r="B11" s="39"/>
      <c r="C11" s="39"/>
      <c r="D11" s="39" t="s">
        <v>2053</v>
      </c>
      <c r="E11" s="39"/>
      <c r="F11" s="12">
        <f>SUM(F5:F10)</f>
        <v>17</v>
      </c>
      <c r="G11" s="20"/>
      <c r="H11" s="12">
        <f>SUM(H5:H10)</f>
        <v>0</v>
      </c>
      <c r="I11" s="38">
        <f t="shared" si="0"/>
        <v>0</v>
      </c>
    </row>
  </sheetData>
  <mergeCells count="14">
    <mergeCell ref="H3:I3"/>
    <mergeCell ref="A3:A4"/>
    <mergeCell ref="B3:C3"/>
    <mergeCell ref="D3:E4"/>
    <mergeCell ref="F3:F4"/>
    <mergeCell ref="G3:G4"/>
    <mergeCell ref="A11:C11"/>
    <mergeCell ref="D11:E11"/>
    <mergeCell ref="D5:E5"/>
    <mergeCell ref="D6:E6"/>
    <mergeCell ref="D7:E7"/>
    <mergeCell ref="D8:E8"/>
    <mergeCell ref="D9:E9"/>
    <mergeCell ref="D10:E10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7C0A-2E14-4931-A554-793894541EE0}">
  <sheetPr codeName="Sheet46"/>
  <dimension ref="A1:I10"/>
  <sheetViews>
    <sheetView zoomScaleNormal="100" workbookViewId="0">
      <selection activeCell="G26" sqref="G26"/>
    </sheetView>
  </sheetViews>
  <sheetFormatPr defaultRowHeight="13.8" x14ac:dyDescent="0.25"/>
  <cols>
    <col min="1" max="1" width="6.5546875" style="4" customWidth="1"/>
    <col min="2" max="2" width="13.77734375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3189</v>
      </c>
      <c r="C5" s="14" t="s">
        <v>3190</v>
      </c>
      <c r="D5" s="46" t="s">
        <v>243</v>
      </c>
      <c r="E5" s="47" t="s">
        <v>243</v>
      </c>
      <c r="F5" s="15">
        <v>14</v>
      </c>
      <c r="G5" s="19"/>
      <c r="H5" s="19"/>
      <c r="I5" s="37">
        <f t="shared" ref="I5:I10" si="0">H5/F5</f>
        <v>0</v>
      </c>
    </row>
    <row r="6" spans="1:9" ht="15.6" customHeight="1" x14ac:dyDescent="0.25">
      <c r="A6" s="13">
        <v>2</v>
      </c>
      <c r="B6" s="14" t="s">
        <v>3191</v>
      </c>
      <c r="C6" s="14" t="s">
        <v>3192</v>
      </c>
      <c r="D6" s="46" t="s">
        <v>3174</v>
      </c>
      <c r="E6" s="47" t="s">
        <v>3174</v>
      </c>
      <c r="F6" s="15">
        <v>10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3193</v>
      </c>
      <c r="C7" s="14" t="s">
        <v>3188</v>
      </c>
      <c r="D7" s="46" t="s">
        <v>243</v>
      </c>
      <c r="E7" s="47" t="s">
        <v>243</v>
      </c>
      <c r="F7" s="15">
        <v>2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3194</v>
      </c>
      <c r="C8" s="14" t="s">
        <v>3195</v>
      </c>
      <c r="D8" s="46" t="s">
        <v>243</v>
      </c>
      <c r="E8" s="47" t="s">
        <v>243</v>
      </c>
      <c r="F8" s="15">
        <v>0</v>
      </c>
      <c r="G8" s="19"/>
      <c r="H8" s="19"/>
      <c r="I8" s="37" t="e">
        <f t="shared" si="0"/>
        <v>#DIV/0!</v>
      </c>
    </row>
    <row r="9" spans="1:9" ht="15.6" customHeight="1" x14ac:dyDescent="0.25">
      <c r="A9" s="13">
        <v>5</v>
      </c>
      <c r="B9" s="14" t="s">
        <v>3196</v>
      </c>
      <c r="C9" s="14" t="s">
        <v>1751</v>
      </c>
      <c r="D9" s="46" t="s">
        <v>3174</v>
      </c>
      <c r="E9" s="47" t="s">
        <v>3174</v>
      </c>
      <c r="F9" s="15">
        <v>0</v>
      </c>
      <c r="G9" s="19"/>
      <c r="H9" s="19"/>
      <c r="I9" s="37" t="e">
        <f t="shared" si="0"/>
        <v>#DIV/0!</v>
      </c>
    </row>
    <row r="10" spans="1:9" ht="16.8" customHeight="1" x14ac:dyDescent="0.25">
      <c r="A10" s="39" t="s">
        <v>1769</v>
      </c>
      <c r="B10" s="39"/>
      <c r="C10" s="39"/>
      <c r="D10" s="39" t="s">
        <v>3197</v>
      </c>
      <c r="E10" s="39"/>
      <c r="F10" s="12">
        <f>SUM(F5:F9)</f>
        <v>26</v>
      </c>
      <c r="G10" s="20"/>
      <c r="H10" s="12">
        <f>SUM(H5:H9)</f>
        <v>0</v>
      </c>
      <c r="I10" s="38">
        <f t="shared" si="0"/>
        <v>0</v>
      </c>
    </row>
  </sheetData>
  <mergeCells count="13">
    <mergeCell ref="H3:I3"/>
    <mergeCell ref="A3:A4"/>
    <mergeCell ref="B3:C3"/>
    <mergeCell ref="D3:E4"/>
    <mergeCell ref="F3:F4"/>
    <mergeCell ref="G3:G4"/>
    <mergeCell ref="A10:C10"/>
    <mergeCell ref="D10:E10"/>
    <mergeCell ref="D5:E5"/>
    <mergeCell ref="D6:E6"/>
    <mergeCell ref="D7:E7"/>
    <mergeCell ref="D8:E8"/>
    <mergeCell ref="D9:E9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09D1-1DE0-48F0-9746-96A3DD8813D9}">
  <sheetPr codeName="Sheet47"/>
  <dimension ref="A1:I19"/>
  <sheetViews>
    <sheetView zoomScaleNormal="100" workbookViewId="0">
      <selection activeCell="D23" sqref="D23"/>
    </sheetView>
  </sheetViews>
  <sheetFormatPr defaultRowHeight="13.8" x14ac:dyDescent="0.25"/>
  <cols>
    <col min="1" max="1" width="6.5546875" style="4" customWidth="1"/>
    <col min="2" max="2" width="15.21875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3204</v>
      </c>
      <c r="C5" s="14" t="s">
        <v>3205</v>
      </c>
      <c r="D5" s="46" t="s">
        <v>3206</v>
      </c>
      <c r="E5" s="47" t="s">
        <v>3206</v>
      </c>
      <c r="F5" s="15">
        <v>45</v>
      </c>
      <c r="G5" s="19"/>
      <c r="H5" s="19"/>
      <c r="I5" s="37">
        <f t="shared" ref="I5:I10" si="0">H5/F5</f>
        <v>0</v>
      </c>
    </row>
    <row r="6" spans="1:9" ht="15.6" customHeight="1" x14ac:dyDescent="0.25">
      <c r="A6" s="13">
        <v>2</v>
      </c>
      <c r="B6" s="14" t="s">
        <v>3207</v>
      </c>
      <c r="C6" s="14" t="s">
        <v>3208</v>
      </c>
      <c r="D6" s="46" t="s">
        <v>3209</v>
      </c>
      <c r="E6" s="47" t="s">
        <v>3209</v>
      </c>
      <c r="F6" s="15">
        <v>25.6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3210</v>
      </c>
      <c r="C7" s="14" t="s">
        <v>3211</v>
      </c>
      <c r="D7" s="46" t="s">
        <v>3209</v>
      </c>
      <c r="E7" s="47" t="s">
        <v>3209</v>
      </c>
      <c r="F7" s="15">
        <v>11.3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3212</v>
      </c>
      <c r="C8" s="14" t="s">
        <v>3213</v>
      </c>
      <c r="D8" s="46" t="s">
        <v>3214</v>
      </c>
      <c r="E8" s="47" t="s">
        <v>3214</v>
      </c>
      <c r="F8" s="15">
        <v>52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3215</v>
      </c>
      <c r="C9" s="14" t="s">
        <v>1751</v>
      </c>
      <c r="D9" s="46"/>
      <c r="E9" s="47"/>
      <c r="F9" s="15">
        <v>0</v>
      </c>
      <c r="G9" s="19"/>
      <c r="H9" s="19"/>
      <c r="I9" s="37" t="e">
        <f t="shared" si="0"/>
        <v>#DIV/0!</v>
      </c>
    </row>
    <row r="10" spans="1:9" ht="16.8" customHeight="1" x14ac:dyDescent="0.25">
      <c r="A10" s="39" t="s">
        <v>1769</v>
      </c>
      <c r="B10" s="39"/>
      <c r="C10" s="39"/>
      <c r="D10" s="39" t="s">
        <v>3197</v>
      </c>
      <c r="E10" s="39"/>
      <c r="F10" s="12">
        <f>SUM(F5:F9)</f>
        <v>133.89999999999998</v>
      </c>
      <c r="G10" s="20"/>
      <c r="H10" s="12">
        <f>SUM(H5:H9)</f>
        <v>0</v>
      </c>
      <c r="I10" s="38">
        <f t="shared" si="0"/>
        <v>0</v>
      </c>
    </row>
    <row r="12" spans="1:9" ht="15" x14ac:dyDescent="0.25">
      <c r="A12" s="17" t="s">
        <v>1766</v>
      </c>
    </row>
    <row r="14" spans="1:9" s="18" customFormat="1" ht="17.399999999999999" customHeight="1" x14ac:dyDescent="0.25">
      <c r="A14" s="39" t="s">
        <v>0</v>
      </c>
      <c r="B14" s="41" t="s">
        <v>1761</v>
      </c>
      <c r="C14" s="41"/>
      <c r="D14" s="42" t="s">
        <v>1763</v>
      </c>
      <c r="E14" s="43"/>
      <c r="F14" s="41" t="s">
        <v>1768</v>
      </c>
      <c r="G14" s="40" t="s">
        <v>1772</v>
      </c>
      <c r="H14" s="39" t="s">
        <v>1773</v>
      </c>
      <c r="I14" s="39"/>
    </row>
    <row r="15" spans="1:9" s="18" customFormat="1" ht="17.399999999999999" customHeight="1" x14ac:dyDescent="0.25">
      <c r="A15" s="39"/>
      <c r="B15" s="11" t="s">
        <v>1</v>
      </c>
      <c r="C15" s="11" t="s">
        <v>1762</v>
      </c>
      <c r="D15" s="44"/>
      <c r="E15" s="45"/>
      <c r="F15" s="41"/>
      <c r="G15" s="40"/>
      <c r="H15" s="11" t="s">
        <v>1774</v>
      </c>
      <c r="I15" s="11" t="s">
        <v>1775</v>
      </c>
    </row>
    <row r="16" spans="1:9" ht="16.2" customHeight="1" x14ac:dyDescent="0.25">
      <c r="A16" s="8">
        <v>1</v>
      </c>
      <c r="B16" s="9" t="s">
        <v>3198</v>
      </c>
      <c r="C16" s="22" t="s">
        <v>3199</v>
      </c>
      <c r="D16" s="48" t="s">
        <v>3200</v>
      </c>
      <c r="E16" s="49" t="s">
        <v>3200</v>
      </c>
      <c r="F16" s="10">
        <v>71</v>
      </c>
      <c r="G16" s="19"/>
      <c r="H16" s="19"/>
      <c r="I16" s="37">
        <f>H16/F16</f>
        <v>0</v>
      </c>
    </row>
    <row r="17" spans="1:9" x14ac:dyDescent="0.25">
      <c r="A17" s="8">
        <v>2</v>
      </c>
      <c r="B17" s="9" t="s">
        <v>3201</v>
      </c>
      <c r="C17" s="22" t="s">
        <v>3202</v>
      </c>
      <c r="D17" s="48" t="s">
        <v>3203</v>
      </c>
      <c r="E17" s="49" t="s">
        <v>3203</v>
      </c>
      <c r="F17" s="10">
        <v>74</v>
      </c>
      <c r="G17" s="19"/>
      <c r="H17" s="19"/>
      <c r="I17" s="37"/>
    </row>
    <row r="18" spans="1:9" ht="16.2" customHeight="1" x14ac:dyDescent="0.25">
      <c r="A18" s="8">
        <v>3</v>
      </c>
      <c r="B18" s="9" t="s">
        <v>3216</v>
      </c>
      <c r="C18" s="23" t="s">
        <v>3217</v>
      </c>
      <c r="D18" s="48" t="s">
        <v>3218</v>
      </c>
      <c r="E18" s="49" t="s">
        <v>3218</v>
      </c>
      <c r="F18" s="10">
        <v>96.3</v>
      </c>
      <c r="G18" s="19"/>
      <c r="H18" s="19"/>
      <c r="I18" s="37">
        <f>H18/F18</f>
        <v>0</v>
      </c>
    </row>
    <row r="19" spans="1:9" ht="16.8" customHeight="1" x14ac:dyDescent="0.25">
      <c r="A19" s="39" t="s">
        <v>1769</v>
      </c>
      <c r="B19" s="39"/>
      <c r="C19" s="39"/>
      <c r="D19" s="39" t="s">
        <v>2060</v>
      </c>
      <c r="E19" s="39"/>
      <c r="F19" s="12">
        <f>SUM(F16:F18)</f>
        <v>241.3</v>
      </c>
      <c r="G19" s="20"/>
      <c r="H19" s="12">
        <f>SUM(H16:H18)</f>
        <v>0</v>
      </c>
      <c r="I19" s="38">
        <f>H19/F19</f>
        <v>0</v>
      </c>
    </row>
  </sheetData>
  <mergeCells count="24">
    <mergeCell ref="H3:I3"/>
    <mergeCell ref="A3:A4"/>
    <mergeCell ref="B3:C3"/>
    <mergeCell ref="D3:E4"/>
    <mergeCell ref="F3:F4"/>
    <mergeCell ref="G3:G4"/>
    <mergeCell ref="D5:E5"/>
    <mergeCell ref="D6:E6"/>
    <mergeCell ref="D7:E7"/>
    <mergeCell ref="D8:E8"/>
    <mergeCell ref="D9:E9"/>
    <mergeCell ref="F14:F15"/>
    <mergeCell ref="G14:G15"/>
    <mergeCell ref="H14:I14"/>
    <mergeCell ref="A10:C10"/>
    <mergeCell ref="D10:E10"/>
    <mergeCell ref="D16:E16"/>
    <mergeCell ref="D18:E18"/>
    <mergeCell ref="A19:C19"/>
    <mergeCell ref="D19:E19"/>
    <mergeCell ref="A14:A15"/>
    <mergeCell ref="B14:C14"/>
    <mergeCell ref="D14:E15"/>
    <mergeCell ref="D17:E17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46FA-CBB9-4C96-8A56-2213209D98AC}">
  <sheetPr codeName="Sheet48"/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3219</v>
      </c>
      <c r="C5" s="14" t="s">
        <v>3220</v>
      </c>
      <c r="D5" s="46" t="s">
        <v>3221</v>
      </c>
      <c r="E5" s="47" t="s">
        <v>3221</v>
      </c>
      <c r="F5" s="15">
        <v>7</v>
      </c>
      <c r="G5" s="19"/>
      <c r="H5" s="19"/>
      <c r="I5" s="37">
        <f>H5/F5</f>
        <v>0</v>
      </c>
    </row>
    <row r="6" spans="1:9" ht="16.8" customHeight="1" x14ac:dyDescent="0.25">
      <c r="A6" s="39" t="s">
        <v>1769</v>
      </c>
      <c r="B6" s="39"/>
      <c r="C6" s="39"/>
      <c r="D6" s="39" t="s">
        <v>2050</v>
      </c>
      <c r="E6" s="39"/>
      <c r="F6" s="12">
        <f>SUM(F5:F5)</f>
        <v>7</v>
      </c>
      <c r="G6" s="20"/>
      <c r="H6" s="12">
        <f>SUM(H5:H5)</f>
        <v>0</v>
      </c>
      <c r="I6" s="38">
        <f>H6/F6</f>
        <v>0</v>
      </c>
    </row>
  </sheetData>
  <mergeCells count="9">
    <mergeCell ref="F3:F4"/>
    <mergeCell ref="G3:G4"/>
    <mergeCell ref="H3:I3"/>
    <mergeCell ref="A6:C6"/>
    <mergeCell ref="D6:E6"/>
    <mergeCell ref="D5:E5"/>
    <mergeCell ref="A3:A4"/>
    <mergeCell ref="B3:C3"/>
    <mergeCell ref="D3:E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2788-8A09-4D97-8EC5-2F2E53797514}">
  <sheetPr codeName="Sheet49"/>
  <dimension ref="A1:I16"/>
  <sheetViews>
    <sheetView zoomScaleNormal="100" workbookViewId="0">
      <selection activeCell="J31" sqref="J31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3222</v>
      </c>
      <c r="C5" s="14" t="s">
        <v>3223</v>
      </c>
      <c r="D5" s="46" t="s">
        <v>3223</v>
      </c>
      <c r="E5" s="47" t="s">
        <v>3223</v>
      </c>
      <c r="F5" s="15">
        <v>14.2</v>
      </c>
      <c r="G5" s="19"/>
      <c r="H5" s="19"/>
      <c r="I5" s="37">
        <f t="shared" ref="I5:I16" si="0">H5/F5</f>
        <v>0</v>
      </c>
    </row>
    <row r="6" spans="1:9" ht="15.6" customHeight="1" x14ac:dyDescent="0.25">
      <c r="A6" s="13">
        <v>2</v>
      </c>
      <c r="B6" s="14" t="s">
        <v>3224</v>
      </c>
      <c r="C6" s="14" t="s">
        <v>3225</v>
      </c>
      <c r="D6" s="46" t="s">
        <v>3225</v>
      </c>
      <c r="E6" s="47" t="s">
        <v>3225</v>
      </c>
      <c r="F6" s="15">
        <v>11.5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3226</v>
      </c>
      <c r="C7" s="14" t="s">
        <v>3227</v>
      </c>
      <c r="D7" s="46" t="s">
        <v>3227</v>
      </c>
      <c r="E7" s="47" t="s">
        <v>3227</v>
      </c>
      <c r="F7" s="15">
        <v>0</v>
      </c>
      <c r="G7" s="15"/>
      <c r="H7" s="15"/>
      <c r="I7" s="37" t="e">
        <f t="shared" si="0"/>
        <v>#DIV/0!</v>
      </c>
    </row>
    <row r="8" spans="1:9" ht="15.6" customHeight="1" x14ac:dyDescent="0.25">
      <c r="A8" s="13">
        <v>4</v>
      </c>
      <c r="B8" s="14" t="s">
        <v>3228</v>
      </c>
      <c r="C8" s="14" t="s">
        <v>3229</v>
      </c>
      <c r="D8" s="46" t="s">
        <v>3229</v>
      </c>
      <c r="E8" s="47" t="s">
        <v>3229</v>
      </c>
      <c r="F8" s="15">
        <v>5.5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3230</v>
      </c>
      <c r="C9" s="14" t="s">
        <v>3231</v>
      </c>
      <c r="D9" s="46" t="s">
        <v>3231</v>
      </c>
      <c r="E9" s="47" t="s">
        <v>3231</v>
      </c>
      <c r="F9" s="15">
        <v>0</v>
      </c>
      <c r="G9" s="19"/>
      <c r="H9" s="19"/>
      <c r="I9" s="37" t="e">
        <f t="shared" si="0"/>
        <v>#DIV/0!</v>
      </c>
    </row>
    <row r="10" spans="1:9" ht="15.6" customHeight="1" x14ac:dyDescent="0.25">
      <c r="A10" s="13">
        <v>6</v>
      </c>
      <c r="B10" s="14" t="s">
        <v>3232</v>
      </c>
      <c r="C10" s="14" t="s">
        <v>3233</v>
      </c>
      <c r="D10" s="46" t="s">
        <v>3233</v>
      </c>
      <c r="E10" s="47" t="s">
        <v>3233</v>
      </c>
      <c r="F10" s="15">
        <v>2.4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3234</v>
      </c>
      <c r="C11" s="14" t="s">
        <v>3235</v>
      </c>
      <c r="D11" s="46" t="s">
        <v>3235</v>
      </c>
      <c r="E11" s="47" t="s">
        <v>3235</v>
      </c>
      <c r="F11" s="15">
        <v>3.7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3236</v>
      </c>
      <c r="C12" s="14" t="s">
        <v>3237</v>
      </c>
      <c r="D12" s="46" t="s">
        <v>3237</v>
      </c>
      <c r="E12" s="47" t="s">
        <v>3237</v>
      </c>
      <c r="F12" s="15">
        <v>1.8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3238</v>
      </c>
      <c r="C13" s="14" t="s">
        <v>3239</v>
      </c>
      <c r="D13" s="46" t="s">
        <v>3239</v>
      </c>
      <c r="E13" s="47" t="s">
        <v>3239</v>
      </c>
      <c r="F13" s="15">
        <v>2.2000000000000002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3240</v>
      </c>
      <c r="C14" s="14" t="s">
        <v>3241</v>
      </c>
      <c r="D14" s="46" t="s">
        <v>3241</v>
      </c>
      <c r="E14" s="47" t="s">
        <v>3241</v>
      </c>
      <c r="F14" s="15">
        <v>6.7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3242</v>
      </c>
      <c r="C15" s="14" t="s">
        <v>3243</v>
      </c>
      <c r="D15" s="46" t="s">
        <v>270</v>
      </c>
      <c r="E15" s="47" t="s">
        <v>270</v>
      </c>
      <c r="F15" s="15">
        <v>0</v>
      </c>
      <c r="G15" s="19"/>
      <c r="H15" s="19"/>
      <c r="I15" s="37" t="e">
        <f t="shared" si="0"/>
        <v>#DIV/0!</v>
      </c>
    </row>
    <row r="16" spans="1:9" ht="16.8" customHeight="1" x14ac:dyDescent="0.25">
      <c r="A16" s="39" t="s">
        <v>1769</v>
      </c>
      <c r="B16" s="39"/>
      <c r="C16" s="39"/>
      <c r="D16" s="39" t="s">
        <v>1782</v>
      </c>
      <c r="E16" s="39"/>
      <c r="F16" s="12">
        <f>SUM(F5:F15)</f>
        <v>48.000000000000007</v>
      </c>
      <c r="G16" s="20"/>
      <c r="H16" s="12">
        <f>SUM(H5:H15)</f>
        <v>0</v>
      </c>
      <c r="I16" s="38">
        <f t="shared" si="0"/>
        <v>0</v>
      </c>
    </row>
  </sheetData>
  <mergeCells count="19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A16:C16"/>
    <mergeCell ref="D16:E16"/>
    <mergeCell ref="D11:E11"/>
    <mergeCell ref="D12:E12"/>
    <mergeCell ref="D13:E13"/>
    <mergeCell ref="D14:E14"/>
    <mergeCell ref="D15:E1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93BD-16EB-4424-A007-2C9E657F4CF4}">
  <sheetPr codeName="Sheet50"/>
  <dimension ref="A1:I30"/>
  <sheetViews>
    <sheetView zoomScaleNormal="100" workbookViewId="0">
      <selection activeCell="D31" sqref="D31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3244</v>
      </c>
      <c r="C5" s="14" t="s">
        <v>3245</v>
      </c>
      <c r="D5" s="46" t="s">
        <v>243</v>
      </c>
      <c r="E5" s="47" t="s">
        <v>243</v>
      </c>
      <c r="F5" s="15">
        <v>22</v>
      </c>
      <c r="G5" s="19"/>
      <c r="H5" s="19"/>
      <c r="I5" s="37">
        <f t="shared" ref="I5:I23" si="0">H5/F5</f>
        <v>0</v>
      </c>
    </row>
    <row r="6" spans="1:9" ht="15.6" customHeight="1" x14ac:dyDescent="0.25">
      <c r="A6" s="13">
        <v>2</v>
      </c>
      <c r="B6" s="14" t="s">
        <v>3246</v>
      </c>
      <c r="C6" s="14" t="s">
        <v>3247</v>
      </c>
      <c r="D6" s="46" t="s">
        <v>243</v>
      </c>
      <c r="E6" s="47" t="s">
        <v>243</v>
      </c>
      <c r="F6" s="15">
        <v>3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3248</v>
      </c>
      <c r="C7" s="14" t="s">
        <v>3249</v>
      </c>
      <c r="D7" s="46" t="s">
        <v>243</v>
      </c>
      <c r="E7" s="47" t="s">
        <v>243</v>
      </c>
      <c r="F7" s="15">
        <v>3.7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3250</v>
      </c>
      <c r="C8" s="14" t="s">
        <v>3251</v>
      </c>
      <c r="D8" s="46" t="s">
        <v>243</v>
      </c>
      <c r="E8" s="47" t="s">
        <v>243</v>
      </c>
      <c r="F8" s="15">
        <v>2.2000000000000002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3252</v>
      </c>
      <c r="C9" s="14" t="s">
        <v>3253</v>
      </c>
      <c r="D9" s="46" t="s">
        <v>243</v>
      </c>
      <c r="E9" s="47" t="s">
        <v>243</v>
      </c>
      <c r="F9" s="15">
        <v>1.5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3254</v>
      </c>
      <c r="C10" s="14" t="s">
        <v>3255</v>
      </c>
      <c r="D10" s="46" t="s">
        <v>243</v>
      </c>
      <c r="E10" s="47" t="s">
        <v>243</v>
      </c>
      <c r="F10" s="15">
        <v>3.6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3256</v>
      </c>
      <c r="C11" s="14" t="s">
        <v>3257</v>
      </c>
      <c r="D11" s="46" t="s">
        <v>243</v>
      </c>
      <c r="E11" s="47" t="s">
        <v>243</v>
      </c>
      <c r="F11" s="15">
        <v>1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3258</v>
      </c>
      <c r="C12" s="14" t="s">
        <v>3259</v>
      </c>
      <c r="D12" s="46" t="s">
        <v>243</v>
      </c>
      <c r="E12" s="47" t="s">
        <v>243</v>
      </c>
      <c r="F12" s="15">
        <v>2.8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3260</v>
      </c>
      <c r="C13" s="14" t="s">
        <v>3261</v>
      </c>
      <c r="D13" s="46" t="s">
        <v>243</v>
      </c>
      <c r="E13" s="47" t="s">
        <v>243</v>
      </c>
      <c r="F13" s="15">
        <v>2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3262</v>
      </c>
      <c r="C14" s="14" t="s">
        <v>3263</v>
      </c>
      <c r="D14" s="46" t="s">
        <v>243</v>
      </c>
      <c r="E14" s="47" t="s">
        <v>243</v>
      </c>
      <c r="F14" s="15">
        <v>0</v>
      </c>
      <c r="G14" s="19"/>
      <c r="H14" s="19"/>
      <c r="I14" s="37" t="e">
        <f t="shared" si="0"/>
        <v>#DIV/0!</v>
      </c>
    </row>
    <row r="15" spans="1:9" ht="15.6" customHeight="1" x14ac:dyDescent="0.25">
      <c r="A15" s="13">
        <v>11</v>
      </c>
      <c r="B15" s="14" t="s">
        <v>3264</v>
      </c>
      <c r="C15" s="14" t="s">
        <v>3265</v>
      </c>
      <c r="D15" s="46" t="s">
        <v>243</v>
      </c>
      <c r="E15" s="47" t="s">
        <v>243</v>
      </c>
      <c r="F15" s="15">
        <v>0</v>
      </c>
      <c r="G15" s="19"/>
      <c r="H15" s="19"/>
      <c r="I15" s="37" t="e">
        <f t="shared" si="0"/>
        <v>#DIV/0!</v>
      </c>
    </row>
    <row r="16" spans="1:9" ht="15.6" customHeight="1" x14ac:dyDescent="0.25">
      <c r="A16" s="13">
        <v>12</v>
      </c>
      <c r="B16" s="14" t="s">
        <v>3266</v>
      </c>
      <c r="C16" s="14" t="s">
        <v>3267</v>
      </c>
      <c r="D16" s="46" t="s">
        <v>243</v>
      </c>
      <c r="E16" s="47" t="s">
        <v>243</v>
      </c>
      <c r="F16" s="15">
        <v>0</v>
      </c>
      <c r="G16" s="15"/>
      <c r="H16" s="15"/>
      <c r="I16" s="37" t="e">
        <f t="shared" si="0"/>
        <v>#DIV/0!</v>
      </c>
    </row>
    <row r="17" spans="1:9" ht="15.6" customHeight="1" x14ac:dyDescent="0.25">
      <c r="A17" s="13">
        <v>13</v>
      </c>
      <c r="B17" s="14" t="s">
        <v>3268</v>
      </c>
      <c r="C17" s="14" t="s">
        <v>3269</v>
      </c>
      <c r="D17" s="46" t="s">
        <v>243</v>
      </c>
      <c r="E17" s="47" t="s">
        <v>243</v>
      </c>
      <c r="F17" s="15">
        <v>0</v>
      </c>
      <c r="G17" s="19"/>
      <c r="H17" s="19"/>
      <c r="I17" s="37" t="e">
        <f t="shared" si="0"/>
        <v>#DIV/0!</v>
      </c>
    </row>
    <row r="18" spans="1:9" ht="15.6" customHeight="1" x14ac:dyDescent="0.25">
      <c r="A18" s="13">
        <v>14</v>
      </c>
      <c r="B18" s="14" t="s">
        <v>3270</v>
      </c>
      <c r="C18" s="14" t="s">
        <v>3271</v>
      </c>
      <c r="D18" s="46" t="s">
        <v>243</v>
      </c>
      <c r="E18" s="47" t="s">
        <v>243</v>
      </c>
      <c r="F18" s="15">
        <v>0</v>
      </c>
      <c r="G18" s="19"/>
      <c r="H18" s="19"/>
      <c r="I18" s="37" t="e">
        <f t="shared" si="0"/>
        <v>#DIV/0!</v>
      </c>
    </row>
    <row r="19" spans="1:9" ht="15.6" customHeight="1" x14ac:dyDescent="0.25">
      <c r="A19" s="13">
        <v>15</v>
      </c>
      <c r="B19" s="14" t="s">
        <v>3272</v>
      </c>
      <c r="C19" s="14" t="s">
        <v>3273</v>
      </c>
      <c r="D19" s="46" t="s">
        <v>243</v>
      </c>
      <c r="E19" s="47" t="s">
        <v>243</v>
      </c>
      <c r="F19" s="15">
        <v>0</v>
      </c>
      <c r="G19" s="15"/>
      <c r="H19" s="15"/>
      <c r="I19" s="37" t="e">
        <f t="shared" si="0"/>
        <v>#DIV/0!</v>
      </c>
    </row>
    <row r="20" spans="1:9" ht="15.6" customHeight="1" x14ac:dyDescent="0.25">
      <c r="A20" s="13">
        <v>16</v>
      </c>
      <c r="B20" s="14" t="s">
        <v>3274</v>
      </c>
      <c r="C20" s="14" t="s">
        <v>3275</v>
      </c>
      <c r="D20" s="46" t="s">
        <v>243</v>
      </c>
      <c r="E20" s="47" t="s">
        <v>243</v>
      </c>
      <c r="F20" s="15">
        <v>0</v>
      </c>
      <c r="G20" s="19"/>
      <c r="H20" s="19"/>
      <c r="I20" s="37" t="e">
        <f t="shared" si="0"/>
        <v>#DIV/0!</v>
      </c>
    </row>
    <row r="21" spans="1:9" ht="15.6" customHeight="1" x14ac:dyDescent="0.25">
      <c r="A21" s="13">
        <v>17</v>
      </c>
      <c r="B21" s="14" t="s">
        <v>3276</v>
      </c>
      <c r="C21" s="14" t="s">
        <v>3277</v>
      </c>
      <c r="D21" s="46" t="s">
        <v>119</v>
      </c>
      <c r="E21" s="47" t="s">
        <v>119</v>
      </c>
      <c r="F21" s="15">
        <v>0</v>
      </c>
      <c r="G21" s="19"/>
      <c r="H21" s="19"/>
      <c r="I21" s="37" t="e">
        <f t="shared" si="0"/>
        <v>#DIV/0!</v>
      </c>
    </row>
    <row r="22" spans="1:9" ht="15.6" customHeight="1" x14ac:dyDescent="0.25">
      <c r="A22" s="13">
        <v>18</v>
      </c>
      <c r="B22" s="14" t="s">
        <v>3278</v>
      </c>
      <c r="C22" s="14" t="s">
        <v>3279</v>
      </c>
      <c r="D22" s="46" t="s">
        <v>119</v>
      </c>
      <c r="E22" s="47" t="s">
        <v>119</v>
      </c>
      <c r="F22" s="15">
        <v>0</v>
      </c>
      <c r="G22" s="15"/>
      <c r="H22" s="15"/>
      <c r="I22" s="37" t="e">
        <f t="shared" si="0"/>
        <v>#DIV/0!</v>
      </c>
    </row>
    <row r="23" spans="1:9" ht="16.8" customHeight="1" x14ac:dyDescent="0.25">
      <c r="A23" s="39" t="s">
        <v>1769</v>
      </c>
      <c r="B23" s="39"/>
      <c r="C23" s="39"/>
      <c r="D23" s="39" t="s">
        <v>2033</v>
      </c>
      <c r="E23" s="39"/>
      <c r="F23" s="12">
        <f>SUM(F5:F22)</f>
        <v>41.8</v>
      </c>
      <c r="G23" s="20"/>
      <c r="H23" s="12">
        <f>SUM(H5:H22)</f>
        <v>0</v>
      </c>
      <c r="I23" s="38">
        <f t="shared" si="0"/>
        <v>0</v>
      </c>
    </row>
    <row r="25" spans="1:9" ht="15" x14ac:dyDescent="0.25">
      <c r="A25" s="17" t="s">
        <v>1766</v>
      </c>
    </row>
    <row r="27" spans="1:9" s="18" customFormat="1" ht="17.399999999999999" customHeight="1" x14ac:dyDescent="0.25">
      <c r="A27" s="39" t="s">
        <v>0</v>
      </c>
      <c r="B27" s="41" t="s">
        <v>1761</v>
      </c>
      <c r="C27" s="41"/>
      <c r="D27" s="42" t="s">
        <v>1763</v>
      </c>
      <c r="E27" s="43"/>
      <c r="F27" s="41" t="s">
        <v>1768</v>
      </c>
      <c r="G27" s="40" t="s">
        <v>1772</v>
      </c>
      <c r="H27" s="39" t="s">
        <v>1773</v>
      </c>
      <c r="I27" s="39"/>
    </row>
    <row r="28" spans="1:9" s="18" customFormat="1" ht="17.399999999999999" customHeight="1" x14ac:dyDescent="0.25">
      <c r="A28" s="39"/>
      <c r="B28" s="11" t="s">
        <v>1</v>
      </c>
      <c r="C28" s="11" t="s">
        <v>1762</v>
      </c>
      <c r="D28" s="44"/>
      <c r="E28" s="45"/>
      <c r="F28" s="41"/>
      <c r="G28" s="40"/>
      <c r="H28" s="11" t="s">
        <v>1774</v>
      </c>
      <c r="I28" s="11" t="s">
        <v>1775</v>
      </c>
    </row>
    <row r="29" spans="1:9" ht="16.2" customHeight="1" x14ac:dyDescent="0.25">
      <c r="A29" s="8">
        <v>1</v>
      </c>
      <c r="B29" s="9" t="s">
        <v>3280</v>
      </c>
      <c r="C29" s="22" t="s">
        <v>3281</v>
      </c>
      <c r="D29" s="48" t="s">
        <v>470</v>
      </c>
      <c r="E29" s="49" t="s">
        <v>470</v>
      </c>
      <c r="F29" s="10">
        <v>125</v>
      </c>
      <c r="G29" s="19"/>
      <c r="H29" s="19"/>
      <c r="I29" s="37">
        <f>H29/F29</f>
        <v>0</v>
      </c>
    </row>
    <row r="30" spans="1:9" ht="16.8" customHeight="1" x14ac:dyDescent="0.25">
      <c r="A30" s="39" t="s">
        <v>1769</v>
      </c>
      <c r="B30" s="39"/>
      <c r="C30" s="39"/>
      <c r="D30" s="39" t="s">
        <v>2050</v>
      </c>
      <c r="E30" s="39"/>
      <c r="F30" s="12">
        <f>SUM(F29:F29)</f>
        <v>125</v>
      </c>
      <c r="G30" s="20"/>
      <c r="H30" s="12">
        <f>SUM(H29:H29)</f>
        <v>0</v>
      </c>
      <c r="I30" s="38">
        <f>H30/F30</f>
        <v>0</v>
      </c>
    </row>
  </sheetData>
  <mergeCells count="35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D22:E22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F27:F28"/>
    <mergeCell ref="G27:G28"/>
    <mergeCell ref="H27:I27"/>
    <mergeCell ref="A23:C23"/>
    <mergeCell ref="D23:E23"/>
    <mergeCell ref="D29:E29"/>
    <mergeCell ref="A30:C30"/>
    <mergeCell ref="D30:E30"/>
    <mergeCell ref="A27:A28"/>
    <mergeCell ref="B27:C27"/>
    <mergeCell ref="D27:E28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9A56-B19A-45E2-B2BF-861BBD0BA3B0}">
  <sheetPr codeName="Sheet51"/>
  <dimension ref="A1:I15"/>
  <sheetViews>
    <sheetView zoomScaleNormal="100" workbookViewId="0">
      <selection activeCell="C25" sqref="C25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4" width="17.44140625" style="5" customWidth="1"/>
    <col min="5" max="5" width="24.10937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x14ac:dyDescent="0.25">
      <c r="A5" s="13">
        <v>1</v>
      </c>
      <c r="B5" s="14" t="s">
        <v>3282</v>
      </c>
      <c r="C5" s="14" t="s">
        <v>3283</v>
      </c>
      <c r="D5" s="46" t="s">
        <v>3284</v>
      </c>
      <c r="E5" s="47" t="s">
        <v>3284</v>
      </c>
      <c r="F5" s="15">
        <v>22</v>
      </c>
      <c r="G5" s="19"/>
      <c r="H5" s="19"/>
      <c r="I5" s="37">
        <f t="shared" ref="I5:I15" si="0">H5/F5</f>
        <v>0</v>
      </c>
    </row>
    <row r="6" spans="1:9" ht="15.6" customHeight="1" x14ac:dyDescent="0.25">
      <c r="A6" s="13">
        <v>2</v>
      </c>
      <c r="B6" s="14" t="s">
        <v>3285</v>
      </c>
      <c r="C6" s="14" t="s">
        <v>3286</v>
      </c>
      <c r="D6" s="46" t="s">
        <v>3287</v>
      </c>
      <c r="E6" s="47" t="s">
        <v>3287</v>
      </c>
      <c r="F6" s="15">
        <v>22.2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3288</v>
      </c>
      <c r="C7" s="14" t="s">
        <v>3289</v>
      </c>
      <c r="D7" s="46" t="s">
        <v>243</v>
      </c>
      <c r="E7" s="47" t="s">
        <v>243</v>
      </c>
      <c r="F7" s="15">
        <v>1.5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3290</v>
      </c>
      <c r="C8" s="14" t="s">
        <v>3291</v>
      </c>
      <c r="D8" s="46" t="s">
        <v>3287</v>
      </c>
      <c r="E8" s="47" t="s">
        <v>3287</v>
      </c>
      <c r="F8" s="15">
        <v>0</v>
      </c>
      <c r="G8" s="19"/>
      <c r="H8" s="19"/>
      <c r="I8" s="37" t="e">
        <f t="shared" si="0"/>
        <v>#DIV/0!</v>
      </c>
    </row>
    <row r="9" spans="1:9" ht="15.6" customHeight="1" x14ac:dyDescent="0.25">
      <c r="A9" s="13">
        <v>5</v>
      </c>
      <c r="B9" s="14" t="s">
        <v>3292</v>
      </c>
      <c r="C9" s="14" t="s">
        <v>3293</v>
      </c>
      <c r="D9" s="46" t="s">
        <v>243</v>
      </c>
      <c r="E9" s="47" t="s">
        <v>243</v>
      </c>
      <c r="F9" s="15">
        <v>2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3294</v>
      </c>
      <c r="C10" s="14" t="s">
        <v>3295</v>
      </c>
      <c r="D10" s="46" t="s">
        <v>243</v>
      </c>
      <c r="E10" s="47" t="s">
        <v>243</v>
      </c>
      <c r="F10" s="15">
        <v>2.5</v>
      </c>
      <c r="G10" s="15"/>
      <c r="H10" s="15"/>
      <c r="I10" s="37">
        <f t="shared" si="0"/>
        <v>0</v>
      </c>
    </row>
    <row r="11" spans="1:9" ht="15.6" customHeight="1" x14ac:dyDescent="0.25">
      <c r="A11" s="13">
        <v>7</v>
      </c>
      <c r="B11" s="14" t="s">
        <v>3296</v>
      </c>
      <c r="C11" s="14" t="s">
        <v>3297</v>
      </c>
      <c r="D11" s="46" t="s">
        <v>243</v>
      </c>
      <c r="E11" s="47" t="s">
        <v>243</v>
      </c>
      <c r="F11" s="15">
        <v>2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3298</v>
      </c>
      <c r="C12" s="14" t="s">
        <v>3299</v>
      </c>
      <c r="D12" s="46" t="s">
        <v>243</v>
      </c>
      <c r="E12" s="47" t="s">
        <v>243</v>
      </c>
      <c r="F12" s="15">
        <v>0</v>
      </c>
      <c r="G12" s="19"/>
      <c r="H12" s="19"/>
      <c r="I12" s="37" t="e">
        <f t="shared" si="0"/>
        <v>#DIV/0!</v>
      </c>
    </row>
    <row r="13" spans="1:9" ht="15.6" customHeight="1" x14ac:dyDescent="0.25">
      <c r="A13" s="13">
        <v>9</v>
      </c>
      <c r="B13" s="14" t="s">
        <v>3300</v>
      </c>
      <c r="C13" s="14" t="s">
        <v>3301</v>
      </c>
      <c r="D13" s="46" t="s">
        <v>243</v>
      </c>
      <c r="E13" s="47" t="s">
        <v>243</v>
      </c>
      <c r="F13" s="15">
        <v>0</v>
      </c>
      <c r="G13" s="15"/>
      <c r="H13" s="15"/>
      <c r="I13" s="37" t="e">
        <f t="shared" si="0"/>
        <v>#DIV/0!</v>
      </c>
    </row>
    <row r="14" spans="1:9" ht="15.6" customHeight="1" x14ac:dyDescent="0.25">
      <c r="A14" s="13">
        <v>10</v>
      </c>
      <c r="B14" s="14" t="s">
        <v>3302</v>
      </c>
      <c r="C14" s="14" t="s">
        <v>3303</v>
      </c>
      <c r="D14" s="46" t="s">
        <v>243</v>
      </c>
      <c r="E14" s="47" t="s">
        <v>243</v>
      </c>
      <c r="F14" s="15">
        <v>0</v>
      </c>
      <c r="G14" s="19"/>
      <c r="H14" s="19"/>
      <c r="I14" s="37" t="e">
        <f t="shared" si="0"/>
        <v>#DIV/0!</v>
      </c>
    </row>
    <row r="15" spans="1:9" ht="16.8" customHeight="1" x14ac:dyDescent="0.25">
      <c r="A15" s="39" t="s">
        <v>1769</v>
      </c>
      <c r="B15" s="39"/>
      <c r="C15" s="39"/>
      <c r="D15" s="39" t="s">
        <v>1881</v>
      </c>
      <c r="E15" s="39"/>
      <c r="F15" s="12">
        <f>SUM(F5:F14)</f>
        <v>52.2</v>
      </c>
      <c r="G15" s="20"/>
      <c r="H15" s="12">
        <f>SUM(H5:H14)</f>
        <v>0</v>
      </c>
      <c r="I15" s="38">
        <f t="shared" si="0"/>
        <v>0</v>
      </c>
    </row>
  </sheetData>
  <mergeCells count="18">
    <mergeCell ref="G3:G4"/>
    <mergeCell ref="H3:I3"/>
    <mergeCell ref="D10:E10"/>
    <mergeCell ref="A3:A4"/>
    <mergeCell ref="B3:C3"/>
    <mergeCell ref="D3:E4"/>
    <mergeCell ref="F3:F4"/>
    <mergeCell ref="D5:E5"/>
    <mergeCell ref="D6:E6"/>
    <mergeCell ref="D7:E7"/>
    <mergeCell ref="D8:E8"/>
    <mergeCell ref="D9:E9"/>
    <mergeCell ref="A15:C15"/>
    <mergeCell ref="D15:E15"/>
    <mergeCell ref="D11:E11"/>
    <mergeCell ref="D12:E12"/>
    <mergeCell ref="D13:E13"/>
    <mergeCell ref="D14:E1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48EE-9ECE-4C62-84C9-11C63D5FE142}">
  <sheetPr codeName="Sheet52"/>
  <dimension ref="A1:I125"/>
  <sheetViews>
    <sheetView topLeftCell="A99" zoomScaleNormal="100" workbookViewId="0">
      <selection activeCell="J127" sqref="J127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3304</v>
      </c>
      <c r="C5" s="14" t="s">
        <v>3305</v>
      </c>
      <c r="D5" s="46" t="s">
        <v>3305</v>
      </c>
      <c r="E5" s="47" t="s">
        <v>3305</v>
      </c>
      <c r="F5" s="15">
        <v>27.8</v>
      </c>
      <c r="G5" s="19"/>
      <c r="H5" s="19"/>
      <c r="I5" s="37">
        <f t="shared" ref="I5:I117" si="0">H5/F5</f>
        <v>0</v>
      </c>
    </row>
    <row r="6" spans="1:9" ht="15.6" customHeight="1" x14ac:dyDescent="0.25">
      <c r="A6" s="13">
        <v>2</v>
      </c>
      <c r="B6" s="14" t="s">
        <v>3306</v>
      </c>
      <c r="C6" s="14" t="s">
        <v>3307</v>
      </c>
      <c r="D6" s="46" t="s">
        <v>3307</v>
      </c>
      <c r="E6" s="47" t="s">
        <v>3307</v>
      </c>
      <c r="F6" s="15">
        <v>1.5</v>
      </c>
      <c r="G6" s="19"/>
      <c r="H6" s="19"/>
      <c r="I6" s="37">
        <f t="shared" si="0"/>
        <v>0</v>
      </c>
    </row>
    <row r="7" spans="1:9" ht="15.6" customHeight="1" x14ac:dyDescent="0.25">
      <c r="A7" s="13">
        <v>3</v>
      </c>
      <c r="B7" s="14" t="s">
        <v>3308</v>
      </c>
      <c r="C7" s="14" t="s">
        <v>3309</v>
      </c>
      <c r="D7" s="46" t="s">
        <v>3309</v>
      </c>
      <c r="E7" s="47" t="s">
        <v>3309</v>
      </c>
      <c r="F7" s="15">
        <v>5</v>
      </c>
      <c r="G7" s="15"/>
      <c r="H7" s="15"/>
      <c r="I7" s="37">
        <f t="shared" si="0"/>
        <v>0</v>
      </c>
    </row>
    <row r="8" spans="1:9" ht="15.6" customHeight="1" x14ac:dyDescent="0.25">
      <c r="A8" s="13">
        <v>4</v>
      </c>
      <c r="B8" s="14" t="s">
        <v>3310</v>
      </c>
      <c r="C8" s="14" t="s">
        <v>3311</v>
      </c>
      <c r="D8" s="46" t="s">
        <v>3311</v>
      </c>
      <c r="E8" s="47" t="s">
        <v>3311</v>
      </c>
      <c r="F8" s="15">
        <v>1</v>
      </c>
      <c r="G8" s="19"/>
      <c r="H8" s="19"/>
      <c r="I8" s="37">
        <f t="shared" si="0"/>
        <v>0</v>
      </c>
    </row>
    <row r="9" spans="1:9" ht="15.6" customHeight="1" x14ac:dyDescent="0.25">
      <c r="A9" s="13">
        <v>5</v>
      </c>
      <c r="B9" s="14" t="s">
        <v>3312</v>
      </c>
      <c r="C9" s="14" t="s">
        <v>3313</v>
      </c>
      <c r="D9" s="46" t="s">
        <v>3313</v>
      </c>
      <c r="E9" s="47" t="s">
        <v>3313</v>
      </c>
      <c r="F9" s="15">
        <v>2.4</v>
      </c>
      <c r="G9" s="19"/>
      <c r="H9" s="19"/>
      <c r="I9" s="37">
        <f t="shared" si="0"/>
        <v>0</v>
      </c>
    </row>
    <row r="10" spans="1:9" ht="15.6" customHeight="1" x14ac:dyDescent="0.25">
      <c r="A10" s="13">
        <v>6</v>
      </c>
      <c r="B10" s="14" t="s">
        <v>3314</v>
      </c>
      <c r="C10" s="14" t="s">
        <v>3315</v>
      </c>
      <c r="D10" s="46" t="s">
        <v>3315</v>
      </c>
      <c r="E10" s="47" t="s">
        <v>3315</v>
      </c>
      <c r="F10" s="15">
        <v>0</v>
      </c>
      <c r="G10" s="15"/>
      <c r="H10" s="15"/>
      <c r="I10" s="37" t="e">
        <f t="shared" si="0"/>
        <v>#DIV/0!</v>
      </c>
    </row>
    <row r="11" spans="1:9" ht="15.6" customHeight="1" x14ac:dyDescent="0.25">
      <c r="A11" s="13">
        <v>7</v>
      </c>
      <c r="B11" s="14" t="s">
        <v>3316</v>
      </c>
      <c r="C11" s="14" t="s">
        <v>3317</v>
      </c>
      <c r="D11" s="46" t="s">
        <v>3317</v>
      </c>
      <c r="E11" s="47" t="s">
        <v>3317</v>
      </c>
      <c r="F11" s="15">
        <v>23</v>
      </c>
      <c r="G11" s="19"/>
      <c r="H11" s="19"/>
      <c r="I11" s="37">
        <f t="shared" si="0"/>
        <v>0</v>
      </c>
    </row>
    <row r="12" spans="1:9" ht="15.6" customHeight="1" x14ac:dyDescent="0.25">
      <c r="A12" s="13">
        <v>8</v>
      </c>
      <c r="B12" s="14" t="s">
        <v>3318</v>
      </c>
      <c r="C12" s="14" t="s">
        <v>3319</v>
      </c>
      <c r="D12" s="46" t="s">
        <v>3319</v>
      </c>
      <c r="E12" s="47" t="s">
        <v>3319</v>
      </c>
      <c r="F12" s="15">
        <v>5.2</v>
      </c>
      <c r="G12" s="19"/>
      <c r="H12" s="19"/>
      <c r="I12" s="37">
        <f t="shared" si="0"/>
        <v>0</v>
      </c>
    </row>
    <row r="13" spans="1:9" ht="15.6" customHeight="1" x14ac:dyDescent="0.25">
      <c r="A13" s="13">
        <v>9</v>
      </c>
      <c r="B13" s="14" t="s">
        <v>3320</v>
      </c>
      <c r="C13" s="14" t="s">
        <v>3321</v>
      </c>
      <c r="D13" s="46" t="s">
        <v>3321</v>
      </c>
      <c r="E13" s="47" t="s">
        <v>3321</v>
      </c>
      <c r="F13" s="15">
        <v>3.8</v>
      </c>
      <c r="G13" s="15"/>
      <c r="H13" s="15"/>
      <c r="I13" s="37">
        <f t="shared" si="0"/>
        <v>0</v>
      </c>
    </row>
    <row r="14" spans="1:9" ht="15.6" customHeight="1" x14ac:dyDescent="0.25">
      <c r="A14" s="13">
        <v>10</v>
      </c>
      <c r="B14" s="14" t="s">
        <v>3322</v>
      </c>
      <c r="C14" s="14" t="s">
        <v>3323</v>
      </c>
      <c r="D14" s="46" t="s">
        <v>3323</v>
      </c>
      <c r="E14" s="47" t="s">
        <v>3323</v>
      </c>
      <c r="F14" s="15">
        <v>1.7</v>
      </c>
      <c r="G14" s="19"/>
      <c r="H14" s="19"/>
      <c r="I14" s="37">
        <f t="shared" si="0"/>
        <v>0</v>
      </c>
    </row>
    <row r="15" spans="1:9" ht="15.6" customHeight="1" x14ac:dyDescent="0.25">
      <c r="A15" s="13">
        <v>11</v>
      </c>
      <c r="B15" s="14" t="s">
        <v>3324</v>
      </c>
      <c r="C15" s="14" t="s">
        <v>3325</v>
      </c>
      <c r="D15" s="46" t="s">
        <v>3325</v>
      </c>
      <c r="E15" s="47" t="s">
        <v>3325</v>
      </c>
      <c r="F15" s="15">
        <v>6.8</v>
      </c>
      <c r="G15" s="19"/>
      <c r="H15" s="19"/>
      <c r="I15" s="37">
        <f t="shared" si="0"/>
        <v>0</v>
      </c>
    </row>
    <row r="16" spans="1:9" ht="15.6" customHeight="1" x14ac:dyDescent="0.25">
      <c r="A16" s="13">
        <v>12</v>
      </c>
      <c r="B16" s="14" t="s">
        <v>3326</v>
      </c>
      <c r="C16" s="14" t="s">
        <v>3327</v>
      </c>
      <c r="D16" s="46" t="s">
        <v>3327</v>
      </c>
      <c r="E16" s="47" t="s">
        <v>3327</v>
      </c>
      <c r="F16" s="15">
        <v>3.3</v>
      </c>
      <c r="G16" s="15"/>
      <c r="H16" s="15"/>
      <c r="I16" s="37">
        <f t="shared" si="0"/>
        <v>0</v>
      </c>
    </row>
    <row r="17" spans="1:9" ht="15.6" customHeight="1" x14ac:dyDescent="0.25">
      <c r="A17" s="13">
        <v>13</v>
      </c>
      <c r="B17" s="14" t="s">
        <v>3328</v>
      </c>
      <c r="C17" s="14" t="s">
        <v>3329</v>
      </c>
      <c r="D17" s="46" t="s">
        <v>3329</v>
      </c>
      <c r="E17" s="47" t="s">
        <v>3329</v>
      </c>
      <c r="F17" s="15">
        <v>0</v>
      </c>
      <c r="G17" s="19"/>
      <c r="H17" s="19"/>
      <c r="I17" s="37" t="e">
        <f t="shared" si="0"/>
        <v>#DIV/0!</v>
      </c>
    </row>
    <row r="18" spans="1:9" ht="15.6" customHeight="1" x14ac:dyDescent="0.25">
      <c r="A18" s="13">
        <v>14</v>
      </c>
      <c r="B18" s="14" t="s">
        <v>3330</v>
      </c>
      <c r="C18" s="14" t="s">
        <v>3331</v>
      </c>
      <c r="D18" s="46" t="s">
        <v>3331</v>
      </c>
      <c r="E18" s="47" t="s">
        <v>3331</v>
      </c>
      <c r="F18" s="15">
        <v>9</v>
      </c>
      <c r="G18" s="19"/>
      <c r="H18" s="19"/>
      <c r="I18" s="37">
        <f t="shared" si="0"/>
        <v>0</v>
      </c>
    </row>
    <row r="19" spans="1:9" ht="15.6" customHeight="1" x14ac:dyDescent="0.25">
      <c r="A19" s="13">
        <v>15</v>
      </c>
      <c r="B19" s="14" t="s">
        <v>3332</v>
      </c>
      <c r="C19" s="14" t="s">
        <v>3333</v>
      </c>
      <c r="D19" s="46" t="s">
        <v>3333</v>
      </c>
      <c r="E19" s="47" t="s">
        <v>3333</v>
      </c>
      <c r="F19" s="15">
        <v>2.2000000000000002</v>
      </c>
      <c r="G19" s="15"/>
      <c r="H19" s="15"/>
      <c r="I19" s="37">
        <f t="shared" si="0"/>
        <v>0</v>
      </c>
    </row>
    <row r="20" spans="1:9" ht="15.6" customHeight="1" x14ac:dyDescent="0.25">
      <c r="A20" s="13">
        <v>16</v>
      </c>
      <c r="B20" s="14" t="s">
        <v>3334</v>
      </c>
      <c r="C20" s="14" t="s">
        <v>3335</v>
      </c>
      <c r="D20" s="46" t="s">
        <v>3335</v>
      </c>
      <c r="E20" s="47" t="s">
        <v>3335</v>
      </c>
      <c r="F20" s="15">
        <v>3</v>
      </c>
      <c r="G20" s="19"/>
      <c r="H20" s="19"/>
      <c r="I20" s="37">
        <f t="shared" si="0"/>
        <v>0</v>
      </c>
    </row>
    <row r="21" spans="1:9" ht="15.6" customHeight="1" x14ac:dyDescent="0.25">
      <c r="A21" s="13">
        <v>17</v>
      </c>
      <c r="B21" s="14" t="s">
        <v>3336</v>
      </c>
      <c r="C21" s="14" t="s">
        <v>3337</v>
      </c>
      <c r="D21" s="46" t="s">
        <v>3337</v>
      </c>
      <c r="E21" s="47" t="s">
        <v>3337</v>
      </c>
      <c r="F21" s="16">
        <v>6</v>
      </c>
      <c r="G21" s="19"/>
      <c r="H21" s="19"/>
      <c r="I21" s="37">
        <f t="shared" si="0"/>
        <v>0</v>
      </c>
    </row>
    <row r="22" spans="1:9" ht="15.6" customHeight="1" x14ac:dyDescent="0.25">
      <c r="A22" s="13">
        <v>18</v>
      </c>
      <c r="B22" s="14" t="s">
        <v>3338</v>
      </c>
      <c r="C22" s="14" t="s">
        <v>3339</v>
      </c>
      <c r="D22" s="46" t="s">
        <v>3339</v>
      </c>
      <c r="E22" s="47" t="s">
        <v>3339</v>
      </c>
      <c r="F22" s="15">
        <v>2.7</v>
      </c>
      <c r="G22" s="15"/>
      <c r="H22" s="15"/>
      <c r="I22" s="37">
        <f t="shared" si="0"/>
        <v>0</v>
      </c>
    </row>
    <row r="23" spans="1:9" ht="15.6" customHeight="1" x14ac:dyDescent="0.25">
      <c r="A23" s="13">
        <v>19</v>
      </c>
      <c r="B23" s="14" t="s">
        <v>3340</v>
      </c>
      <c r="C23" s="14" t="s">
        <v>3341</v>
      </c>
      <c r="D23" s="46" t="s">
        <v>3341</v>
      </c>
      <c r="E23" s="47" t="s">
        <v>3341</v>
      </c>
      <c r="F23" s="15">
        <v>3</v>
      </c>
      <c r="G23" s="19"/>
      <c r="H23" s="19"/>
      <c r="I23" s="37">
        <f t="shared" si="0"/>
        <v>0</v>
      </c>
    </row>
    <row r="24" spans="1:9" ht="15.6" customHeight="1" x14ac:dyDescent="0.25">
      <c r="A24" s="13">
        <v>20</v>
      </c>
      <c r="B24" s="14" t="s">
        <v>3342</v>
      </c>
      <c r="C24" s="14" t="s">
        <v>3343</v>
      </c>
      <c r="D24" s="46" t="s">
        <v>3343</v>
      </c>
      <c r="E24" s="47" t="s">
        <v>3343</v>
      </c>
      <c r="F24" s="15">
        <v>0</v>
      </c>
      <c r="G24" s="19"/>
      <c r="H24" s="19"/>
      <c r="I24" s="37" t="e">
        <f t="shared" si="0"/>
        <v>#DIV/0!</v>
      </c>
    </row>
    <row r="25" spans="1:9" ht="15.6" customHeight="1" x14ac:dyDescent="0.25">
      <c r="A25" s="13">
        <v>21</v>
      </c>
      <c r="B25" s="14" t="s">
        <v>3344</v>
      </c>
      <c r="C25" s="14" t="s">
        <v>3345</v>
      </c>
      <c r="D25" s="46" t="s">
        <v>3345</v>
      </c>
      <c r="E25" s="47" t="s">
        <v>3345</v>
      </c>
      <c r="F25" s="15">
        <v>0</v>
      </c>
      <c r="G25" s="15"/>
      <c r="H25" s="15"/>
      <c r="I25" s="37" t="e">
        <f t="shared" si="0"/>
        <v>#DIV/0!</v>
      </c>
    </row>
    <row r="26" spans="1:9" ht="15.6" customHeight="1" x14ac:dyDescent="0.25">
      <c r="A26" s="13">
        <v>22</v>
      </c>
      <c r="B26" s="14" t="s">
        <v>3346</v>
      </c>
      <c r="C26" s="14" t="s">
        <v>3347</v>
      </c>
      <c r="D26" s="46" t="s">
        <v>3347</v>
      </c>
      <c r="E26" s="47" t="s">
        <v>3347</v>
      </c>
      <c r="F26" s="15">
        <v>0</v>
      </c>
      <c r="G26" s="19"/>
      <c r="H26" s="19"/>
      <c r="I26" s="37" t="e">
        <f t="shared" si="0"/>
        <v>#DIV/0!</v>
      </c>
    </row>
    <row r="27" spans="1:9" ht="15.6" customHeight="1" x14ac:dyDescent="0.25">
      <c r="A27" s="13">
        <v>23</v>
      </c>
      <c r="B27" s="14" t="s">
        <v>3348</v>
      </c>
      <c r="C27" s="14" t="s">
        <v>3349</v>
      </c>
      <c r="D27" s="46" t="s">
        <v>3349</v>
      </c>
      <c r="E27" s="47" t="s">
        <v>3349</v>
      </c>
      <c r="F27" s="15">
        <v>1</v>
      </c>
      <c r="G27" s="19"/>
      <c r="H27" s="19"/>
      <c r="I27" s="37">
        <f t="shared" si="0"/>
        <v>0</v>
      </c>
    </row>
    <row r="28" spans="1:9" ht="15.6" customHeight="1" x14ac:dyDescent="0.25">
      <c r="A28" s="13">
        <v>24</v>
      </c>
      <c r="B28" s="14" t="s">
        <v>3350</v>
      </c>
      <c r="C28" s="14" t="s">
        <v>3351</v>
      </c>
      <c r="D28" s="46" t="s">
        <v>3351</v>
      </c>
      <c r="E28" s="47" t="s">
        <v>3351</v>
      </c>
      <c r="F28" s="15">
        <v>2</v>
      </c>
      <c r="G28" s="19"/>
      <c r="H28" s="19"/>
      <c r="I28" s="37">
        <f t="shared" si="0"/>
        <v>0</v>
      </c>
    </row>
    <row r="29" spans="1:9" ht="15.6" customHeight="1" x14ac:dyDescent="0.25">
      <c r="A29" s="13">
        <v>25</v>
      </c>
      <c r="B29" s="14" t="s">
        <v>3352</v>
      </c>
      <c r="C29" s="14" t="s">
        <v>3353</v>
      </c>
      <c r="D29" s="46" t="s">
        <v>3353</v>
      </c>
      <c r="E29" s="47" t="s">
        <v>3353</v>
      </c>
      <c r="F29" s="15">
        <v>0.5</v>
      </c>
      <c r="G29" s="19"/>
      <c r="H29" s="19"/>
      <c r="I29" s="37">
        <f t="shared" si="0"/>
        <v>0</v>
      </c>
    </row>
    <row r="30" spans="1:9" ht="15.6" customHeight="1" x14ac:dyDescent="0.25">
      <c r="A30" s="13">
        <v>26</v>
      </c>
      <c r="B30" s="14" t="s">
        <v>3354</v>
      </c>
      <c r="C30" s="14" t="s">
        <v>3355</v>
      </c>
      <c r="D30" s="46" t="s">
        <v>3355</v>
      </c>
      <c r="E30" s="47" t="s">
        <v>3355</v>
      </c>
      <c r="F30" s="15">
        <v>0</v>
      </c>
      <c r="G30" s="19"/>
      <c r="H30" s="19"/>
      <c r="I30" s="37" t="e">
        <f t="shared" si="0"/>
        <v>#DIV/0!</v>
      </c>
    </row>
    <row r="31" spans="1:9" ht="15.6" customHeight="1" x14ac:dyDescent="0.25">
      <c r="A31" s="13">
        <v>27</v>
      </c>
      <c r="B31" s="14" t="s">
        <v>3356</v>
      </c>
      <c r="C31" s="14" t="s">
        <v>3357</v>
      </c>
      <c r="D31" s="46" t="s">
        <v>3357</v>
      </c>
      <c r="E31" s="47" t="s">
        <v>3357</v>
      </c>
      <c r="F31" s="15">
        <v>0</v>
      </c>
      <c r="G31" s="19"/>
      <c r="H31" s="19"/>
      <c r="I31" s="37" t="e">
        <f t="shared" si="0"/>
        <v>#DIV/0!</v>
      </c>
    </row>
    <row r="32" spans="1:9" ht="15.6" customHeight="1" x14ac:dyDescent="0.25">
      <c r="A32" s="13">
        <v>28</v>
      </c>
      <c r="B32" s="14" t="s">
        <v>3358</v>
      </c>
      <c r="C32" s="14" t="s">
        <v>3359</v>
      </c>
      <c r="D32" s="46" t="s">
        <v>3359</v>
      </c>
      <c r="E32" s="47" t="s">
        <v>3359</v>
      </c>
      <c r="F32" s="15">
        <v>1</v>
      </c>
      <c r="G32" s="19"/>
      <c r="H32" s="19"/>
      <c r="I32" s="37">
        <f t="shared" si="0"/>
        <v>0</v>
      </c>
    </row>
    <row r="33" spans="1:9" ht="15.6" customHeight="1" x14ac:dyDescent="0.25">
      <c r="A33" s="13">
        <v>29</v>
      </c>
      <c r="B33" s="14" t="s">
        <v>3360</v>
      </c>
      <c r="C33" s="14" t="s">
        <v>3361</v>
      </c>
      <c r="D33" s="46" t="s">
        <v>3361</v>
      </c>
      <c r="E33" s="47" t="s">
        <v>3361</v>
      </c>
      <c r="F33" s="15">
        <v>3.5</v>
      </c>
      <c r="G33" s="19"/>
      <c r="H33" s="19"/>
      <c r="I33" s="37">
        <f t="shared" si="0"/>
        <v>0</v>
      </c>
    </row>
    <row r="34" spans="1:9" ht="15.6" customHeight="1" x14ac:dyDescent="0.25">
      <c r="A34" s="13">
        <v>30</v>
      </c>
      <c r="B34" s="14" t="s">
        <v>3362</v>
      </c>
      <c r="C34" s="14" t="s">
        <v>3363</v>
      </c>
      <c r="D34" s="46" t="s">
        <v>3363</v>
      </c>
      <c r="E34" s="47" t="s">
        <v>3363</v>
      </c>
      <c r="F34" s="15">
        <v>1</v>
      </c>
      <c r="G34" s="19"/>
      <c r="H34" s="19"/>
      <c r="I34" s="37">
        <f t="shared" si="0"/>
        <v>0</v>
      </c>
    </row>
    <row r="35" spans="1:9" ht="15.6" customHeight="1" x14ac:dyDescent="0.25">
      <c r="A35" s="13">
        <v>31</v>
      </c>
      <c r="B35" s="14" t="s">
        <v>3364</v>
      </c>
      <c r="C35" s="14" t="s">
        <v>3365</v>
      </c>
      <c r="D35" s="46" t="s">
        <v>3365</v>
      </c>
      <c r="E35" s="47" t="s">
        <v>3365</v>
      </c>
      <c r="F35" s="15">
        <v>0.3</v>
      </c>
      <c r="G35" s="19"/>
      <c r="H35" s="19"/>
      <c r="I35" s="37">
        <f t="shared" si="0"/>
        <v>0</v>
      </c>
    </row>
    <row r="36" spans="1:9" ht="15.6" customHeight="1" x14ac:dyDescent="0.25">
      <c r="A36" s="13">
        <v>32</v>
      </c>
      <c r="B36" s="14" t="s">
        <v>3366</v>
      </c>
      <c r="C36" s="14" t="s">
        <v>3367</v>
      </c>
      <c r="D36" s="46" t="s">
        <v>3367</v>
      </c>
      <c r="E36" s="47" t="s">
        <v>3367</v>
      </c>
      <c r="F36" s="15">
        <v>3</v>
      </c>
      <c r="G36" s="19"/>
      <c r="H36" s="19"/>
      <c r="I36" s="37">
        <f t="shared" si="0"/>
        <v>0</v>
      </c>
    </row>
    <row r="37" spans="1:9" ht="15.6" customHeight="1" x14ac:dyDescent="0.25">
      <c r="A37" s="13">
        <v>33</v>
      </c>
      <c r="B37" s="14" t="s">
        <v>3368</v>
      </c>
      <c r="C37" s="14" t="s">
        <v>3369</v>
      </c>
      <c r="D37" s="46" t="s">
        <v>3369</v>
      </c>
      <c r="E37" s="47" t="s">
        <v>3369</v>
      </c>
      <c r="F37" s="15">
        <v>34.6</v>
      </c>
      <c r="G37" s="19"/>
      <c r="H37" s="19"/>
      <c r="I37" s="37">
        <f t="shared" si="0"/>
        <v>0</v>
      </c>
    </row>
    <row r="38" spans="1:9" ht="15.6" customHeight="1" x14ac:dyDescent="0.25">
      <c r="A38" s="13">
        <v>34</v>
      </c>
      <c r="B38" s="14" t="s">
        <v>3370</v>
      </c>
      <c r="C38" s="14" t="s">
        <v>3371</v>
      </c>
      <c r="D38" s="46" t="s">
        <v>3371</v>
      </c>
      <c r="E38" s="47" t="s">
        <v>3371</v>
      </c>
      <c r="F38" s="15">
        <v>0</v>
      </c>
      <c r="G38" s="19"/>
      <c r="H38" s="19"/>
      <c r="I38" s="37" t="e">
        <f t="shared" si="0"/>
        <v>#DIV/0!</v>
      </c>
    </row>
    <row r="39" spans="1:9" ht="15.6" customHeight="1" x14ac:dyDescent="0.25">
      <c r="A39" s="13">
        <v>35</v>
      </c>
      <c r="B39" s="14" t="s">
        <v>3372</v>
      </c>
      <c r="C39" s="14" t="s">
        <v>3373</v>
      </c>
      <c r="D39" s="46" t="s">
        <v>3373</v>
      </c>
      <c r="E39" s="47" t="s">
        <v>3373</v>
      </c>
      <c r="F39" s="15">
        <v>0</v>
      </c>
      <c r="G39" s="19"/>
      <c r="H39" s="19"/>
      <c r="I39" s="37" t="e">
        <f t="shared" si="0"/>
        <v>#DIV/0!</v>
      </c>
    </row>
    <row r="40" spans="1:9" ht="15.6" customHeight="1" x14ac:dyDescent="0.25">
      <c r="A40" s="13">
        <v>36</v>
      </c>
      <c r="B40" s="14" t="s">
        <v>3374</v>
      </c>
      <c r="C40" s="14" t="s">
        <v>3375</v>
      </c>
      <c r="D40" s="46" t="s">
        <v>3375</v>
      </c>
      <c r="E40" s="47" t="s">
        <v>3375</v>
      </c>
      <c r="F40" s="15">
        <v>0</v>
      </c>
      <c r="G40" s="19"/>
      <c r="H40" s="19"/>
      <c r="I40" s="37" t="e">
        <f t="shared" si="0"/>
        <v>#DIV/0!</v>
      </c>
    </row>
    <row r="41" spans="1:9" ht="15.6" customHeight="1" x14ac:dyDescent="0.25">
      <c r="A41" s="13">
        <v>37</v>
      </c>
      <c r="B41" s="14" t="s">
        <v>3376</v>
      </c>
      <c r="C41" s="14" t="s">
        <v>3377</v>
      </c>
      <c r="D41" s="46" t="s">
        <v>3377</v>
      </c>
      <c r="E41" s="47" t="s">
        <v>3377</v>
      </c>
      <c r="F41" s="15">
        <v>7</v>
      </c>
      <c r="G41" s="19"/>
      <c r="H41" s="19"/>
      <c r="I41" s="37">
        <f t="shared" si="0"/>
        <v>0</v>
      </c>
    </row>
    <row r="42" spans="1:9" ht="15.6" customHeight="1" x14ac:dyDescent="0.25">
      <c r="A42" s="13">
        <v>38</v>
      </c>
      <c r="B42" s="14" t="s">
        <v>3378</v>
      </c>
      <c r="C42" s="14" t="s">
        <v>3379</v>
      </c>
      <c r="D42" s="46" t="s">
        <v>3379</v>
      </c>
      <c r="E42" s="47" t="s">
        <v>3379</v>
      </c>
      <c r="F42" s="15">
        <v>0.3</v>
      </c>
      <c r="G42" s="19"/>
      <c r="H42" s="19"/>
      <c r="I42" s="37">
        <f t="shared" si="0"/>
        <v>0</v>
      </c>
    </row>
    <row r="43" spans="1:9" ht="15.6" customHeight="1" x14ac:dyDescent="0.25">
      <c r="A43" s="13">
        <v>39</v>
      </c>
      <c r="B43" s="14" t="s">
        <v>3380</v>
      </c>
      <c r="C43" s="14" t="s">
        <v>3381</v>
      </c>
      <c r="D43" s="46" t="s">
        <v>3381</v>
      </c>
      <c r="E43" s="47" t="s">
        <v>3381</v>
      </c>
      <c r="F43" s="15">
        <v>0</v>
      </c>
      <c r="G43" s="19"/>
      <c r="H43" s="19"/>
      <c r="I43" s="37" t="e">
        <f t="shared" si="0"/>
        <v>#DIV/0!</v>
      </c>
    </row>
    <row r="44" spans="1:9" ht="15.6" customHeight="1" x14ac:dyDescent="0.25">
      <c r="A44" s="13">
        <v>40</v>
      </c>
      <c r="B44" s="14" t="s">
        <v>3382</v>
      </c>
      <c r="C44" s="14" t="s">
        <v>3383</v>
      </c>
      <c r="D44" s="46" t="s">
        <v>3383</v>
      </c>
      <c r="E44" s="47" t="s">
        <v>3383</v>
      </c>
      <c r="F44" s="15">
        <v>0</v>
      </c>
      <c r="G44" s="19"/>
      <c r="H44" s="19"/>
      <c r="I44" s="37" t="e">
        <f t="shared" si="0"/>
        <v>#DIV/0!</v>
      </c>
    </row>
    <row r="45" spans="1:9" ht="15.6" customHeight="1" x14ac:dyDescent="0.25">
      <c r="A45" s="13">
        <v>41</v>
      </c>
      <c r="B45" s="14" t="s">
        <v>3384</v>
      </c>
      <c r="C45" s="14" t="s">
        <v>3385</v>
      </c>
      <c r="D45" s="46" t="s">
        <v>3385</v>
      </c>
      <c r="E45" s="47" t="s">
        <v>3385</v>
      </c>
      <c r="F45" s="15">
        <v>1.2</v>
      </c>
      <c r="G45" s="19"/>
      <c r="H45" s="19"/>
      <c r="I45" s="37">
        <f t="shared" si="0"/>
        <v>0</v>
      </c>
    </row>
    <row r="46" spans="1:9" ht="15.6" customHeight="1" x14ac:dyDescent="0.25">
      <c r="A46" s="13">
        <v>42</v>
      </c>
      <c r="B46" s="14" t="s">
        <v>3386</v>
      </c>
      <c r="C46" s="14" t="s">
        <v>3387</v>
      </c>
      <c r="D46" s="46" t="s">
        <v>3387</v>
      </c>
      <c r="E46" s="47" t="s">
        <v>3387</v>
      </c>
      <c r="F46" s="15">
        <v>11</v>
      </c>
      <c r="G46" s="19"/>
      <c r="H46" s="19"/>
      <c r="I46" s="37">
        <f t="shared" si="0"/>
        <v>0</v>
      </c>
    </row>
    <row r="47" spans="1:9" ht="15.6" customHeight="1" x14ac:dyDescent="0.25">
      <c r="A47" s="13">
        <v>43</v>
      </c>
      <c r="B47" s="14" t="s">
        <v>3388</v>
      </c>
      <c r="C47" s="14" t="s">
        <v>3389</v>
      </c>
      <c r="D47" s="46" t="s">
        <v>3389</v>
      </c>
      <c r="E47" s="47" t="s">
        <v>3389</v>
      </c>
      <c r="F47" s="15">
        <v>6.1</v>
      </c>
      <c r="G47" s="19"/>
      <c r="H47" s="19"/>
      <c r="I47" s="37">
        <f t="shared" si="0"/>
        <v>0</v>
      </c>
    </row>
    <row r="48" spans="1:9" ht="15.6" customHeight="1" x14ac:dyDescent="0.25">
      <c r="A48" s="13">
        <v>44</v>
      </c>
      <c r="B48" s="14" t="s">
        <v>3390</v>
      </c>
      <c r="C48" s="14" t="s">
        <v>3391</v>
      </c>
      <c r="D48" s="46" t="s">
        <v>3391</v>
      </c>
      <c r="E48" s="47" t="s">
        <v>3391</v>
      </c>
      <c r="F48" s="15">
        <v>0</v>
      </c>
      <c r="G48" s="19"/>
      <c r="H48" s="19"/>
      <c r="I48" s="37" t="e">
        <f t="shared" si="0"/>
        <v>#DIV/0!</v>
      </c>
    </row>
    <row r="49" spans="1:9" ht="15.6" customHeight="1" x14ac:dyDescent="0.25">
      <c r="A49" s="13">
        <v>45</v>
      </c>
      <c r="B49" s="14" t="s">
        <v>3392</v>
      </c>
      <c r="C49" s="14" t="s">
        <v>3393</v>
      </c>
      <c r="D49" s="46" t="s">
        <v>3393</v>
      </c>
      <c r="E49" s="47" t="s">
        <v>3393</v>
      </c>
      <c r="F49" s="15">
        <v>0</v>
      </c>
      <c r="G49" s="19"/>
      <c r="H49" s="19"/>
      <c r="I49" s="37" t="e">
        <f t="shared" si="0"/>
        <v>#DIV/0!</v>
      </c>
    </row>
    <row r="50" spans="1:9" ht="15.6" customHeight="1" x14ac:dyDescent="0.25">
      <c r="A50" s="13">
        <v>46</v>
      </c>
      <c r="B50" s="14" t="s">
        <v>3394</v>
      </c>
      <c r="C50" s="14" t="s">
        <v>3395</v>
      </c>
      <c r="D50" s="46" t="s">
        <v>3395</v>
      </c>
      <c r="E50" s="47" t="s">
        <v>3395</v>
      </c>
      <c r="F50" s="15">
        <v>0</v>
      </c>
      <c r="G50" s="19"/>
      <c r="H50" s="19"/>
      <c r="I50" s="37" t="e">
        <f t="shared" si="0"/>
        <v>#DIV/0!</v>
      </c>
    </row>
    <row r="51" spans="1:9" ht="15.6" customHeight="1" x14ac:dyDescent="0.25">
      <c r="A51" s="13">
        <v>47</v>
      </c>
      <c r="B51" s="14" t="s">
        <v>3396</v>
      </c>
      <c r="C51" s="14" t="s">
        <v>3397</v>
      </c>
      <c r="D51" s="46" t="s">
        <v>3397</v>
      </c>
      <c r="E51" s="47" t="s">
        <v>3397</v>
      </c>
      <c r="F51" s="15">
        <v>0</v>
      </c>
      <c r="G51" s="19"/>
      <c r="H51" s="19"/>
      <c r="I51" s="37" t="e">
        <f t="shared" si="0"/>
        <v>#DIV/0!</v>
      </c>
    </row>
    <row r="52" spans="1:9" ht="15.6" customHeight="1" x14ac:dyDescent="0.25">
      <c r="A52" s="13">
        <v>48</v>
      </c>
      <c r="B52" s="14" t="s">
        <v>3398</v>
      </c>
      <c r="C52" s="14" t="s">
        <v>3399</v>
      </c>
      <c r="D52" s="46" t="s">
        <v>3399</v>
      </c>
      <c r="E52" s="47" t="s">
        <v>3399</v>
      </c>
      <c r="F52" s="15">
        <v>17</v>
      </c>
      <c r="G52" s="19"/>
      <c r="H52" s="19"/>
      <c r="I52" s="37">
        <f t="shared" si="0"/>
        <v>0</v>
      </c>
    </row>
    <row r="53" spans="1:9" ht="15.6" customHeight="1" x14ac:dyDescent="0.25">
      <c r="A53" s="13">
        <v>49</v>
      </c>
      <c r="B53" s="14" t="s">
        <v>3400</v>
      </c>
      <c r="C53" s="14" t="s">
        <v>3401</v>
      </c>
      <c r="D53" s="46" t="s">
        <v>3401</v>
      </c>
      <c r="E53" s="47" t="s">
        <v>3401</v>
      </c>
      <c r="F53" s="15">
        <v>0</v>
      </c>
      <c r="G53" s="19"/>
      <c r="H53" s="19"/>
      <c r="I53" s="37" t="e">
        <f t="shared" si="0"/>
        <v>#DIV/0!</v>
      </c>
    </row>
    <row r="54" spans="1:9" ht="15.6" customHeight="1" x14ac:dyDescent="0.25">
      <c r="A54" s="13">
        <v>50</v>
      </c>
      <c r="B54" s="14" t="s">
        <v>3402</v>
      </c>
      <c r="C54" s="14" t="s">
        <v>3403</v>
      </c>
      <c r="D54" s="46" t="s">
        <v>3403</v>
      </c>
      <c r="E54" s="47" t="s">
        <v>3403</v>
      </c>
      <c r="F54" s="15">
        <v>0.5</v>
      </c>
      <c r="G54" s="19"/>
      <c r="H54" s="19"/>
      <c r="I54" s="37">
        <f t="shared" si="0"/>
        <v>0</v>
      </c>
    </row>
    <row r="55" spans="1:9" ht="15.6" customHeight="1" x14ac:dyDescent="0.25">
      <c r="A55" s="13">
        <v>51</v>
      </c>
      <c r="B55" s="14" t="s">
        <v>3404</v>
      </c>
      <c r="C55" s="14" t="s">
        <v>3405</v>
      </c>
      <c r="D55" s="46" t="s">
        <v>3405</v>
      </c>
      <c r="E55" s="47" t="s">
        <v>3405</v>
      </c>
      <c r="F55" s="15">
        <v>5.6</v>
      </c>
      <c r="G55" s="19"/>
      <c r="H55" s="19"/>
      <c r="I55" s="37">
        <f t="shared" si="0"/>
        <v>0</v>
      </c>
    </row>
    <row r="56" spans="1:9" ht="15.6" customHeight="1" x14ac:dyDescent="0.25">
      <c r="A56" s="13">
        <v>52</v>
      </c>
      <c r="B56" s="14" t="s">
        <v>3406</v>
      </c>
      <c r="C56" s="14" t="s">
        <v>3407</v>
      </c>
      <c r="D56" s="46" t="s">
        <v>3407</v>
      </c>
      <c r="E56" s="47" t="s">
        <v>3407</v>
      </c>
      <c r="F56" s="15">
        <v>2.5</v>
      </c>
      <c r="G56" s="19"/>
      <c r="H56" s="19"/>
      <c r="I56" s="37">
        <f t="shared" si="0"/>
        <v>0</v>
      </c>
    </row>
    <row r="57" spans="1:9" ht="15.6" customHeight="1" x14ac:dyDescent="0.25">
      <c r="A57" s="13">
        <v>53</v>
      </c>
      <c r="B57" s="14" t="s">
        <v>3412</v>
      </c>
      <c r="C57" s="14" t="s">
        <v>3413</v>
      </c>
      <c r="D57" s="46" t="s">
        <v>3413</v>
      </c>
      <c r="E57" s="47" t="s">
        <v>3413</v>
      </c>
      <c r="F57" s="15">
        <v>2</v>
      </c>
      <c r="G57" s="19"/>
      <c r="H57" s="19"/>
      <c r="I57" s="37">
        <f t="shared" si="0"/>
        <v>0</v>
      </c>
    </row>
    <row r="58" spans="1:9" ht="15.6" customHeight="1" x14ac:dyDescent="0.25">
      <c r="A58" s="13">
        <v>54</v>
      </c>
      <c r="B58" s="14" t="s">
        <v>3414</v>
      </c>
      <c r="C58" s="14" t="s">
        <v>3415</v>
      </c>
      <c r="D58" s="46" t="s">
        <v>3415</v>
      </c>
      <c r="E58" s="47" t="s">
        <v>3415</v>
      </c>
      <c r="F58" s="15">
        <v>2.1</v>
      </c>
      <c r="G58" s="19"/>
      <c r="H58" s="19"/>
      <c r="I58" s="37">
        <f t="shared" si="0"/>
        <v>0</v>
      </c>
    </row>
    <row r="59" spans="1:9" ht="15.6" customHeight="1" x14ac:dyDescent="0.25">
      <c r="A59" s="13">
        <v>55</v>
      </c>
      <c r="B59" s="14" t="s">
        <v>3416</v>
      </c>
      <c r="C59" s="14" t="s">
        <v>3417</v>
      </c>
      <c r="D59" s="46" t="s">
        <v>3417</v>
      </c>
      <c r="E59" s="47" t="s">
        <v>3417</v>
      </c>
      <c r="F59" s="15">
        <v>5.6</v>
      </c>
      <c r="G59" s="19"/>
      <c r="H59" s="19"/>
      <c r="I59" s="37">
        <f t="shared" si="0"/>
        <v>0</v>
      </c>
    </row>
    <row r="60" spans="1:9" ht="15.6" customHeight="1" x14ac:dyDescent="0.25">
      <c r="A60" s="13">
        <v>56</v>
      </c>
      <c r="B60" s="14" t="s">
        <v>3418</v>
      </c>
      <c r="C60" s="14" t="s">
        <v>3419</v>
      </c>
      <c r="D60" s="46" t="s">
        <v>3419</v>
      </c>
      <c r="E60" s="47" t="s">
        <v>3419</v>
      </c>
      <c r="F60" s="15">
        <v>2.1</v>
      </c>
      <c r="G60" s="19"/>
      <c r="H60" s="19"/>
      <c r="I60" s="37">
        <f t="shared" si="0"/>
        <v>0</v>
      </c>
    </row>
    <row r="61" spans="1:9" ht="15.6" customHeight="1" x14ac:dyDescent="0.25">
      <c r="A61" s="13">
        <v>57</v>
      </c>
      <c r="B61" s="14" t="s">
        <v>3420</v>
      </c>
      <c r="C61" s="14" t="s">
        <v>3421</v>
      </c>
      <c r="D61" s="46" t="s">
        <v>3421</v>
      </c>
      <c r="E61" s="47" t="s">
        <v>3421</v>
      </c>
      <c r="F61" s="15">
        <v>0</v>
      </c>
      <c r="G61" s="19"/>
      <c r="H61" s="19"/>
      <c r="I61" s="37" t="e">
        <f t="shared" si="0"/>
        <v>#DIV/0!</v>
      </c>
    </row>
    <row r="62" spans="1:9" ht="15.6" customHeight="1" x14ac:dyDescent="0.25">
      <c r="A62" s="13">
        <v>58</v>
      </c>
      <c r="B62" s="14" t="s">
        <v>3422</v>
      </c>
      <c r="C62" s="14" t="s">
        <v>3423</v>
      </c>
      <c r="D62" s="46" t="s">
        <v>3423</v>
      </c>
      <c r="E62" s="47" t="s">
        <v>3423</v>
      </c>
      <c r="F62" s="15">
        <v>0</v>
      </c>
      <c r="G62" s="19"/>
      <c r="H62" s="19"/>
      <c r="I62" s="37" t="e">
        <f t="shared" si="0"/>
        <v>#DIV/0!</v>
      </c>
    </row>
    <row r="63" spans="1:9" ht="15.6" customHeight="1" x14ac:dyDescent="0.25">
      <c r="A63" s="13">
        <v>59</v>
      </c>
      <c r="B63" s="14" t="s">
        <v>3424</v>
      </c>
      <c r="C63" s="14" t="s">
        <v>3425</v>
      </c>
      <c r="D63" s="46" t="s">
        <v>3425</v>
      </c>
      <c r="E63" s="47" t="s">
        <v>3425</v>
      </c>
      <c r="F63" s="15">
        <v>10</v>
      </c>
      <c r="G63" s="19"/>
      <c r="H63" s="19"/>
      <c r="I63" s="37">
        <f t="shared" si="0"/>
        <v>0</v>
      </c>
    </row>
    <row r="64" spans="1:9" ht="15.6" customHeight="1" x14ac:dyDescent="0.25">
      <c r="A64" s="13">
        <v>60</v>
      </c>
      <c r="B64" s="14" t="s">
        <v>3426</v>
      </c>
      <c r="C64" s="14" t="s">
        <v>3427</v>
      </c>
      <c r="D64" s="46" t="s">
        <v>3427</v>
      </c>
      <c r="E64" s="47" t="s">
        <v>3427</v>
      </c>
      <c r="F64" s="15">
        <v>3.2</v>
      </c>
      <c r="G64" s="19"/>
      <c r="H64" s="19"/>
      <c r="I64" s="37">
        <f t="shared" si="0"/>
        <v>0</v>
      </c>
    </row>
    <row r="65" spans="1:9" ht="15.6" customHeight="1" x14ac:dyDescent="0.25">
      <c r="A65" s="13">
        <v>61</v>
      </c>
      <c r="B65" s="14" t="s">
        <v>3428</v>
      </c>
      <c r="C65" s="14" t="s">
        <v>3429</v>
      </c>
      <c r="D65" s="46" t="s">
        <v>3429</v>
      </c>
      <c r="E65" s="47" t="s">
        <v>3429</v>
      </c>
      <c r="F65" s="15">
        <v>0</v>
      </c>
      <c r="G65" s="19"/>
      <c r="H65" s="19"/>
      <c r="I65" s="37" t="e">
        <f t="shared" si="0"/>
        <v>#DIV/0!</v>
      </c>
    </row>
    <row r="66" spans="1:9" ht="15.6" customHeight="1" x14ac:dyDescent="0.25">
      <c r="A66" s="13">
        <v>62</v>
      </c>
      <c r="B66" s="14" t="s">
        <v>3430</v>
      </c>
      <c r="C66" s="14" t="s">
        <v>3431</v>
      </c>
      <c r="D66" s="46" t="s">
        <v>3431</v>
      </c>
      <c r="E66" s="47" t="s">
        <v>3431</v>
      </c>
      <c r="F66" s="15">
        <v>1</v>
      </c>
      <c r="G66" s="19"/>
      <c r="H66" s="19"/>
      <c r="I66" s="37">
        <f t="shared" si="0"/>
        <v>0</v>
      </c>
    </row>
    <row r="67" spans="1:9" ht="15.6" customHeight="1" x14ac:dyDescent="0.25">
      <c r="A67" s="13">
        <v>63</v>
      </c>
      <c r="B67" s="14" t="s">
        <v>3432</v>
      </c>
      <c r="C67" s="14" t="s">
        <v>3433</v>
      </c>
      <c r="D67" s="46" t="s">
        <v>3433</v>
      </c>
      <c r="E67" s="47" t="s">
        <v>3433</v>
      </c>
      <c r="F67" s="15">
        <v>0</v>
      </c>
      <c r="G67" s="19"/>
      <c r="H67" s="19"/>
      <c r="I67" s="37" t="e">
        <f t="shared" si="0"/>
        <v>#DIV/0!</v>
      </c>
    </row>
    <row r="68" spans="1:9" ht="15.6" customHeight="1" x14ac:dyDescent="0.25">
      <c r="A68" s="13">
        <v>64</v>
      </c>
      <c r="B68" s="14" t="s">
        <v>3434</v>
      </c>
      <c r="C68" s="14" t="s">
        <v>3435</v>
      </c>
      <c r="D68" s="46" t="s">
        <v>3435</v>
      </c>
      <c r="E68" s="47" t="s">
        <v>3435</v>
      </c>
      <c r="F68" s="15">
        <v>0</v>
      </c>
      <c r="G68" s="19"/>
      <c r="H68" s="19"/>
      <c r="I68" s="37" t="e">
        <f t="shared" si="0"/>
        <v>#DIV/0!</v>
      </c>
    </row>
    <row r="69" spans="1:9" ht="15.6" customHeight="1" x14ac:dyDescent="0.25">
      <c r="A69" s="13">
        <v>65</v>
      </c>
      <c r="B69" s="14" t="s">
        <v>3436</v>
      </c>
      <c r="C69" s="14" t="s">
        <v>3437</v>
      </c>
      <c r="D69" s="46" t="s">
        <v>3437</v>
      </c>
      <c r="E69" s="47" t="s">
        <v>3437</v>
      </c>
      <c r="F69" s="15">
        <v>0</v>
      </c>
      <c r="G69" s="19"/>
      <c r="H69" s="19"/>
      <c r="I69" s="37" t="e">
        <f t="shared" si="0"/>
        <v>#DIV/0!</v>
      </c>
    </row>
    <row r="70" spans="1:9" ht="15.6" customHeight="1" x14ac:dyDescent="0.25">
      <c r="A70" s="13">
        <v>66</v>
      </c>
      <c r="B70" s="14" t="s">
        <v>3438</v>
      </c>
      <c r="C70" s="14" t="s">
        <v>3439</v>
      </c>
      <c r="D70" s="46" t="s">
        <v>3439</v>
      </c>
      <c r="E70" s="47" t="s">
        <v>3439</v>
      </c>
      <c r="F70" s="15">
        <v>7</v>
      </c>
      <c r="G70" s="19"/>
      <c r="H70" s="19"/>
      <c r="I70" s="37">
        <f t="shared" si="0"/>
        <v>0</v>
      </c>
    </row>
    <row r="71" spans="1:9" ht="15.6" customHeight="1" x14ac:dyDescent="0.25">
      <c r="A71" s="13">
        <v>67</v>
      </c>
      <c r="B71" s="14" t="s">
        <v>3440</v>
      </c>
      <c r="C71" s="14" t="s">
        <v>3441</v>
      </c>
      <c r="D71" s="46" t="s">
        <v>3441</v>
      </c>
      <c r="E71" s="47" t="s">
        <v>3441</v>
      </c>
      <c r="F71" s="15">
        <v>2.8</v>
      </c>
      <c r="G71" s="19"/>
      <c r="H71" s="19"/>
      <c r="I71" s="37">
        <f t="shared" si="0"/>
        <v>0</v>
      </c>
    </row>
    <row r="72" spans="1:9" ht="15.6" customHeight="1" x14ac:dyDescent="0.25">
      <c r="A72" s="13">
        <v>68</v>
      </c>
      <c r="B72" s="14" t="s">
        <v>3442</v>
      </c>
      <c r="C72" s="14" t="s">
        <v>3443</v>
      </c>
      <c r="D72" s="46" t="s">
        <v>3443</v>
      </c>
      <c r="E72" s="47" t="s">
        <v>3443</v>
      </c>
      <c r="F72" s="15">
        <v>2.1</v>
      </c>
      <c r="G72" s="19"/>
      <c r="H72" s="19"/>
      <c r="I72" s="37">
        <f t="shared" si="0"/>
        <v>0</v>
      </c>
    </row>
    <row r="73" spans="1:9" ht="15.6" customHeight="1" x14ac:dyDescent="0.25">
      <c r="A73" s="13">
        <v>69</v>
      </c>
      <c r="B73" s="14" t="s">
        <v>3444</v>
      </c>
      <c r="C73" s="14" t="s">
        <v>3445</v>
      </c>
      <c r="D73" s="46" t="s">
        <v>3445</v>
      </c>
      <c r="E73" s="47" t="s">
        <v>3445</v>
      </c>
      <c r="F73" s="15">
        <v>2.6</v>
      </c>
      <c r="G73" s="19"/>
      <c r="H73" s="19"/>
      <c r="I73" s="37">
        <f t="shared" si="0"/>
        <v>0</v>
      </c>
    </row>
    <row r="74" spans="1:9" ht="15.6" customHeight="1" x14ac:dyDescent="0.25">
      <c r="A74" s="13">
        <v>70</v>
      </c>
      <c r="B74" s="14" t="s">
        <v>3446</v>
      </c>
      <c r="C74" s="14" t="s">
        <v>3447</v>
      </c>
      <c r="D74" s="46" t="s">
        <v>3447</v>
      </c>
      <c r="E74" s="47" t="s">
        <v>3447</v>
      </c>
      <c r="F74" s="15">
        <v>1</v>
      </c>
      <c r="G74" s="19"/>
      <c r="H74" s="19"/>
      <c r="I74" s="37">
        <f t="shared" si="0"/>
        <v>0</v>
      </c>
    </row>
    <row r="75" spans="1:9" ht="15.6" customHeight="1" x14ac:dyDescent="0.25">
      <c r="A75" s="13">
        <v>71</v>
      </c>
      <c r="B75" s="14" t="s">
        <v>3448</v>
      </c>
      <c r="C75" s="14" t="s">
        <v>3449</v>
      </c>
      <c r="D75" s="46" t="s">
        <v>3449</v>
      </c>
      <c r="E75" s="47" t="s">
        <v>3449</v>
      </c>
      <c r="F75" s="15">
        <v>5.2</v>
      </c>
      <c r="G75" s="19"/>
      <c r="H75" s="19"/>
      <c r="I75" s="37">
        <f t="shared" si="0"/>
        <v>0</v>
      </c>
    </row>
    <row r="76" spans="1:9" ht="15.6" customHeight="1" x14ac:dyDescent="0.25">
      <c r="A76" s="13">
        <v>72</v>
      </c>
      <c r="B76" s="14" t="s">
        <v>3450</v>
      </c>
      <c r="C76" s="14" t="s">
        <v>3451</v>
      </c>
      <c r="D76" s="46" t="s">
        <v>3451</v>
      </c>
      <c r="E76" s="47" t="s">
        <v>3451</v>
      </c>
      <c r="F76" s="15">
        <v>1</v>
      </c>
      <c r="G76" s="19"/>
      <c r="H76" s="19"/>
      <c r="I76" s="37">
        <f t="shared" si="0"/>
        <v>0</v>
      </c>
    </row>
    <row r="77" spans="1:9" ht="15.6" customHeight="1" x14ac:dyDescent="0.25">
      <c r="A77" s="13">
        <v>73</v>
      </c>
      <c r="B77" s="14" t="s">
        <v>3452</v>
      </c>
      <c r="C77" s="14" t="s">
        <v>3453</v>
      </c>
      <c r="D77" s="46" t="s">
        <v>3453</v>
      </c>
      <c r="E77" s="47" t="s">
        <v>3453</v>
      </c>
      <c r="F77" s="15">
        <v>1</v>
      </c>
      <c r="G77" s="19"/>
      <c r="H77" s="19"/>
      <c r="I77" s="37">
        <f t="shared" si="0"/>
        <v>0</v>
      </c>
    </row>
    <row r="78" spans="1:9" ht="15.6" customHeight="1" x14ac:dyDescent="0.25">
      <c r="A78" s="13">
        <v>74</v>
      </c>
      <c r="B78" s="14" t="s">
        <v>3454</v>
      </c>
      <c r="C78" s="14" t="s">
        <v>3455</v>
      </c>
      <c r="D78" s="46" t="s">
        <v>3455</v>
      </c>
      <c r="E78" s="47" t="s">
        <v>3455</v>
      </c>
      <c r="F78" s="15">
        <v>0</v>
      </c>
      <c r="G78" s="19"/>
      <c r="H78" s="19"/>
      <c r="I78" s="37" t="e">
        <f t="shared" si="0"/>
        <v>#DIV/0!</v>
      </c>
    </row>
    <row r="79" spans="1:9" ht="15.6" customHeight="1" x14ac:dyDescent="0.25">
      <c r="A79" s="13">
        <v>75</v>
      </c>
      <c r="B79" s="14" t="s">
        <v>3456</v>
      </c>
      <c r="C79" s="14" t="s">
        <v>3457</v>
      </c>
      <c r="D79" s="46" t="s">
        <v>3457</v>
      </c>
      <c r="E79" s="47" t="s">
        <v>3457</v>
      </c>
      <c r="F79" s="15">
        <v>0</v>
      </c>
      <c r="G79" s="19"/>
      <c r="H79" s="19"/>
      <c r="I79" s="37" t="e">
        <f t="shared" si="0"/>
        <v>#DIV/0!</v>
      </c>
    </row>
    <row r="80" spans="1:9" ht="15.6" customHeight="1" x14ac:dyDescent="0.25">
      <c r="A80" s="13">
        <v>76</v>
      </c>
      <c r="B80" s="14" t="s">
        <v>3458</v>
      </c>
      <c r="C80" s="14" t="s">
        <v>243</v>
      </c>
      <c r="D80" s="46" t="s">
        <v>243</v>
      </c>
      <c r="E80" s="47" t="s">
        <v>243</v>
      </c>
      <c r="F80" s="15">
        <v>12</v>
      </c>
      <c r="G80" s="19"/>
      <c r="H80" s="19"/>
      <c r="I80" s="37">
        <f t="shared" si="0"/>
        <v>0</v>
      </c>
    </row>
    <row r="81" spans="1:9" ht="15.6" customHeight="1" x14ac:dyDescent="0.25">
      <c r="A81" s="13">
        <v>77</v>
      </c>
      <c r="B81" s="14" t="s">
        <v>3459</v>
      </c>
      <c r="C81" s="14" t="s">
        <v>3460</v>
      </c>
      <c r="D81" s="46" t="s">
        <v>270</v>
      </c>
      <c r="E81" s="47" t="s">
        <v>270</v>
      </c>
      <c r="F81" s="15">
        <v>0.5</v>
      </c>
      <c r="G81" s="19"/>
      <c r="H81" s="19"/>
      <c r="I81" s="37">
        <f t="shared" si="0"/>
        <v>0</v>
      </c>
    </row>
    <row r="82" spans="1:9" ht="15.6" customHeight="1" x14ac:dyDescent="0.25">
      <c r="A82" s="13">
        <v>78</v>
      </c>
      <c r="B82" s="14" t="s">
        <v>3461</v>
      </c>
      <c r="C82" s="14" t="s">
        <v>3462</v>
      </c>
      <c r="D82" s="46" t="s">
        <v>270</v>
      </c>
      <c r="E82" s="47" t="s">
        <v>270</v>
      </c>
      <c r="F82" s="15">
        <v>0.5</v>
      </c>
      <c r="G82" s="19"/>
      <c r="H82" s="19"/>
      <c r="I82" s="37">
        <f t="shared" si="0"/>
        <v>0</v>
      </c>
    </row>
    <row r="83" spans="1:9" ht="15.6" customHeight="1" x14ac:dyDescent="0.25">
      <c r="A83" s="13">
        <v>79</v>
      </c>
      <c r="B83" s="14" t="s">
        <v>3463</v>
      </c>
      <c r="C83" s="14" t="s">
        <v>3464</v>
      </c>
      <c r="D83" s="46" t="s">
        <v>243</v>
      </c>
      <c r="E83" s="47" t="s">
        <v>243</v>
      </c>
      <c r="F83" s="15">
        <v>1.5</v>
      </c>
      <c r="G83" s="19"/>
      <c r="H83" s="19"/>
      <c r="I83" s="37">
        <f t="shared" si="0"/>
        <v>0</v>
      </c>
    </row>
    <row r="84" spans="1:9" ht="15.6" customHeight="1" x14ac:dyDescent="0.25">
      <c r="A84" s="13">
        <v>80</v>
      </c>
      <c r="B84" s="14" t="s">
        <v>3465</v>
      </c>
      <c r="C84" s="14" t="s">
        <v>3464</v>
      </c>
      <c r="D84" s="46" t="s">
        <v>270</v>
      </c>
      <c r="E84" s="47" t="s">
        <v>270</v>
      </c>
      <c r="F84" s="15">
        <v>0.5</v>
      </c>
      <c r="G84" s="19"/>
      <c r="H84" s="19"/>
      <c r="I84" s="37">
        <f t="shared" si="0"/>
        <v>0</v>
      </c>
    </row>
    <row r="85" spans="1:9" ht="15.6" customHeight="1" x14ac:dyDescent="0.25">
      <c r="A85" s="13">
        <v>81</v>
      </c>
      <c r="B85" s="14" t="s">
        <v>3466</v>
      </c>
      <c r="C85" s="14" t="s">
        <v>3467</v>
      </c>
      <c r="D85" s="46" t="s">
        <v>243</v>
      </c>
      <c r="E85" s="47" t="s">
        <v>243</v>
      </c>
      <c r="F85" s="15">
        <v>0</v>
      </c>
      <c r="G85" s="19"/>
      <c r="H85" s="19"/>
      <c r="I85" s="37" t="e">
        <f t="shared" si="0"/>
        <v>#DIV/0!</v>
      </c>
    </row>
    <row r="86" spans="1:9" ht="15.6" customHeight="1" x14ac:dyDescent="0.25">
      <c r="A86" s="13">
        <v>82</v>
      </c>
      <c r="B86" s="14" t="s">
        <v>3468</v>
      </c>
      <c r="C86" s="14" t="s">
        <v>3469</v>
      </c>
      <c r="D86" s="46" t="s">
        <v>270</v>
      </c>
      <c r="E86" s="47" t="s">
        <v>270</v>
      </c>
      <c r="F86" s="15">
        <v>0.5</v>
      </c>
      <c r="G86" s="19"/>
      <c r="H86" s="19"/>
      <c r="I86" s="37">
        <f t="shared" si="0"/>
        <v>0</v>
      </c>
    </row>
    <row r="87" spans="1:9" ht="15.6" customHeight="1" x14ac:dyDescent="0.25">
      <c r="A87" s="13">
        <v>83</v>
      </c>
      <c r="B87" s="14" t="s">
        <v>3470</v>
      </c>
      <c r="C87" s="14" t="s">
        <v>3471</v>
      </c>
      <c r="D87" s="46" t="s">
        <v>243</v>
      </c>
      <c r="E87" s="47" t="s">
        <v>243</v>
      </c>
      <c r="F87" s="15">
        <v>0</v>
      </c>
      <c r="G87" s="19"/>
      <c r="H87" s="19"/>
      <c r="I87" s="37" t="e">
        <f t="shared" si="0"/>
        <v>#DIV/0!</v>
      </c>
    </row>
    <row r="88" spans="1:9" ht="15.6" customHeight="1" x14ac:dyDescent="0.25">
      <c r="A88" s="13">
        <v>84</v>
      </c>
      <c r="B88" s="14" t="s">
        <v>3472</v>
      </c>
      <c r="C88" s="14" t="s">
        <v>3473</v>
      </c>
      <c r="D88" s="46" t="s">
        <v>270</v>
      </c>
      <c r="E88" s="47" t="s">
        <v>270</v>
      </c>
      <c r="F88" s="15">
        <v>0.5</v>
      </c>
      <c r="G88" s="19"/>
      <c r="H88" s="19"/>
      <c r="I88" s="37">
        <f t="shared" si="0"/>
        <v>0</v>
      </c>
    </row>
    <row r="89" spans="1:9" ht="15.6" customHeight="1" x14ac:dyDescent="0.25">
      <c r="A89" s="13">
        <v>85</v>
      </c>
      <c r="B89" s="14" t="s">
        <v>3474</v>
      </c>
      <c r="C89" s="14" t="s">
        <v>3475</v>
      </c>
      <c r="D89" s="46" t="s">
        <v>3476</v>
      </c>
      <c r="E89" s="47" t="s">
        <v>3476</v>
      </c>
      <c r="F89" s="15">
        <v>1.5</v>
      </c>
      <c r="G89" s="19"/>
      <c r="H89" s="19"/>
      <c r="I89" s="37">
        <f t="shared" si="0"/>
        <v>0</v>
      </c>
    </row>
    <row r="90" spans="1:9" ht="15.6" customHeight="1" x14ac:dyDescent="0.25">
      <c r="A90" s="13">
        <v>86</v>
      </c>
      <c r="B90" s="14" t="s">
        <v>3477</v>
      </c>
      <c r="C90" s="14" t="s">
        <v>3478</v>
      </c>
      <c r="D90" s="46" t="s">
        <v>243</v>
      </c>
      <c r="E90" s="47" t="s">
        <v>243</v>
      </c>
      <c r="F90" s="15">
        <v>0</v>
      </c>
      <c r="G90" s="19"/>
      <c r="H90" s="19"/>
      <c r="I90" s="37" t="e">
        <f t="shared" si="0"/>
        <v>#DIV/0!</v>
      </c>
    </row>
    <row r="91" spans="1:9" ht="15.6" customHeight="1" x14ac:dyDescent="0.25">
      <c r="A91" s="13">
        <v>87</v>
      </c>
      <c r="B91" s="14" t="s">
        <v>3479</v>
      </c>
      <c r="C91" s="14" t="s">
        <v>3480</v>
      </c>
      <c r="D91" s="46" t="s">
        <v>270</v>
      </c>
      <c r="E91" s="47" t="s">
        <v>270</v>
      </c>
      <c r="F91" s="15">
        <v>0.5</v>
      </c>
      <c r="G91" s="19"/>
      <c r="H91" s="19"/>
      <c r="I91" s="37">
        <f t="shared" si="0"/>
        <v>0</v>
      </c>
    </row>
    <row r="92" spans="1:9" ht="15.6" customHeight="1" x14ac:dyDescent="0.25">
      <c r="A92" s="13">
        <v>88</v>
      </c>
      <c r="B92" s="14" t="s">
        <v>3481</v>
      </c>
      <c r="C92" s="14" t="s">
        <v>3482</v>
      </c>
      <c r="D92" s="46" t="s">
        <v>243</v>
      </c>
      <c r="E92" s="47" t="s">
        <v>243</v>
      </c>
      <c r="F92" s="15">
        <v>3</v>
      </c>
      <c r="G92" s="19"/>
      <c r="H92" s="19"/>
      <c r="I92" s="37">
        <f t="shared" si="0"/>
        <v>0</v>
      </c>
    </row>
    <row r="93" spans="1:9" ht="15.6" customHeight="1" x14ac:dyDescent="0.25">
      <c r="A93" s="13">
        <v>89</v>
      </c>
      <c r="B93" s="14" t="s">
        <v>3483</v>
      </c>
      <c r="C93" s="14" t="s">
        <v>3484</v>
      </c>
      <c r="D93" s="46" t="s">
        <v>243</v>
      </c>
      <c r="E93" s="47" t="s">
        <v>243</v>
      </c>
      <c r="F93" s="15">
        <v>1</v>
      </c>
      <c r="G93" s="19"/>
      <c r="H93" s="19"/>
      <c r="I93" s="37">
        <f t="shared" si="0"/>
        <v>0</v>
      </c>
    </row>
    <row r="94" spans="1:9" ht="15.6" customHeight="1" x14ac:dyDescent="0.25">
      <c r="A94" s="13">
        <v>90</v>
      </c>
      <c r="B94" s="14" t="s">
        <v>3485</v>
      </c>
      <c r="C94" s="14" t="s">
        <v>3486</v>
      </c>
      <c r="D94" s="46" t="s">
        <v>243</v>
      </c>
      <c r="E94" s="47" t="s">
        <v>243</v>
      </c>
      <c r="F94" s="15">
        <v>1</v>
      </c>
      <c r="G94" s="19"/>
      <c r="H94" s="19"/>
      <c r="I94" s="37">
        <f t="shared" si="0"/>
        <v>0</v>
      </c>
    </row>
    <row r="95" spans="1:9" ht="15.6" customHeight="1" x14ac:dyDescent="0.25">
      <c r="A95" s="13">
        <v>91</v>
      </c>
      <c r="B95" s="14" t="s">
        <v>3487</v>
      </c>
      <c r="C95" s="14" t="s">
        <v>3488</v>
      </c>
      <c r="D95" s="46" t="s">
        <v>270</v>
      </c>
      <c r="E95" s="47" t="s">
        <v>270</v>
      </c>
      <c r="F95" s="15">
        <v>0</v>
      </c>
      <c r="G95" s="19"/>
      <c r="H95" s="19"/>
      <c r="I95" s="37" t="e">
        <f t="shared" si="0"/>
        <v>#DIV/0!</v>
      </c>
    </row>
    <row r="96" spans="1:9" ht="15.6" customHeight="1" x14ac:dyDescent="0.25">
      <c r="A96" s="13">
        <v>92</v>
      </c>
      <c r="B96" s="14" t="s">
        <v>3489</v>
      </c>
      <c r="C96" s="14" t="s">
        <v>3490</v>
      </c>
      <c r="D96" s="46" t="s">
        <v>270</v>
      </c>
      <c r="E96" s="47" t="s">
        <v>270</v>
      </c>
      <c r="F96" s="15">
        <v>0</v>
      </c>
      <c r="G96" s="19"/>
      <c r="H96" s="19"/>
      <c r="I96" s="37" t="e">
        <f t="shared" si="0"/>
        <v>#DIV/0!</v>
      </c>
    </row>
    <row r="97" spans="1:9" ht="15.6" customHeight="1" x14ac:dyDescent="0.25">
      <c r="A97" s="13">
        <v>93</v>
      </c>
      <c r="B97" s="14" t="s">
        <v>3491</v>
      </c>
      <c r="C97" s="14" t="s">
        <v>3492</v>
      </c>
      <c r="D97" s="46" t="s">
        <v>270</v>
      </c>
      <c r="E97" s="47" t="s">
        <v>270</v>
      </c>
      <c r="F97" s="15">
        <v>0</v>
      </c>
      <c r="G97" s="19"/>
      <c r="H97" s="19"/>
      <c r="I97" s="37" t="e">
        <f t="shared" si="0"/>
        <v>#DIV/0!</v>
      </c>
    </row>
    <row r="98" spans="1:9" ht="15.6" customHeight="1" x14ac:dyDescent="0.25">
      <c r="A98" s="13">
        <v>94</v>
      </c>
      <c r="B98" s="14" t="s">
        <v>3493</v>
      </c>
      <c r="C98" s="14" t="s">
        <v>3494</v>
      </c>
      <c r="D98" s="46" t="s">
        <v>243</v>
      </c>
      <c r="E98" s="47" t="s">
        <v>243</v>
      </c>
      <c r="F98" s="15">
        <v>0</v>
      </c>
      <c r="G98" s="19"/>
      <c r="H98" s="19"/>
      <c r="I98" s="37" t="e">
        <f t="shared" si="0"/>
        <v>#DIV/0!</v>
      </c>
    </row>
    <row r="99" spans="1:9" ht="15.6" customHeight="1" x14ac:dyDescent="0.25">
      <c r="A99" s="13">
        <v>95</v>
      </c>
      <c r="B99" s="14" t="s">
        <v>3495</v>
      </c>
      <c r="C99" s="14" t="s">
        <v>3496</v>
      </c>
      <c r="D99" s="46" t="s">
        <v>3497</v>
      </c>
      <c r="E99" s="47" t="s">
        <v>3497</v>
      </c>
      <c r="F99" s="15">
        <v>38</v>
      </c>
      <c r="G99" s="19"/>
      <c r="H99" s="19"/>
      <c r="I99" s="37">
        <f t="shared" si="0"/>
        <v>0</v>
      </c>
    </row>
    <row r="100" spans="1:9" ht="15.6" customHeight="1" x14ac:dyDescent="0.25">
      <c r="A100" s="13">
        <v>96</v>
      </c>
      <c r="B100" s="14" t="s">
        <v>3498</v>
      </c>
      <c r="C100" s="14" t="s">
        <v>3499</v>
      </c>
      <c r="D100" s="46" t="s">
        <v>3500</v>
      </c>
      <c r="E100" s="47" t="s">
        <v>3500</v>
      </c>
      <c r="F100" s="15">
        <v>10.6</v>
      </c>
      <c r="G100" s="19"/>
      <c r="H100" s="19"/>
      <c r="I100" s="37">
        <f t="shared" si="0"/>
        <v>0</v>
      </c>
    </row>
    <row r="101" spans="1:9" ht="15.6" customHeight="1" x14ac:dyDescent="0.25">
      <c r="A101" s="13">
        <v>97</v>
      </c>
      <c r="B101" s="14" t="s">
        <v>3501</v>
      </c>
      <c r="C101" s="14" t="s">
        <v>3502</v>
      </c>
      <c r="D101" s="46" t="s">
        <v>243</v>
      </c>
      <c r="E101" s="47" t="s">
        <v>243</v>
      </c>
      <c r="F101" s="15">
        <v>2</v>
      </c>
      <c r="G101" s="19"/>
      <c r="H101" s="19"/>
      <c r="I101" s="37">
        <f t="shared" si="0"/>
        <v>0</v>
      </c>
    </row>
    <row r="102" spans="1:9" ht="15.6" customHeight="1" x14ac:dyDescent="0.25">
      <c r="A102" s="13">
        <v>98</v>
      </c>
      <c r="B102" s="14" t="s">
        <v>3503</v>
      </c>
      <c r="C102" s="14" t="s">
        <v>294</v>
      </c>
      <c r="D102" s="46" t="s">
        <v>243</v>
      </c>
      <c r="E102" s="47" t="s">
        <v>243</v>
      </c>
      <c r="F102" s="15">
        <v>7</v>
      </c>
      <c r="G102" s="19"/>
      <c r="H102" s="19"/>
      <c r="I102" s="37">
        <f t="shared" si="0"/>
        <v>0</v>
      </c>
    </row>
    <row r="103" spans="1:9" ht="15.6" customHeight="1" x14ac:dyDescent="0.25">
      <c r="A103" s="13">
        <v>99</v>
      </c>
      <c r="B103" s="14" t="s">
        <v>3504</v>
      </c>
      <c r="C103" s="14" t="s">
        <v>3505</v>
      </c>
      <c r="D103" s="46" t="s">
        <v>243</v>
      </c>
      <c r="E103" s="47" t="s">
        <v>243</v>
      </c>
      <c r="F103" s="15">
        <v>1.5</v>
      </c>
      <c r="G103" s="19"/>
      <c r="H103" s="19"/>
      <c r="I103" s="37">
        <f t="shared" si="0"/>
        <v>0</v>
      </c>
    </row>
    <row r="104" spans="1:9" ht="15.6" customHeight="1" x14ac:dyDescent="0.25">
      <c r="A104" s="13">
        <v>100</v>
      </c>
      <c r="B104" s="14" t="s">
        <v>3506</v>
      </c>
      <c r="C104" s="14" t="s">
        <v>3507</v>
      </c>
      <c r="D104" s="46" t="s">
        <v>243</v>
      </c>
      <c r="E104" s="47" t="s">
        <v>243</v>
      </c>
      <c r="F104" s="15">
        <v>3</v>
      </c>
      <c r="G104" s="19"/>
      <c r="H104" s="19"/>
      <c r="I104" s="37">
        <f t="shared" si="0"/>
        <v>0</v>
      </c>
    </row>
    <row r="105" spans="1:9" ht="15.6" customHeight="1" x14ac:dyDescent="0.25">
      <c r="A105" s="13">
        <v>101</v>
      </c>
      <c r="B105" s="14" t="s">
        <v>3508</v>
      </c>
      <c r="C105" s="14" t="s">
        <v>3509</v>
      </c>
      <c r="D105" s="46" t="s">
        <v>243</v>
      </c>
      <c r="E105" s="47" t="s">
        <v>243</v>
      </c>
      <c r="F105" s="15">
        <v>0</v>
      </c>
      <c r="G105" s="19"/>
      <c r="H105" s="19"/>
      <c r="I105" s="37" t="e">
        <f t="shared" si="0"/>
        <v>#DIV/0!</v>
      </c>
    </row>
    <row r="106" spans="1:9" ht="15.6" customHeight="1" x14ac:dyDescent="0.25">
      <c r="A106" s="13">
        <v>102</v>
      </c>
      <c r="B106" s="14" t="s">
        <v>3510</v>
      </c>
      <c r="C106" s="14" t="s">
        <v>3511</v>
      </c>
      <c r="D106" s="46" t="s">
        <v>243</v>
      </c>
      <c r="E106" s="47" t="s">
        <v>243</v>
      </c>
      <c r="F106" s="15">
        <v>2</v>
      </c>
      <c r="G106" s="19"/>
      <c r="H106" s="19"/>
      <c r="I106" s="37">
        <f t="shared" si="0"/>
        <v>0</v>
      </c>
    </row>
    <row r="107" spans="1:9" ht="15.6" customHeight="1" x14ac:dyDescent="0.25">
      <c r="A107" s="13">
        <v>103</v>
      </c>
      <c r="B107" s="14" t="s">
        <v>3512</v>
      </c>
      <c r="C107" s="14" t="s">
        <v>3513</v>
      </c>
      <c r="D107" s="46" t="s">
        <v>270</v>
      </c>
      <c r="E107" s="47" t="s">
        <v>270</v>
      </c>
      <c r="F107" s="15">
        <v>3.1</v>
      </c>
      <c r="G107" s="19"/>
      <c r="H107" s="19"/>
      <c r="I107" s="37">
        <f t="shared" si="0"/>
        <v>0</v>
      </c>
    </row>
    <row r="108" spans="1:9" ht="15.6" customHeight="1" x14ac:dyDescent="0.25">
      <c r="A108" s="13">
        <v>104</v>
      </c>
      <c r="B108" s="14" t="s">
        <v>3514</v>
      </c>
      <c r="C108" s="14" t="s">
        <v>3515</v>
      </c>
      <c r="D108" s="46" t="s">
        <v>270</v>
      </c>
      <c r="E108" s="47" t="s">
        <v>270</v>
      </c>
      <c r="F108" s="15">
        <v>4</v>
      </c>
      <c r="G108" s="19"/>
      <c r="H108" s="19"/>
      <c r="I108" s="37">
        <f t="shared" si="0"/>
        <v>0</v>
      </c>
    </row>
    <row r="109" spans="1:9" ht="15.6" customHeight="1" x14ac:dyDescent="0.25">
      <c r="A109" s="13">
        <v>105</v>
      </c>
      <c r="B109" s="14" t="s">
        <v>3516</v>
      </c>
      <c r="C109" s="14" t="s">
        <v>3517</v>
      </c>
      <c r="D109" s="46" t="s">
        <v>119</v>
      </c>
      <c r="E109" s="47" t="s">
        <v>119</v>
      </c>
      <c r="F109" s="15">
        <v>0</v>
      </c>
      <c r="G109" s="19"/>
      <c r="H109" s="19"/>
      <c r="I109" s="37" t="e">
        <f t="shared" si="0"/>
        <v>#DIV/0!</v>
      </c>
    </row>
    <row r="110" spans="1:9" ht="15.6" customHeight="1" x14ac:dyDescent="0.25">
      <c r="A110" s="13">
        <v>106</v>
      </c>
      <c r="B110" s="14" t="s">
        <v>3518</v>
      </c>
      <c r="C110" s="14" t="s">
        <v>3519</v>
      </c>
      <c r="D110" s="46" t="s">
        <v>699</v>
      </c>
      <c r="E110" s="47" t="s">
        <v>699</v>
      </c>
      <c r="F110" s="15">
        <v>20.100000000000001</v>
      </c>
      <c r="G110" s="19"/>
      <c r="H110" s="19"/>
      <c r="I110" s="37">
        <f t="shared" si="0"/>
        <v>0</v>
      </c>
    </row>
    <row r="111" spans="1:9" ht="15.6" customHeight="1" x14ac:dyDescent="0.25">
      <c r="A111" s="13">
        <v>107</v>
      </c>
      <c r="B111" s="14" t="s">
        <v>3520</v>
      </c>
      <c r="C111" s="14" t="s">
        <v>3521</v>
      </c>
      <c r="D111" s="46" t="s">
        <v>699</v>
      </c>
      <c r="E111" s="47" t="s">
        <v>699</v>
      </c>
      <c r="F111" s="15">
        <v>11.6</v>
      </c>
      <c r="G111" s="19"/>
      <c r="H111" s="19"/>
      <c r="I111" s="37">
        <f t="shared" si="0"/>
        <v>0</v>
      </c>
    </row>
    <row r="112" spans="1:9" ht="15.6" customHeight="1" x14ac:dyDescent="0.25">
      <c r="A112" s="13">
        <v>108</v>
      </c>
      <c r="B112" s="14" t="s">
        <v>3522</v>
      </c>
      <c r="C112" s="14" t="s">
        <v>3523</v>
      </c>
      <c r="D112" s="46" t="s">
        <v>270</v>
      </c>
      <c r="E112" s="47" t="s">
        <v>270</v>
      </c>
      <c r="F112" s="15">
        <v>0</v>
      </c>
      <c r="G112" s="19"/>
      <c r="H112" s="19"/>
      <c r="I112" s="37" t="e">
        <f t="shared" si="0"/>
        <v>#DIV/0!</v>
      </c>
    </row>
    <row r="113" spans="1:9" ht="15.6" customHeight="1" x14ac:dyDescent="0.25">
      <c r="A113" s="13">
        <v>109</v>
      </c>
      <c r="B113" s="14" t="s">
        <v>3524</v>
      </c>
      <c r="C113" s="14" t="s">
        <v>3525</v>
      </c>
      <c r="D113" s="46"/>
      <c r="E113" s="47"/>
      <c r="F113" s="15">
        <v>4.7</v>
      </c>
      <c r="G113" s="19"/>
      <c r="H113" s="19"/>
      <c r="I113" s="37">
        <f t="shared" si="0"/>
        <v>0</v>
      </c>
    </row>
    <row r="114" spans="1:9" ht="15.6" customHeight="1" x14ac:dyDescent="0.25">
      <c r="A114" s="13">
        <v>110</v>
      </c>
      <c r="B114" s="14" t="s">
        <v>3526</v>
      </c>
      <c r="C114" s="14" t="s">
        <v>3527</v>
      </c>
      <c r="D114" s="46"/>
      <c r="E114" s="47"/>
      <c r="F114" s="15">
        <v>0</v>
      </c>
      <c r="G114" s="19"/>
      <c r="H114" s="19"/>
      <c r="I114" s="37" t="e">
        <f t="shared" si="0"/>
        <v>#DIV/0!</v>
      </c>
    </row>
    <row r="115" spans="1:9" ht="15.6" customHeight="1" x14ac:dyDescent="0.25">
      <c r="A115" s="13">
        <v>111</v>
      </c>
      <c r="B115" s="14" t="s">
        <v>3528</v>
      </c>
      <c r="C115" s="14" t="s">
        <v>3529</v>
      </c>
      <c r="D115" s="46"/>
      <c r="E115" s="47"/>
      <c r="F115" s="15">
        <v>0</v>
      </c>
      <c r="G115" s="19"/>
      <c r="H115" s="19"/>
      <c r="I115" s="37" t="e">
        <f t="shared" si="0"/>
        <v>#DIV/0!</v>
      </c>
    </row>
    <row r="116" spans="1:9" ht="15.6" customHeight="1" x14ac:dyDescent="0.25">
      <c r="A116" s="13">
        <v>112</v>
      </c>
      <c r="B116" s="14" t="s">
        <v>3530</v>
      </c>
      <c r="C116" s="14" t="s">
        <v>3531</v>
      </c>
      <c r="D116" s="46"/>
      <c r="E116" s="47"/>
      <c r="F116" s="15">
        <v>0</v>
      </c>
      <c r="G116" s="19"/>
      <c r="H116" s="19"/>
      <c r="I116" s="37" t="e">
        <f t="shared" si="0"/>
        <v>#DIV/0!</v>
      </c>
    </row>
    <row r="117" spans="1:9" ht="16.8" customHeight="1" x14ac:dyDescent="0.25">
      <c r="A117" s="39" t="s">
        <v>1769</v>
      </c>
      <c r="B117" s="39"/>
      <c r="C117" s="39"/>
      <c r="D117" s="54" t="s">
        <v>3532</v>
      </c>
      <c r="E117" s="56"/>
      <c r="F117" s="12">
        <f>SUM(F5:F116)</f>
        <v>384.8</v>
      </c>
      <c r="G117" s="20"/>
      <c r="H117" s="12">
        <f>SUM(H5:H116)</f>
        <v>0</v>
      </c>
      <c r="I117" s="38">
        <f t="shared" si="0"/>
        <v>0</v>
      </c>
    </row>
    <row r="119" spans="1:9" ht="15" x14ac:dyDescent="0.25">
      <c r="A119" s="17" t="s">
        <v>1766</v>
      </c>
    </row>
    <row r="121" spans="1:9" s="18" customFormat="1" ht="17.399999999999999" customHeight="1" x14ac:dyDescent="0.25">
      <c r="A121" s="39" t="s">
        <v>0</v>
      </c>
      <c r="B121" s="41" t="s">
        <v>1761</v>
      </c>
      <c r="C121" s="41"/>
      <c r="D121" s="42" t="s">
        <v>1763</v>
      </c>
      <c r="E121" s="43"/>
      <c r="F121" s="41" t="s">
        <v>1768</v>
      </c>
      <c r="G121" s="40" t="s">
        <v>1772</v>
      </c>
      <c r="H121" s="39" t="s">
        <v>1773</v>
      </c>
      <c r="I121" s="39"/>
    </row>
    <row r="122" spans="1:9" s="18" customFormat="1" ht="17.399999999999999" customHeight="1" x14ac:dyDescent="0.25">
      <c r="A122" s="39"/>
      <c r="B122" s="11" t="s">
        <v>1</v>
      </c>
      <c r="C122" s="11" t="s">
        <v>1762</v>
      </c>
      <c r="D122" s="44"/>
      <c r="E122" s="45"/>
      <c r="F122" s="41"/>
      <c r="G122" s="40"/>
      <c r="H122" s="11" t="s">
        <v>1774</v>
      </c>
      <c r="I122" s="11" t="s">
        <v>1775</v>
      </c>
    </row>
    <row r="123" spans="1:9" ht="16.2" customHeight="1" x14ac:dyDescent="0.25">
      <c r="A123" s="8">
        <v>1</v>
      </c>
      <c r="B123" s="9" t="s">
        <v>3408</v>
      </c>
      <c r="C123" s="22" t="s">
        <v>3409</v>
      </c>
      <c r="D123" s="48" t="s">
        <v>3409</v>
      </c>
      <c r="E123" s="49" t="s">
        <v>3409</v>
      </c>
      <c r="F123" s="10">
        <v>0.8</v>
      </c>
      <c r="G123" s="19"/>
      <c r="H123" s="19"/>
      <c r="I123" s="37">
        <f>H123/F123</f>
        <v>0</v>
      </c>
    </row>
    <row r="124" spans="1:9" ht="16.2" customHeight="1" x14ac:dyDescent="0.25">
      <c r="A124" s="8">
        <v>2</v>
      </c>
      <c r="B124" s="9" t="s">
        <v>3410</v>
      </c>
      <c r="C124" s="23" t="s">
        <v>3411</v>
      </c>
      <c r="D124" s="48" t="s">
        <v>3411</v>
      </c>
      <c r="E124" s="49" t="s">
        <v>3411</v>
      </c>
      <c r="F124" s="10">
        <v>1.5</v>
      </c>
      <c r="G124" s="19"/>
      <c r="H124" s="19"/>
      <c r="I124" s="37">
        <f>H124/F124</f>
        <v>0</v>
      </c>
    </row>
    <row r="125" spans="1:9" ht="16.8" customHeight="1" x14ac:dyDescent="0.25">
      <c r="A125" s="39" t="s">
        <v>1769</v>
      </c>
      <c r="B125" s="39"/>
      <c r="C125" s="39"/>
      <c r="D125" s="39" t="s">
        <v>1771</v>
      </c>
      <c r="E125" s="39"/>
      <c r="F125" s="12">
        <f>SUM(F123:F124)</f>
        <v>2.2999999999999998</v>
      </c>
      <c r="G125" s="20"/>
      <c r="H125" s="12">
        <f>SUM(H123:H124)</f>
        <v>0</v>
      </c>
      <c r="I125" s="38">
        <f>H125/F125</f>
        <v>0</v>
      </c>
    </row>
  </sheetData>
  <mergeCells count="130">
    <mergeCell ref="D112:E112"/>
    <mergeCell ref="D113:E113"/>
    <mergeCell ref="D114:E114"/>
    <mergeCell ref="D115:E115"/>
    <mergeCell ref="D116:E116"/>
    <mergeCell ref="D107:E107"/>
    <mergeCell ref="D108:E108"/>
    <mergeCell ref="D109:E109"/>
    <mergeCell ref="D110:E110"/>
    <mergeCell ref="D111:E111"/>
    <mergeCell ref="D102:E102"/>
    <mergeCell ref="D103:E103"/>
    <mergeCell ref="D104:E104"/>
    <mergeCell ref="D105:E105"/>
    <mergeCell ref="D106:E106"/>
    <mergeCell ref="D97:E97"/>
    <mergeCell ref="D98:E98"/>
    <mergeCell ref="D99:E99"/>
    <mergeCell ref="D100:E100"/>
    <mergeCell ref="D101:E101"/>
    <mergeCell ref="D92:E92"/>
    <mergeCell ref="D93:E93"/>
    <mergeCell ref="D94:E94"/>
    <mergeCell ref="D95:E95"/>
    <mergeCell ref="D96:E96"/>
    <mergeCell ref="D87:E87"/>
    <mergeCell ref="D88:E88"/>
    <mergeCell ref="D89:E89"/>
    <mergeCell ref="D90:E90"/>
    <mergeCell ref="D91:E91"/>
    <mergeCell ref="D82:E82"/>
    <mergeCell ref="D83:E83"/>
    <mergeCell ref="D84:E84"/>
    <mergeCell ref="D85:E85"/>
    <mergeCell ref="D86:E86"/>
    <mergeCell ref="D77:E77"/>
    <mergeCell ref="D78:E78"/>
    <mergeCell ref="D79:E79"/>
    <mergeCell ref="D80:E80"/>
    <mergeCell ref="D81:E81"/>
    <mergeCell ref="D72:E72"/>
    <mergeCell ref="D73:E73"/>
    <mergeCell ref="D74:E74"/>
    <mergeCell ref="D75:E75"/>
    <mergeCell ref="D76:E76"/>
    <mergeCell ref="D67:E67"/>
    <mergeCell ref="D68:E68"/>
    <mergeCell ref="D69:E69"/>
    <mergeCell ref="D70:E70"/>
    <mergeCell ref="D71:E71"/>
    <mergeCell ref="D62:E62"/>
    <mergeCell ref="D63:E63"/>
    <mergeCell ref="D64:E64"/>
    <mergeCell ref="D65:E65"/>
    <mergeCell ref="D66:E66"/>
    <mergeCell ref="D57:E57"/>
    <mergeCell ref="D58:E58"/>
    <mergeCell ref="D59:E59"/>
    <mergeCell ref="D60:E60"/>
    <mergeCell ref="D61:E61"/>
    <mergeCell ref="H3:I3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A3:A4"/>
    <mergeCell ref="B3:C3"/>
    <mergeCell ref="D3:E4"/>
    <mergeCell ref="F3:F4"/>
    <mergeCell ref="G3:G4"/>
    <mergeCell ref="D16:E16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117:C117"/>
    <mergeCell ref="D117:E117"/>
    <mergeCell ref="D17:E17"/>
    <mergeCell ref="D18:E18"/>
    <mergeCell ref="D19:E19"/>
    <mergeCell ref="D20:E20"/>
    <mergeCell ref="D21:E21"/>
    <mergeCell ref="D22:E22"/>
    <mergeCell ref="D41:E41"/>
    <mergeCell ref="D42:E42"/>
    <mergeCell ref="D43:E43"/>
    <mergeCell ref="D44:E44"/>
    <mergeCell ref="D45:E45"/>
    <mergeCell ref="D46:E46"/>
    <mergeCell ref="D47:E47"/>
    <mergeCell ref="D48:E48"/>
    <mergeCell ref="F121:F122"/>
    <mergeCell ref="G121:G122"/>
    <mergeCell ref="H121:I121"/>
    <mergeCell ref="D23:E23"/>
    <mergeCell ref="D24:E24"/>
    <mergeCell ref="D25:E25"/>
    <mergeCell ref="D26:E26"/>
    <mergeCell ref="D49:E49"/>
    <mergeCell ref="D50:E50"/>
    <mergeCell ref="D51:E51"/>
    <mergeCell ref="D52:E52"/>
    <mergeCell ref="D53:E53"/>
    <mergeCell ref="D54:E54"/>
    <mergeCell ref="D55:E55"/>
    <mergeCell ref="D56:E56"/>
    <mergeCell ref="D123:E123"/>
    <mergeCell ref="D124:E124"/>
    <mergeCell ref="A125:C125"/>
    <mergeCell ref="D125:E125"/>
    <mergeCell ref="A121:A122"/>
    <mergeCell ref="B121:C121"/>
    <mergeCell ref="D121:E122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8C64-8088-4DE5-8A77-867987B4B29D}">
  <sheetPr codeName="Sheet2"/>
  <dimension ref="A1:I28"/>
  <sheetViews>
    <sheetView zoomScaleNormal="100" workbookViewId="0">
      <selection activeCell="I35" sqref="I35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3533</v>
      </c>
      <c r="C5" s="14" t="s">
        <v>3534</v>
      </c>
      <c r="D5" s="46" t="s">
        <v>3534</v>
      </c>
      <c r="E5" s="47" t="s">
        <v>3534</v>
      </c>
      <c r="F5" s="15">
        <v>17.399999999999999</v>
      </c>
      <c r="G5" s="19"/>
      <c r="H5" s="19"/>
      <c r="I5" s="67">
        <f>H5/F5</f>
        <v>0</v>
      </c>
    </row>
    <row r="6" spans="1:9" ht="15.6" customHeight="1" x14ac:dyDescent="0.25">
      <c r="A6" s="13">
        <v>2</v>
      </c>
      <c r="B6" s="14" t="s">
        <v>3535</v>
      </c>
      <c r="C6" s="14" t="s">
        <v>3536</v>
      </c>
      <c r="D6" s="46" t="s">
        <v>3536</v>
      </c>
      <c r="E6" s="47" t="s">
        <v>3536</v>
      </c>
      <c r="F6" s="15">
        <v>2.1</v>
      </c>
      <c r="G6" s="19"/>
      <c r="H6" s="19"/>
      <c r="I6" s="67">
        <f>H6/F6</f>
        <v>0</v>
      </c>
    </row>
    <row r="7" spans="1:9" ht="15.6" customHeight="1" x14ac:dyDescent="0.25">
      <c r="A7" s="13">
        <v>3</v>
      </c>
      <c r="B7" s="14" t="s">
        <v>3537</v>
      </c>
      <c r="C7" s="14" t="s">
        <v>3538</v>
      </c>
      <c r="D7" s="46" t="s">
        <v>3538</v>
      </c>
      <c r="E7" s="47" t="s">
        <v>3538</v>
      </c>
      <c r="F7" s="15">
        <v>3.4</v>
      </c>
      <c r="G7" s="15"/>
      <c r="H7" s="15"/>
      <c r="I7" s="67">
        <f>H7/F7</f>
        <v>0</v>
      </c>
    </row>
    <row r="8" spans="1:9" ht="15.6" customHeight="1" x14ac:dyDescent="0.25">
      <c r="A8" s="13">
        <v>4</v>
      </c>
      <c r="B8" s="14" t="s">
        <v>3539</v>
      </c>
      <c r="C8" s="14" t="s">
        <v>3540</v>
      </c>
      <c r="D8" s="46" t="s">
        <v>3540</v>
      </c>
      <c r="E8" s="47" t="s">
        <v>3540</v>
      </c>
      <c r="F8" s="15">
        <v>5</v>
      </c>
      <c r="G8" s="19"/>
      <c r="H8" s="19"/>
      <c r="I8" s="67">
        <f>H8/F8</f>
        <v>0</v>
      </c>
    </row>
    <row r="9" spans="1:9" ht="15.6" customHeight="1" x14ac:dyDescent="0.25">
      <c r="A9" s="13">
        <v>5</v>
      </c>
      <c r="B9" s="14" t="s">
        <v>3541</v>
      </c>
      <c r="C9" s="14" t="s">
        <v>3542</v>
      </c>
      <c r="D9" s="46" t="s">
        <v>3542</v>
      </c>
      <c r="E9" s="47" t="s">
        <v>3542</v>
      </c>
      <c r="F9" s="15">
        <v>7.1</v>
      </c>
      <c r="G9" s="19"/>
      <c r="H9" s="19"/>
      <c r="I9" s="67">
        <f>H9/F9</f>
        <v>0</v>
      </c>
    </row>
    <row r="10" spans="1:9" ht="15.6" customHeight="1" x14ac:dyDescent="0.25">
      <c r="A10" s="13">
        <v>6</v>
      </c>
      <c r="B10" s="14" t="s">
        <v>3543</v>
      </c>
      <c r="C10" s="14" t="s">
        <v>3544</v>
      </c>
      <c r="D10" s="46" t="s">
        <v>3544</v>
      </c>
      <c r="E10" s="47" t="s">
        <v>3544</v>
      </c>
      <c r="F10" s="15">
        <v>2.4</v>
      </c>
      <c r="G10" s="15"/>
      <c r="H10" s="15"/>
      <c r="I10" s="67">
        <f>H10/F10</f>
        <v>0</v>
      </c>
    </row>
    <row r="11" spans="1:9" ht="15.6" customHeight="1" x14ac:dyDescent="0.25">
      <c r="A11" s="13">
        <v>7</v>
      </c>
      <c r="B11" s="14" t="s">
        <v>3545</v>
      </c>
      <c r="C11" s="14" t="s">
        <v>3546</v>
      </c>
      <c r="D11" s="46" t="s">
        <v>3546</v>
      </c>
      <c r="E11" s="47" t="s">
        <v>3546</v>
      </c>
      <c r="F11" s="15">
        <v>2.2000000000000002</v>
      </c>
      <c r="G11" s="19"/>
      <c r="H11" s="19"/>
      <c r="I11" s="67">
        <f>H11/F11</f>
        <v>0</v>
      </c>
    </row>
    <row r="12" spans="1:9" ht="15.6" customHeight="1" x14ac:dyDescent="0.25">
      <c r="A12" s="13">
        <v>8</v>
      </c>
      <c r="B12" s="14" t="s">
        <v>3547</v>
      </c>
      <c r="C12" s="14" t="s">
        <v>3548</v>
      </c>
      <c r="D12" s="46" t="s">
        <v>3548</v>
      </c>
      <c r="E12" s="47" t="s">
        <v>3548</v>
      </c>
      <c r="F12" s="15">
        <v>0</v>
      </c>
      <c r="G12" s="19"/>
      <c r="H12" s="19"/>
      <c r="I12" s="67" t="e">
        <f>H12/F12</f>
        <v>#DIV/0!</v>
      </c>
    </row>
    <row r="13" spans="1:9" ht="15.6" customHeight="1" x14ac:dyDescent="0.25">
      <c r="A13" s="13">
        <v>9</v>
      </c>
      <c r="B13" s="14" t="s">
        <v>3549</v>
      </c>
      <c r="C13" s="14" t="s">
        <v>3550</v>
      </c>
      <c r="D13" s="46" t="s">
        <v>3550</v>
      </c>
      <c r="E13" s="47" t="s">
        <v>3550</v>
      </c>
      <c r="F13" s="15">
        <v>3</v>
      </c>
      <c r="G13" s="15"/>
      <c r="H13" s="15"/>
      <c r="I13" s="67">
        <f>H13/F13</f>
        <v>0</v>
      </c>
    </row>
    <row r="14" spans="1:9" ht="15.6" customHeight="1" x14ac:dyDescent="0.25">
      <c r="A14" s="13">
        <v>10</v>
      </c>
      <c r="B14" s="14" t="s">
        <v>3551</v>
      </c>
      <c r="C14" s="14" t="s">
        <v>3552</v>
      </c>
      <c r="D14" s="46" t="s">
        <v>3552</v>
      </c>
      <c r="E14" s="47" t="s">
        <v>3552</v>
      </c>
      <c r="F14" s="15">
        <v>4</v>
      </c>
      <c r="G14" s="19"/>
      <c r="H14" s="19"/>
      <c r="I14" s="67">
        <f>H14/F14</f>
        <v>0</v>
      </c>
    </row>
    <row r="15" spans="1:9" ht="15.6" customHeight="1" x14ac:dyDescent="0.25">
      <c r="A15" s="13">
        <v>11</v>
      </c>
      <c r="B15" s="14" t="s">
        <v>3553</v>
      </c>
      <c r="C15" s="14" t="s">
        <v>3554</v>
      </c>
      <c r="D15" s="46" t="s">
        <v>3554</v>
      </c>
      <c r="E15" s="47" t="s">
        <v>3554</v>
      </c>
      <c r="F15" s="15">
        <v>8.4</v>
      </c>
      <c r="G15" s="19"/>
      <c r="H15" s="19"/>
      <c r="I15" s="67">
        <f>H15/F15</f>
        <v>0</v>
      </c>
    </row>
    <row r="16" spans="1:9" ht="15.6" customHeight="1" x14ac:dyDescent="0.25">
      <c r="A16" s="13">
        <v>12</v>
      </c>
      <c r="B16" s="14" t="s">
        <v>3555</v>
      </c>
      <c r="C16" s="14" t="s">
        <v>3556</v>
      </c>
      <c r="D16" s="46" t="s">
        <v>3556</v>
      </c>
      <c r="E16" s="47" t="s">
        <v>3556</v>
      </c>
      <c r="F16" s="15">
        <v>1.5</v>
      </c>
      <c r="G16" s="15"/>
      <c r="H16" s="15"/>
      <c r="I16" s="67">
        <f>H16/F16</f>
        <v>0</v>
      </c>
    </row>
    <row r="17" spans="1:9" ht="15.6" customHeight="1" x14ac:dyDescent="0.25">
      <c r="A17" s="13">
        <v>13</v>
      </c>
      <c r="B17" s="14" t="s">
        <v>3557</v>
      </c>
      <c r="C17" s="14" t="s">
        <v>3558</v>
      </c>
      <c r="D17" s="46" t="s">
        <v>3558</v>
      </c>
      <c r="E17" s="47" t="s">
        <v>3558</v>
      </c>
      <c r="F17" s="15">
        <v>5</v>
      </c>
      <c r="G17" s="19"/>
      <c r="H17" s="19"/>
      <c r="I17" s="67">
        <f>H17/F17</f>
        <v>0</v>
      </c>
    </row>
    <row r="18" spans="1:9" ht="15.6" customHeight="1" x14ac:dyDescent="0.25">
      <c r="A18" s="13">
        <v>14</v>
      </c>
      <c r="B18" s="14" t="s">
        <v>3559</v>
      </c>
      <c r="C18" s="14" t="s">
        <v>3560</v>
      </c>
      <c r="D18" s="46" t="s">
        <v>3560</v>
      </c>
      <c r="E18" s="47" t="s">
        <v>3560</v>
      </c>
      <c r="F18" s="15">
        <v>0</v>
      </c>
      <c r="G18" s="19"/>
      <c r="H18" s="19"/>
      <c r="I18" s="67" t="e">
        <f>H18/F18</f>
        <v>#DIV/0!</v>
      </c>
    </row>
    <row r="19" spans="1:9" ht="15.6" customHeight="1" x14ac:dyDescent="0.25">
      <c r="A19" s="13">
        <v>15</v>
      </c>
      <c r="B19" s="14" t="s">
        <v>3561</v>
      </c>
      <c r="C19" s="14" t="s">
        <v>3562</v>
      </c>
      <c r="D19" s="46" t="s">
        <v>3562</v>
      </c>
      <c r="E19" s="47" t="s">
        <v>3562</v>
      </c>
      <c r="F19" s="15">
        <v>18.100000000000001</v>
      </c>
      <c r="G19" s="15"/>
      <c r="H19" s="15"/>
      <c r="I19" s="67">
        <f>H19/F19</f>
        <v>0</v>
      </c>
    </row>
    <row r="20" spans="1:9" ht="15.6" customHeight="1" x14ac:dyDescent="0.25">
      <c r="A20" s="13">
        <v>16</v>
      </c>
      <c r="B20" s="14" t="s">
        <v>3563</v>
      </c>
      <c r="C20" s="14" t="s">
        <v>3564</v>
      </c>
      <c r="D20" s="46" t="s">
        <v>3564</v>
      </c>
      <c r="E20" s="47" t="s">
        <v>3564</v>
      </c>
      <c r="F20" s="15">
        <v>0</v>
      </c>
      <c r="G20" s="19"/>
      <c r="H20" s="19"/>
      <c r="I20" s="67" t="e">
        <f>H20/F20</f>
        <v>#DIV/0!</v>
      </c>
    </row>
    <row r="21" spans="1:9" ht="15.6" customHeight="1" x14ac:dyDescent="0.25">
      <c r="A21" s="13">
        <v>17</v>
      </c>
      <c r="B21" s="14" t="s">
        <v>3565</v>
      </c>
      <c r="C21" s="14" t="s">
        <v>3566</v>
      </c>
      <c r="D21" s="46" t="s">
        <v>3566</v>
      </c>
      <c r="E21" s="47" t="s">
        <v>3566</v>
      </c>
      <c r="F21" s="16">
        <v>0</v>
      </c>
      <c r="G21" s="19"/>
      <c r="H21" s="19"/>
      <c r="I21" s="67" t="e">
        <f>H21/F21</f>
        <v>#DIV/0!</v>
      </c>
    </row>
    <row r="22" spans="1:9" ht="15.6" customHeight="1" x14ac:dyDescent="0.25">
      <c r="A22" s="13">
        <v>18</v>
      </c>
      <c r="B22" s="14" t="s">
        <v>3567</v>
      </c>
      <c r="C22" s="14" t="s">
        <v>3568</v>
      </c>
      <c r="D22" s="46" t="s">
        <v>3568</v>
      </c>
      <c r="E22" s="47" t="s">
        <v>3568</v>
      </c>
      <c r="F22" s="15">
        <v>0</v>
      </c>
      <c r="G22" s="15"/>
      <c r="H22" s="15"/>
      <c r="I22" s="67" t="e">
        <f>H22/F22</f>
        <v>#DIV/0!</v>
      </c>
    </row>
    <row r="23" spans="1:9" ht="15.6" customHeight="1" x14ac:dyDescent="0.25">
      <c r="A23" s="13">
        <v>19</v>
      </c>
      <c r="B23" s="14" t="s">
        <v>3569</v>
      </c>
      <c r="C23" s="14" t="s">
        <v>3570</v>
      </c>
      <c r="D23" s="46" t="s">
        <v>3570</v>
      </c>
      <c r="E23" s="47" t="s">
        <v>3570</v>
      </c>
      <c r="F23" s="15">
        <v>0</v>
      </c>
      <c r="G23" s="19"/>
      <c r="H23" s="19"/>
      <c r="I23" s="67" t="e">
        <f>H23/F23</f>
        <v>#DIV/0!</v>
      </c>
    </row>
    <row r="24" spans="1:9" ht="15.6" customHeight="1" x14ac:dyDescent="0.25">
      <c r="A24" s="13">
        <v>20</v>
      </c>
      <c r="B24" s="14" t="s">
        <v>3571</v>
      </c>
      <c r="C24" s="14" t="s">
        <v>3572</v>
      </c>
      <c r="D24" s="46" t="s">
        <v>3572</v>
      </c>
      <c r="E24" s="47" t="s">
        <v>3572</v>
      </c>
      <c r="F24" s="15">
        <v>0</v>
      </c>
      <c r="G24" s="19"/>
      <c r="H24" s="19"/>
      <c r="I24" s="67" t="e">
        <f>H24/F24</f>
        <v>#DIV/0!</v>
      </c>
    </row>
    <row r="25" spans="1:9" ht="15.6" customHeight="1" x14ac:dyDescent="0.25">
      <c r="A25" s="13">
        <v>21</v>
      </c>
      <c r="B25" s="14" t="s">
        <v>3573</v>
      </c>
      <c r="C25" s="14" t="s">
        <v>3574</v>
      </c>
      <c r="D25" s="46" t="s">
        <v>3574</v>
      </c>
      <c r="E25" s="47" t="s">
        <v>3574</v>
      </c>
      <c r="F25" s="15">
        <v>0</v>
      </c>
      <c r="G25" s="15"/>
      <c r="H25" s="15"/>
      <c r="I25" s="67" t="e">
        <f>H25/F25</f>
        <v>#DIV/0!</v>
      </c>
    </row>
    <row r="26" spans="1:9" ht="15.6" customHeight="1" x14ac:dyDescent="0.25">
      <c r="A26" s="13">
        <v>22</v>
      </c>
      <c r="B26" s="14" t="s">
        <v>3575</v>
      </c>
      <c r="C26" s="14" t="s">
        <v>3576</v>
      </c>
      <c r="D26" s="46" t="s">
        <v>3576</v>
      </c>
      <c r="E26" s="47" t="s">
        <v>3576</v>
      </c>
      <c r="F26" s="15">
        <v>1.7</v>
      </c>
      <c r="G26" s="19"/>
      <c r="H26" s="19"/>
      <c r="I26" s="67">
        <f>H26/F26</f>
        <v>0</v>
      </c>
    </row>
    <row r="27" spans="1:9" ht="15.6" customHeight="1" x14ac:dyDescent="0.25">
      <c r="A27" s="13">
        <v>23</v>
      </c>
      <c r="B27" s="14" t="s">
        <v>3577</v>
      </c>
      <c r="C27" s="14" t="s">
        <v>3578</v>
      </c>
      <c r="D27" s="46" t="s">
        <v>243</v>
      </c>
      <c r="E27" s="47" t="s">
        <v>243</v>
      </c>
      <c r="F27" s="15">
        <v>2</v>
      </c>
      <c r="G27" s="19"/>
      <c r="H27" s="19"/>
      <c r="I27" s="67">
        <f>H27/F27</f>
        <v>0</v>
      </c>
    </row>
    <row r="28" spans="1:9" ht="16.8" customHeight="1" x14ac:dyDescent="0.25">
      <c r="A28" s="39" t="s">
        <v>1769</v>
      </c>
      <c r="B28" s="39"/>
      <c r="C28" s="39"/>
      <c r="D28" s="39" t="s">
        <v>1770</v>
      </c>
      <c r="E28" s="39"/>
      <c r="F28" s="12">
        <f>SUM(F5:F27)</f>
        <v>83.3</v>
      </c>
      <c r="G28" s="20"/>
      <c r="H28" s="12">
        <f>SUM(H5:H27)</f>
        <v>0</v>
      </c>
      <c r="I28" s="68">
        <f>H28/F28</f>
        <v>0</v>
      </c>
    </row>
  </sheetData>
  <mergeCells count="31">
    <mergeCell ref="D23:E23"/>
    <mergeCell ref="D24:E24"/>
    <mergeCell ref="D25:E25"/>
    <mergeCell ref="D26:E26"/>
    <mergeCell ref="D27:E27"/>
    <mergeCell ref="A28:C28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2861-8A91-4325-AD5E-343DC4E666CE}">
  <sheetPr codeName="Sheet3"/>
  <dimension ref="A1:I15"/>
  <sheetViews>
    <sheetView zoomScaleNormal="100" workbookViewId="0">
      <selection activeCell="F28" sqref="F28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3582</v>
      </c>
      <c r="C5" s="14" t="s">
        <v>3583</v>
      </c>
      <c r="D5" s="46" t="s">
        <v>3584</v>
      </c>
      <c r="E5" s="47" t="s">
        <v>3584</v>
      </c>
      <c r="F5" s="15">
        <v>11</v>
      </c>
      <c r="G5" s="19"/>
      <c r="H5" s="19"/>
      <c r="I5" s="67">
        <f>H5/F5</f>
        <v>0</v>
      </c>
    </row>
    <row r="6" spans="1:9" ht="15.6" customHeight="1" x14ac:dyDescent="0.25">
      <c r="A6" s="13">
        <v>2</v>
      </c>
      <c r="B6" s="14" t="s">
        <v>3585</v>
      </c>
      <c r="C6" s="14" t="s">
        <v>3586</v>
      </c>
      <c r="D6" s="46" t="s">
        <v>3584</v>
      </c>
      <c r="E6" s="47" t="s">
        <v>3584</v>
      </c>
      <c r="F6" s="15">
        <v>7.4</v>
      </c>
      <c r="G6" s="19"/>
      <c r="H6" s="19"/>
      <c r="I6" s="67">
        <f>H6/F6</f>
        <v>0</v>
      </c>
    </row>
    <row r="7" spans="1:9" ht="15.6" customHeight="1" x14ac:dyDescent="0.25">
      <c r="A7" s="13">
        <v>3</v>
      </c>
      <c r="B7" s="14" t="s">
        <v>3587</v>
      </c>
      <c r="C7" s="14" t="s">
        <v>3588</v>
      </c>
      <c r="D7" s="46" t="s">
        <v>3589</v>
      </c>
      <c r="E7" s="47" t="s">
        <v>3589</v>
      </c>
      <c r="F7" s="15">
        <v>7</v>
      </c>
      <c r="G7" s="15"/>
      <c r="H7" s="15"/>
      <c r="I7" s="67">
        <f>H7/F7</f>
        <v>0</v>
      </c>
    </row>
    <row r="8" spans="1:9" ht="16.8" customHeight="1" x14ac:dyDescent="0.25">
      <c r="A8" s="39" t="s">
        <v>1769</v>
      </c>
      <c r="B8" s="39"/>
      <c r="C8" s="39"/>
      <c r="D8" s="39" t="s">
        <v>2060</v>
      </c>
      <c r="E8" s="39"/>
      <c r="F8" s="12">
        <f>SUM(F5:F7)</f>
        <v>25.4</v>
      </c>
      <c r="G8" s="20"/>
      <c r="H8" s="12">
        <f>SUM(H5:H7)</f>
        <v>0</v>
      </c>
      <c r="I8" s="68">
        <f>H8/F8</f>
        <v>0</v>
      </c>
    </row>
    <row r="10" spans="1:9" ht="15" x14ac:dyDescent="0.25">
      <c r="A10" s="17" t="s">
        <v>1766</v>
      </c>
    </row>
    <row r="12" spans="1:9" s="18" customFormat="1" ht="17.399999999999999" customHeight="1" x14ac:dyDescent="0.25">
      <c r="A12" s="39" t="s">
        <v>0</v>
      </c>
      <c r="B12" s="41" t="s">
        <v>1761</v>
      </c>
      <c r="C12" s="41"/>
      <c r="D12" s="42" t="s">
        <v>1763</v>
      </c>
      <c r="E12" s="43"/>
      <c r="F12" s="41" t="s">
        <v>1768</v>
      </c>
      <c r="G12" s="40" t="s">
        <v>1772</v>
      </c>
      <c r="H12" s="39" t="s">
        <v>1773</v>
      </c>
      <c r="I12" s="39"/>
    </row>
    <row r="13" spans="1:9" s="18" customFormat="1" ht="17.399999999999999" customHeight="1" x14ac:dyDescent="0.25">
      <c r="A13" s="39"/>
      <c r="B13" s="11" t="s">
        <v>1</v>
      </c>
      <c r="C13" s="11" t="s">
        <v>1762</v>
      </c>
      <c r="D13" s="44"/>
      <c r="E13" s="45"/>
      <c r="F13" s="41"/>
      <c r="G13" s="40"/>
      <c r="H13" s="11" t="s">
        <v>1774</v>
      </c>
      <c r="I13" s="11" t="s">
        <v>1775</v>
      </c>
    </row>
    <row r="14" spans="1:9" ht="16.2" customHeight="1" x14ac:dyDescent="0.25">
      <c r="A14" s="8">
        <v>1</v>
      </c>
      <c r="B14" s="9" t="s">
        <v>3579</v>
      </c>
      <c r="C14" s="22" t="s">
        <v>3580</v>
      </c>
      <c r="D14" s="48" t="s">
        <v>3581</v>
      </c>
      <c r="E14" s="49" t="s">
        <v>3581</v>
      </c>
      <c r="F14" s="10">
        <v>16.3</v>
      </c>
      <c r="G14" s="19"/>
      <c r="H14" s="19"/>
      <c r="I14" s="67">
        <f>H14/F14</f>
        <v>0</v>
      </c>
    </row>
    <row r="15" spans="1:9" ht="16.8" customHeight="1" x14ac:dyDescent="0.25">
      <c r="A15" s="39" t="s">
        <v>1769</v>
      </c>
      <c r="B15" s="39"/>
      <c r="C15" s="39"/>
      <c r="D15" s="39" t="s">
        <v>2050</v>
      </c>
      <c r="E15" s="39"/>
      <c r="F15" s="12">
        <f>SUM(F14:F14)</f>
        <v>16.3</v>
      </c>
      <c r="G15" s="20"/>
      <c r="H15" s="12">
        <f>SUM(H14:H14)</f>
        <v>0</v>
      </c>
      <c r="I15" s="68">
        <f>H15/F15</f>
        <v>0</v>
      </c>
    </row>
  </sheetData>
  <mergeCells count="20">
    <mergeCell ref="D14:E14"/>
    <mergeCell ref="A15:C15"/>
    <mergeCell ref="D15:E15"/>
    <mergeCell ref="A12:A13"/>
    <mergeCell ref="B12:C12"/>
    <mergeCell ref="D12:E13"/>
    <mergeCell ref="F12:F13"/>
    <mergeCell ref="G12:G13"/>
    <mergeCell ref="H12:I12"/>
    <mergeCell ref="A8:C8"/>
    <mergeCell ref="D8:E8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002D-6A8E-48C5-9F21-EEB1E911C26C}">
  <sheetPr codeName="Sheet4"/>
  <dimension ref="A1:I22"/>
  <sheetViews>
    <sheetView zoomScaleNormal="100" workbookViewId="0">
      <selection activeCell="K16" sqref="K16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3590</v>
      </c>
      <c r="C5" s="14" t="s">
        <v>3591</v>
      </c>
      <c r="D5" s="46" t="s">
        <v>3592</v>
      </c>
      <c r="E5" s="47" t="s">
        <v>3592</v>
      </c>
      <c r="F5" s="15">
        <v>12.2</v>
      </c>
      <c r="G5" s="19"/>
      <c r="H5" s="19"/>
      <c r="I5" s="67">
        <f>H5/F5</f>
        <v>0</v>
      </c>
    </row>
    <row r="6" spans="1:9" ht="15.6" customHeight="1" x14ac:dyDescent="0.25">
      <c r="A6" s="13">
        <v>2</v>
      </c>
      <c r="B6" s="14" t="s">
        <v>3593</v>
      </c>
      <c r="C6" s="14" t="s">
        <v>3594</v>
      </c>
      <c r="D6" s="46" t="s">
        <v>3595</v>
      </c>
      <c r="E6" s="47" t="s">
        <v>3595</v>
      </c>
      <c r="F6" s="15">
        <v>4.3</v>
      </c>
      <c r="G6" s="19"/>
      <c r="H6" s="19"/>
      <c r="I6" s="67">
        <f>H6/F6</f>
        <v>0</v>
      </c>
    </row>
    <row r="7" spans="1:9" ht="15.6" customHeight="1" x14ac:dyDescent="0.25">
      <c r="A7" s="13">
        <v>3</v>
      </c>
      <c r="B7" s="14" t="s">
        <v>3596</v>
      </c>
      <c r="C7" s="14" t="s">
        <v>3597</v>
      </c>
      <c r="D7" s="46" t="s">
        <v>3595</v>
      </c>
      <c r="E7" s="47" t="s">
        <v>3595</v>
      </c>
      <c r="F7" s="15">
        <v>3</v>
      </c>
      <c r="G7" s="15"/>
      <c r="H7" s="15"/>
      <c r="I7" s="67">
        <f>H7/F7</f>
        <v>0</v>
      </c>
    </row>
    <row r="8" spans="1:9" ht="15.6" customHeight="1" x14ac:dyDescent="0.25">
      <c r="A8" s="13">
        <v>4</v>
      </c>
      <c r="B8" s="14" t="s">
        <v>3598</v>
      </c>
      <c r="C8" s="14" t="s">
        <v>3599</v>
      </c>
      <c r="D8" s="46" t="s">
        <v>3595</v>
      </c>
      <c r="E8" s="47" t="s">
        <v>3595</v>
      </c>
      <c r="F8" s="15">
        <v>3</v>
      </c>
      <c r="G8" s="19"/>
      <c r="H8" s="19"/>
      <c r="I8" s="67">
        <f>H8/F8</f>
        <v>0</v>
      </c>
    </row>
    <row r="9" spans="1:9" ht="15.6" customHeight="1" x14ac:dyDescent="0.25">
      <c r="A9" s="13">
        <v>5</v>
      </c>
      <c r="B9" s="14" t="s">
        <v>3600</v>
      </c>
      <c r="C9" s="14" t="s">
        <v>3601</v>
      </c>
      <c r="D9" s="46" t="s">
        <v>3595</v>
      </c>
      <c r="E9" s="47" t="s">
        <v>3595</v>
      </c>
      <c r="F9" s="15">
        <v>1.5</v>
      </c>
      <c r="G9" s="19"/>
      <c r="H9" s="19"/>
      <c r="I9" s="67">
        <f>H9/F9</f>
        <v>0</v>
      </c>
    </row>
    <row r="10" spans="1:9" ht="15.6" customHeight="1" x14ac:dyDescent="0.25">
      <c r="A10" s="13">
        <v>6</v>
      </c>
      <c r="B10" s="14" t="s">
        <v>3602</v>
      </c>
      <c r="C10" s="14" t="s">
        <v>3603</v>
      </c>
      <c r="D10" s="46" t="s">
        <v>3595</v>
      </c>
      <c r="E10" s="47" t="s">
        <v>3595</v>
      </c>
      <c r="F10" s="15">
        <v>1.3</v>
      </c>
      <c r="G10" s="15"/>
      <c r="H10" s="15"/>
      <c r="I10" s="67">
        <f>H10/F10</f>
        <v>0</v>
      </c>
    </row>
    <row r="11" spans="1:9" ht="15.6" customHeight="1" x14ac:dyDescent="0.25">
      <c r="A11" s="13">
        <v>7</v>
      </c>
      <c r="B11" s="14" t="s">
        <v>3604</v>
      </c>
      <c r="C11" s="14" t="s">
        <v>3605</v>
      </c>
      <c r="D11" s="46" t="s">
        <v>3595</v>
      </c>
      <c r="E11" s="47" t="s">
        <v>3595</v>
      </c>
      <c r="F11" s="15">
        <v>2.67</v>
      </c>
      <c r="G11" s="19"/>
      <c r="H11" s="19"/>
      <c r="I11" s="67">
        <f>H11/F11</f>
        <v>0</v>
      </c>
    </row>
    <row r="12" spans="1:9" ht="15.6" customHeight="1" x14ac:dyDescent="0.25">
      <c r="A12" s="13">
        <v>8</v>
      </c>
      <c r="B12" s="14" t="s">
        <v>3606</v>
      </c>
      <c r="C12" s="14" t="s">
        <v>3607</v>
      </c>
      <c r="D12" s="46" t="s">
        <v>3595</v>
      </c>
      <c r="E12" s="47" t="s">
        <v>3595</v>
      </c>
      <c r="F12" s="15">
        <v>4.5</v>
      </c>
      <c r="G12" s="19"/>
      <c r="H12" s="19"/>
      <c r="I12" s="67">
        <f>H12/F12</f>
        <v>0</v>
      </c>
    </row>
    <row r="13" spans="1:9" ht="15.6" customHeight="1" x14ac:dyDescent="0.25">
      <c r="A13" s="13">
        <v>9</v>
      </c>
      <c r="B13" s="14" t="s">
        <v>3608</v>
      </c>
      <c r="C13" s="14" t="s">
        <v>3609</v>
      </c>
      <c r="D13" s="46" t="s">
        <v>270</v>
      </c>
      <c r="E13" s="47" t="s">
        <v>270</v>
      </c>
      <c r="F13" s="15">
        <v>2</v>
      </c>
      <c r="G13" s="15"/>
      <c r="H13" s="15"/>
      <c r="I13" s="67">
        <f>H13/F13</f>
        <v>0</v>
      </c>
    </row>
    <row r="14" spans="1:9" ht="15.6" customHeight="1" x14ac:dyDescent="0.25">
      <c r="A14" s="13">
        <v>10</v>
      </c>
      <c r="B14" s="14" t="s">
        <v>3610</v>
      </c>
      <c r="C14" s="14" t="s">
        <v>3611</v>
      </c>
      <c r="D14" s="46" t="s">
        <v>3612</v>
      </c>
      <c r="E14" s="47" t="s">
        <v>3612</v>
      </c>
      <c r="F14" s="15">
        <v>1</v>
      </c>
      <c r="G14" s="19"/>
      <c r="H14" s="19"/>
      <c r="I14" s="67">
        <f>H14/F14</f>
        <v>0</v>
      </c>
    </row>
    <row r="15" spans="1:9" ht="15.6" customHeight="1" x14ac:dyDescent="0.25">
      <c r="A15" s="13">
        <v>11</v>
      </c>
      <c r="B15" s="14" t="s">
        <v>3613</v>
      </c>
      <c r="C15" s="14" t="s">
        <v>3611</v>
      </c>
      <c r="D15" s="46" t="s">
        <v>3614</v>
      </c>
      <c r="E15" s="47" t="s">
        <v>3614</v>
      </c>
      <c r="F15" s="15">
        <v>1</v>
      </c>
      <c r="G15" s="19"/>
      <c r="H15" s="19"/>
      <c r="I15" s="67">
        <f>H15/F15</f>
        <v>0</v>
      </c>
    </row>
    <row r="16" spans="1:9" ht="15.6" customHeight="1" x14ac:dyDescent="0.25">
      <c r="A16" s="13">
        <v>12</v>
      </c>
      <c r="B16" s="14" t="s">
        <v>3615</v>
      </c>
      <c r="C16" s="14" t="s">
        <v>3616</v>
      </c>
      <c r="D16" s="46" t="s">
        <v>3581</v>
      </c>
      <c r="E16" s="47" t="s">
        <v>3581</v>
      </c>
      <c r="F16" s="15">
        <v>9.8000000000000007</v>
      </c>
      <c r="G16" s="15"/>
      <c r="H16" s="15"/>
      <c r="I16" s="67">
        <f>H16/F16</f>
        <v>0</v>
      </c>
    </row>
    <row r="17" spans="1:9" ht="15.6" customHeight="1" x14ac:dyDescent="0.25">
      <c r="A17" s="13">
        <v>13</v>
      </c>
      <c r="B17" s="14" t="s">
        <v>3617</v>
      </c>
      <c r="C17" s="14" t="s">
        <v>3618</v>
      </c>
      <c r="D17" s="46" t="s">
        <v>3581</v>
      </c>
      <c r="E17" s="47" t="s">
        <v>3581</v>
      </c>
      <c r="F17" s="15">
        <v>24.8</v>
      </c>
      <c r="G17" s="19"/>
      <c r="H17" s="19"/>
      <c r="I17" s="67">
        <f>H17/F17</f>
        <v>0</v>
      </c>
    </row>
    <row r="18" spans="1:9" ht="15.6" customHeight="1" x14ac:dyDescent="0.25">
      <c r="A18" s="13">
        <v>14</v>
      </c>
      <c r="B18" s="14" t="s">
        <v>3619</v>
      </c>
      <c r="C18" s="14" t="s">
        <v>3620</v>
      </c>
      <c r="D18" s="46" t="s">
        <v>3584</v>
      </c>
      <c r="E18" s="47" t="s">
        <v>3584</v>
      </c>
      <c r="F18" s="15">
        <v>0</v>
      </c>
      <c r="G18" s="19"/>
      <c r="H18" s="19"/>
      <c r="I18" s="67" t="e">
        <f>H18/F18</f>
        <v>#DIV/0!</v>
      </c>
    </row>
    <row r="19" spans="1:9" ht="15.6" customHeight="1" x14ac:dyDescent="0.25">
      <c r="A19" s="13">
        <v>15</v>
      </c>
      <c r="B19" s="14" t="s">
        <v>3621</v>
      </c>
      <c r="C19" s="14" t="s">
        <v>3622</v>
      </c>
      <c r="D19" s="46" t="s">
        <v>3584</v>
      </c>
      <c r="E19" s="47" t="s">
        <v>3584</v>
      </c>
      <c r="F19" s="15">
        <v>3.4</v>
      </c>
      <c r="G19" s="15"/>
      <c r="H19" s="15"/>
      <c r="I19" s="67">
        <f>H19/F19</f>
        <v>0</v>
      </c>
    </row>
    <row r="20" spans="1:9" ht="15.6" customHeight="1" x14ac:dyDescent="0.25">
      <c r="A20" s="13">
        <v>16</v>
      </c>
      <c r="B20" s="14" t="s">
        <v>3623</v>
      </c>
      <c r="C20" s="14" t="s">
        <v>3624</v>
      </c>
      <c r="D20" s="46" t="s">
        <v>3625</v>
      </c>
      <c r="E20" s="47" t="s">
        <v>3625</v>
      </c>
      <c r="F20" s="15">
        <v>1</v>
      </c>
      <c r="G20" s="19"/>
      <c r="H20" s="19"/>
      <c r="I20" s="67">
        <f>H20/F20</f>
        <v>0</v>
      </c>
    </row>
    <row r="21" spans="1:9" ht="15.6" customHeight="1" x14ac:dyDescent="0.25">
      <c r="A21" s="13">
        <v>17</v>
      </c>
      <c r="B21" s="14" t="s">
        <v>3626</v>
      </c>
      <c r="C21" s="14" t="s">
        <v>3627</v>
      </c>
      <c r="D21" s="46" t="s">
        <v>3581</v>
      </c>
      <c r="E21" s="47" t="s">
        <v>3581</v>
      </c>
      <c r="F21" s="16">
        <v>96.4</v>
      </c>
      <c r="G21" s="19"/>
      <c r="H21" s="19"/>
      <c r="I21" s="67">
        <f>H21/F21</f>
        <v>0</v>
      </c>
    </row>
    <row r="22" spans="1:9" ht="16.8" customHeight="1" x14ac:dyDescent="0.25">
      <c r="A22" s="39" t="s">
        <v>1769</v>
      </c>
      <c r="B22" s="39"/>
      <c r="C22" s="39"/>
      <c r="D22" s="39" t="s">
        <v>3628</v>
      </c>
      <c r="E22" s="39"/>
      <c r="F22" s="12">
        <f>SUM(F5:F21)</f>
        <v>171.87</v>
      </c>
      <c r="G22" s="20"/>
      <c r="H22" s="12">
        <f>SUM(H5:H21)</f>
        <v>0</v>
      </c>
      <c r="I22" s="68">
        <f>H22/F22</f>
        <v>0</v>
      </c>
    </row>
  </sheetData>
  <mergeCells count="25">
    <mergeCell ref="A22:C22"/>
    <mergeCell ref="D22:E22"/>
    <mergeCell ref="D17:E17"/>
    <mergeCell ref="D18:E18"/>
    <mergeCell ref="D19:E19"/>
    <mergeCell ref="D20:E20"/>
    <mergeCell ref="D21:E21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658B-F010-4E5E-AAE1-E30DFF0353EC}">
  <sheetPr codeName="Sheet5"/>
  <dimension ref="A1:I25"/>
  <sheetViews>
    <sheetView zoomScaleNormal="100" workbookViewId="0">
      <selection activeCell="J16" sqref="J16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3629</v>
      </c>
      <c r="C5" s="14" t="s">
        <v>3630</v>
      </c>
      <c r="D5" s="46" t="s">
        <v>3631</v>
      </c>
      <c r="E5" s="47" t="s">
        <v>3631</v>
      </c>
      <c r="F5" s="15">
        <v>12</v>
      </c>
      <c r="G5" s="19"/>
      <c r="H5" s="19"/>
      <c r="I5" s="67">
        <f>H5/F5</f>
        <v>0</v>
      </c>
    </row>
    <row r="6" spans="1:9" ht="15.6" customHeight="1" x14ac:dyDescent="0.25">
      <c r="A6" s="13">
        <v>2</v>
      </c>
      <c r="B6" s="14" t="s">
        <v>3632</v>
      </c>
      <c r="C6" s="14" t="s">
        <v>3633</v>
      </c>
      <c r="D6" s="46" t="s">
        <v>3634</v>
      </c>
      <c r="E6" s="47" t="s">
        <v>3634</v>
      </c>
      <c r="F6" s="15">
        <v>16</v>
      </c>
      <c r="G6" s="19"/>
      <c r="H6" s="19"/>
      <c r="I6" s="67">
        <f>H6/F6</f>
        <v>0</v>
      </c>
    </row>
    <row r="7" spans="1:9" ht="15.6" customHeight="1" x14ac:dyDescent="0.25">
      <c r="A7" s="13">
        <v>3</v>
      </c>
      <c r="B7" s="14" t="s">
        <v>3635</v>
      </c>
      <c r="C7" s="14" t="s">
        <v>3636</v>
      </c>
      <c r="D7" s="46" t="s">
        <v>3637</v>
      </c>
      <c r="E7" s="47" t="s">
        <v>3637</v>
      </c>
      <c r="F7" s="15">
        <v>25</v>
      </c>
      <c r="G7" s="15"/>
      <c r="H7" s="15"/>
      <c r="I7" s="67">
        <f>H7/F7</f>
        <v>0</v>
      </c>
    </row>
    <row r="8" spans="1:9" ht="15.6" customHeight="1" x14ac:dyDescent="0.25">
      <c r="A8" s="13">
        <v>4</v>
      </c>
      <c r="B8" s="14" t="s">
        <v>3638</v>
      </c>
      <c r="C8" s="14" t="s">
        <v>3639</v>
      </c>
      <c r="D8" s="46" t="s">
        <v>3631</v>
      </c>
      <c r="E8" s="47" t="s">
        <v>3631</v>
      </c>
      <c r="F8" s="15">
        <v>5.5</v>
      </c>
      <c r="G8" s="19"/>
      <c r="H8" s="19"/>
      <c r="I8" s="67">
        <f>H8/F8</f>
        <v>0</v>
      </c>
    </row>
    <row r="9" spans="1:9" ht="15.6" customHeight="1" x14ac:dyDescent="0.25">
      <c r="A9" s="13">
        <v>5</v>
      </c>
      <c r="B9" s="14" t="s">
        <v>3640</v>
      </c>
      <c r="C9" s="14" t="s">
        <v>3641</v>
      </c>
      <c r="D9" s="46" t="s">
        <v>3631</v>
      </c>
      <c r="E9" s="47" t="s">
        <v>3631</v>
      </c>
      <c r="F9" s="15">
        <v>6</v>
      </c>
      <c r="G9" s="19"/>
      <c r="H9" s="19"/>
      <c r="I9" s="67">
        <f>H9/F9</f>
        <v>0</v>
      </c>
    </row>
    <row r="10" spans="1:9" ht="15.6" customHeight="1" x14ac:dyDescent="0.25">
      <c r="A10" s="13">
        <v>6</v>
      </c>
      <c r="B10" s="14" t="s">
        <v>3642</v>
      </c>
      <c r="C10" s="14" t="s">
        <v>3643</v>
      </c>
      <c r="D10" s="46" t="s">
        <v>3631</v>
      </c>
      <c r="E10" s="47" t="s">
        <v>3631</v>
      </c>
      <c r="F10" s="15">
        <v>5.8</v>
      </c>
      <c r="G10" s="15"/>
      <c r="H10" s="15"/>
      <c r="I10" s="67">
        <f>H10/F10</f>
        <v>0</v>
      </c>
    </row>
    <row r="11" spans="1:9" ht="15.6" customHeight="1" x14ac:dyDescent="0.25">
      <c r="A11" s="13">
        <v>7</v>
      </c>
      <c r="B11" s="14" t="s">
        <v>3644</v>
      </c>
      <c r="C11" s="14" t="s">
        <v>3645</v>
      </c>
      <c r="D11" s="46" t="s">
        <v>3631</v>
      </c>
      <c r="E11" s="47" t="s">
        <v>3631</v>
      </c>
      <c r="F11" s="15">
        <v>3</v>
      </c>
      <c r="G11" s="19"/>
      <c r="H11" s="19"/>
      <c r="I11" s="67">
        <f>H11/F11</f>
        <v>0</v>
      </c>
    </row>
    <row r="12" spans="1:9" ht="15.6" customHeight="1" x14ac:dyDescent="0.25">
      <c r="A12" s="13">
        <v>8</v>
      </c>
      <c r="B12" s="14" t="s">
        <v>3646</v>
      </c>
      <c r="C12" s="14" t="s">
        <v>3647</v>
      </c>
      <c r="D12" s="46" t="s">
        <v>3631</v>
      </c>
      <c r="E12" s="47" t="s">
        <v>3631</v>
      </c>
      <c r="F12" s="15">
        <v>5.2</v>
      </c>
      <c r="G12" s="19"/>
      <c r="H12" s="19"/>
      <c r="I12" s="67">
        <f>H12/F12</f>
        <v>0</v>
      </c>
    </row>
    <row r="13" spans="1:9" ht="15.6" customHeight="1" x14ac:dyDescent="0.25">
      <c r="A13" s="13">
        <v>9</v>
      </c>
      <c r="B13" s="14" t="s">
        <v>3648</v>
      </c>
      <c r="C13" s="14" t="s">
        <v>3649</v>
      </c>
      <c r="D13" s="46" t="s">
        <v>3631</v>
      </c>
      <c r="E13" s="47" t="s">
        <v>3631</v>
      </c>
      <c r="F13" s="15">
        <v>3</v>
      </c>
      <c r="G13" s="15"/>
      <c r="H13" s="15"/>
      <c r="I13" s="67">
        <f>H13/F13</f>
        <v>0</v>
      </c>
    </row>
    <row r="14" spans="1:9" ht="15.6" customHeight="1" x14ac:dyDescent="0.25">
      <c r="A14" s="13">
        <v>10</v>
      </c>
      <c r="B14" s="14" t="s">
        <v>3650</v>
      </c>
      <c r="C14" s="14" t="s">
        <v>3651</v>
      </c>
      <c r="D14" s="46" t="s">
        <v>3652</v>
      </c>
      <c r="E14" s="47" t="s">
        <v>3652</v>
      </c>
      <c r="F14" s="15">
        <v>2</v>
      </c>
      <c r="G14" s="19"/>
      <c r="H14" s="19"/>
      <c r="I14" s="67">
        <f>H14/F14</f>
        <v>0</v>
      </c>
    </row>
    <row r="15" spans="1:9" ht="15.6" customHeight="1" x14ac:dyDescent="0.25">
      <c r="A15" s="13">
        <v>11</v>
      </c>
      <c r="B15" s="14" t="s">
        <v>3653</v>
      </c>
      <c r="C15" s="14" t="s">
        <v>3654</v>
      </c>
      <c r="D15" s="46" t="s">
        <v>3652</v>
      </c>
      <c r="E15" s="47" t="s">
        <v>3652</v>
      </c>
      <c r="F15" s="15">
        <v>4</v>
      </c>
      <c r="G15" s="19"/>
      <c r="H15" s="19"/>
      <c r="I15" s="67">
        <f>H15/F15</f>
        <v>0</v>
      </c>
    </row>
    <row r="16" spans="1:9" ht="15.6" customHeight="1" x14ac:dyDescent="0.25">
      <c r="A16" s="13">
        <v>12</v>
      </c>
      <c r="B16" s="14" t="s">
        <v>3655</v>
      </c>
      <c r="C16" s="14" t="s">
        <v>3656</v>
      </c>
      <c r="D16" s="46" t="s">
        <v>3652</v>
      </c>
      <c r="E16" s="47" t="s">
        <v>3652</v>
      </c>
      <c r="F16" s="15">
        <v>6</v>
      </c>
      <c r="G16" s="15"/>
      <c r="H16" s="15"/>
      <c r="I16" s="67">
        <f>H16/F16</f>
        <v>0</v>
      </c>
    </row>
    <row r="17" spans="1:9" ht="15.6" customHeight="1" x14ac:dyDescent="0.25">
      <c r="A17" s="13">
        <v>13</v>
      </c>
      <c r="B17" s="14" t="s">
        <v>3657</v>
      </c>
      <c r="C17" s="14" t="s">
        <v>3658</v>
      </c>
      <c r="D17" s="46" t="s">
        <v>3631</v>
      </c>
      <c r="E17" s="47" t="s">
        <v>3631</v>
      </c>
      <c r="F17" s="15">
        <v>2.8</v>
      </c>
      <c r="G17" s="19"/>
      <c r="H17" s="19"/>
      <c r="I17" s="67">
        <f>H17/F17</f>
        <v>0</v>
      </c>
    </row>
    <row r="18" spans="1:9" ht="15.6" customHeight="1" x14ac:dyDescent="0.25">
      <c r="A18" s="13">
        <v>14</v>
      </c>
      <c r="B18" s="14" t="s">
        <v>3659</v>
      </c>
      <c r="C18" s="14" t="s">
        <v>3660</v>
      </c>
      <c r="D18" s="46" t="s">
        <v>3631</v>
      </c>
      <c r="E18" s="47" t="s">
        <v>3631</v>
      </c>
      <c r="F18" s="15">
        <v>3.4</v>
      </c>
      <c r="G18" s="19"/>
      <c r="H18" s="19"/>
      <c r="I18" s="67">
        <f>H18/F18</f>
        <v>0</v>
      </c>
    </row>
    <row r="19" spans="1:9" ht="15.6" customHeight="1" x14ac:dyDescent="0.25">
      <c r="A19" s="13">
        <v>15</v>
      </c>
      <c r="B19" s="14" t="s">
        <v>3661</v>
      </c>
      <c r="C19" s="14" t="s">
        <v>3662</v>
      </c>
      <c r="D19" s="46" t="s">
        <v>3631</v>
      </c>
      <c r="E19" s="47" t="s">
        <v>3631</v>
      </c>
      <c r="F19" s="15">
        <v>6</v>
      </c>
      <c r="G19" s="15"/>
      <c r="H19" s="15"/>
      <c r="I19" s="67">
        <f>H19/F19</f>
        <v>0</v>
      </c>
    </row>
    <row r="20" spans="1:9" ht="15.6" customHeight="1" x14ac:dyDescent="0.25">
      <c r="A20" s="13">
        <v>16</v>
      </c>
      <c r="B20" s="14" t="s">
        <v>3663</v>
      </c>
      <c r="C20" s="14" t="s">
        <v>3664</v>
      </c>
      <c r="D20" s="46"/>
      <c r="E20" s="47"/>
      <c r="F20" s="15">
        <v>7.5</v>
      </c>
      <c r="G20" s="19"/>
      <c r="H20" s="19"/>
      <c r="I20" s="67">
        <f>H20/F20</f>
        <v>0</v>
      </c>
    </row>
    <row r="21" spans="1:9" ht="15.6" customHeight="1" x14ac:dyDescent="0.25">
      <c r="A21" s="13">
        <v>17</v>
      </c>
      <c r="B21" s="14" t="s">
        <v>3665</v>
      </c>
      <c r="C21" s="14" t="s">
        <v>3666</v>
      </c>
      <c r="D21" s="46"/>
      <c r="E21" s="47"/>
      <c r="F21" s="16">
        <v>6.5</v>
      </c>
      <c r="G21" s="19"/>
      <c r="H21" s="19"/>
      <c r="I21" s="67">
        <f>H21/F21</f>
        <v>0</v>
      </c>
    </row>
    <row r="22" spans="1:9" ht="15.6" customHeight="1" x14ac:dyDescent="0.25">
      <c r="A22" s="13">
        <v>18</v>
      </c>
      <c r="B22" s="14" t="s">
        <v>3667</v>
      </c>
      <c r="C22" s="14" t="s">
        <v>3668</v>
      </c>
      <c r="D22" s="46" t="s">
        <v>3669</v>
      </c>
      <c r="E22" s="47" t="s">
        <v>3669</v>
      </c>
      <c r="F22" s="15">
        <v>43.599999999999994</v>
      </c>
      <c r="G22" s="15"/>
      <c r="H22" s="15"/>
      <c r="I22" s="67">
        <f>H22/F22</f>
        <v>0</v>
      </c>
    </row>
    <row r="23" spans="1:9" ht="15.6" customHeight="1" x14ac:dyDescent="0.25">
      <c r="A23" s="13">
        <v>19</v>
      </c>
      <c r="B23" s="14" t="s">
        <v>3670</v>
      </c>
      <c r="C23" s="14" t="s">
        <v>3671</v>
      </c>
      <c r="D23" s="46" t="s">
        <v>3595</v>
      </c>
      <c r="E23" s="47" t="s">
        <v>3595</v>
      </c>
      <c r="F23" s="15">
        <v>1</v>
      </c>
      <c r="G23" s="19"/>
      <c r="H23" s="19"/>
      <c r="I23" s="67">
        <f>H23/F23</f>
        <v>0</v>
      </c>
    </row>
    <row r="24" spans="1:9" ht="15.6" customHeight="1" x14ac:dyDescent="0.25">
      <c r="A24" s="13">
        <v>20</v>
      </c>
      <c r="B24" s="14" t="s">
        <v>3672</v>
      </c>
      <c r="C24" s="14" t="s">
        <v>3673</v>
      </c>
      <c r="D24" s="46" t="s">
        <v>304</v>
      </c>
      <c r="E24" s="47" t="s">
        <v>304</v>
      </c>
      <c r="F24" s="15">
        <v>3.5</v>
      </c>
      <c r="G24" s="19"/>
      <c r="H24" s="19"/>
      <c r="I24" s="67">
        <f>H24/F24</f>
        <v>0</v>
      </c>
    </row>
    <row r="25" spans="1:9" ht="16.8" customHeight="1" x14ac:dyDescent="0.25">
      <c r="A25" s="39" t="s">
        <v>1769</v>
      </c>
      <c r="B25" s="39"/>
      <c r="C25" s="39"/>
      <c r="D25" s="39" t="s">
        <v>3674</v>
      </c>
      <c r="E25" s="39"/>
      <c r="F25" s="12">
        <f>SUM(F5:F24)</f>
        <v>167.8</v>
      </c>
      <c r="G25" s="20"/>
      <c r="H25" s="12">
        <f>SUM(H5:H24)</f>
        <v>0</v>
      </c>
      <c r="I25" s="68">
        <f>H25/F25</f>
        <v>0</v>
      </c>
    </row>
  </sheetData>
  <mergeCells count="28">
    <mergeCell ref="D23:E23"/>
    <mergeCell ref="D24:E24"/>
    <mergeCell ref="A25:C25"/>
    <mergeCell ref="D25:E25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488B-0B8E-4CC9-AD36-A53AAA6ED03F}">
  <sheetPr codeName="Sheet6"/>
  <dimension ref="A1:I16"/>
  <sheetViews>
    <sheetView zoomScaleNormal="100" workbookViewId="0">
      <selection activeCell="B29" sqref="B29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3678</v>
      </c>
      <c r="C5" s="14" t="s">
        <v>3679</v>
      </c>
      <c r="D5" s="46" t="s">
        <v>3680</v>
      </c>
      <c r="E5" s="47" t="s">
        <v>3680</v>
      </c>
      <c r="F5" s="15">
        <v>51.900000000000006</v>
      </c>
      <c r="G5" s="19"/>
      <c r="H5" s="19"/>
      <c r="I5" s="67">
        <f>H5/F5</f>
        <v>0</v>
      </c>
    </row>
    <row r="6" spans="1:9" ht="15.6" customHeight="1" x14ac:dyDescent="0.25">
      <c r="A6" s="13">
        <v>2</v>
      </c>
      <c r="B6" s="14" t="s">
        <v>3681</v>
      </c>
      <c r="C6" s="14" t="s">
        <v>3682</v>
      </c>
      <c r="D6" s="46" t="s">
        <v>3595</v>
      </c>
      <c r="E6" s="47" t="s">
        <v>3595</v>
      </c>
      <c r="F6" s="15">
        <v>1.3</v>
      </c>
      <c r="G6" s="19"/>
      <c r="H6" s="19"/>
      <c r="I6" s="67">
        <f>H6/F6</f>
        <v>0</v>
      </c>
    </row>
    <row r="7" spans="1:9" ht="15.6" customHeight="1" x14ac:dyDescent="0.25">
      <c r="A7" s="13">
        <v>3</v>
      </c>
      <c r="B7" s="14" t="s">
        <v>3683</v>
      </c>
      <c r="C7" s="14" t="s">
        <v>3684</v>
      </c>
      <c r="D7" s="46" t="s">
        <v>76</v>
      </c>
      <c r="E7" s="47" t="s">
        <v>76</v>
      </c>
      <c r="F7" s="15">
        <v>1.2</v>
      </c>
      <c r="G7" s="15"/>
      <c r="H7" s="15"/>
      <c r="I7" s="67">
        <f>H7/F7</f>
        <v>0</v>
      </c>
    </row>
    <row r="8" spans="1:9" ht="15.6" customHeight="1" x14ac:dyDescent="0.25">
      <c r="A8" s="13">
        <v>4</v>
      </c>
      <c r="B8" s="14" t="s">
        <v>3685</v>
      </c>
      <c r="C8" s="14" t="s">
        <v>3686</v>
      </c>
      <c r="D8" s="46" t="s">
        <v>270</v>
      </c>
      <c r="E8" s="47" t="s">
        <v>270</v>
      </c>
      <c r="F8" s="15">
        <v>1.1000000000000001</v>
      </c>
      <c r="G8" s="19"/>
      <c r="H8" s="19"/>
      <c r="I8" s="67">
        <f>H8/F8</f>
        <v>0</v>
      </c>
    </row>
    <row r="9" spans="1:9" ht="16.8" customHeight="1" x14ac:dyDescent="0.25">
      <c r="A9" s="39" t="s">
        <v>1769</v>
      </c>
      <c r="B9" s="39"/>
      <c r="C9" s="39"/>
      <c r="D9" s="39" t="s">
        <v>2051</v>
      </c>
      <c r="E9" s="39"/>
      <c r="F9" s="12">
        <f>SUM(F5:F8)</f>
        <v>55.500000000000007</v>
      </c>
      <c r="G9" s="20"/>
      <c r="H9" s="12">
        <f>SUM(H5:H8)</f>
        <v>0</v>
      </c>
      <c r="I9" s="68">
        <f>H9/F9</f>
        <v>0</v>
      </c>
    </row>
    <row r="11" spans="1:9" ht="15" x14ac:dyDescent="0.25">
      <c r="A11" s="17" t="s">
        <v>1766</v>
      </c>
    </row>
    <row r="13" spans="1:9" s="18" customFormat="1" ht="17.399999999999999" customHeight="1" x14ac:dyDescent="0.25">
      <c r="A13" s="39" t="s">
        <v>0</v>
      </c>
      <c r="B13" s="41" t="s">
        <v>1761</v>
      </c>
      <c r="C13" s="41"/>
      <c r="D13" s="42" t="s">
        <v>1763</v>
      </c>
      <c r="E13" s="43"/>
      <c r="F13" s="41" t="s">
        <v>1768</v>
      </c>
      <c r="G13" s="40" t="s">
        <v>1772</v>
      </c>
      <c r="H13" s="39" t="s">
        <v>1773</v>
      </c>
      <c r="I13" s="39"/>
    </row>
    <row r="14" spans="1:9" s="18" customFormat="1" ht="17.399999999999999" customHeight="1" x14ac:dyDescent="0.25">
      <c r="A14" s="39"/>
      <c r="B14" s="11" t="s">
        <v>1</v>
      </c>
      <c r="C14" s="11" t="s">
        <v>1762</v>
      </c>
      <c r="D14" s="44"/>
      <c r="E14" s="45"/>
      <c r="F14" s="41"/>
      <c r="G14" s="40"/>
      <c r="H14" s="11" t="s">
        <v>1774</v>
      </c>
      <c r="I14" s="11" t="s">
        <v>1775</v>
      </c>
    </row>
    <row r="15" spans="1:9" ht="16.2" customHeight="1" x14ac:dyDescent="0.25">
      <c r="A15" s="8">
        <v>1</v>
      </c>
      <c r="B15" s="9" t="s">
        <v>3675</v>
      </c>
      <c r="C15" s="22" t="s">
        <v>3676</v>
      </c>
      <c r="D15" s="48" t="s">
        <v>3677</v>
      </c>
      <c r="E15" s="49" t="s">
        <v>3677</v>
      </c>
      <c r="F15" s="10">
        <v>30</v>
      </c>
      <c r="G15" s="19"/>
      <c r="H15" s="19"/>
      <c r="I15" s="67">
        <f>H15/F15</f>
        <v>0</v>
      </c>
    </row>
    <row r="16" spans="1:9" ht="16.8" customHeight="1" x14ac:dyDescent="0.25">
      <c r="A16" s="39" t="s">
        <v>1769</v>
      </c>
      <c r="B16" s="39"/>
      <c r="C16" s="39"/>
      <c r="D16" s="39" t="s">
        <v>2050</v>
      </c>
      <c r="E16" s="39"/>
      <c r="F16" s="12">
        <f>SUM(F15:F15)</f>
        <v>30</v>
      </c>
      <c r="G16" s="20"/>
      <c r="H16" s="12">
        <f>SUM(H15:H15)</f>
        <v>0</v>
      </c>
      <c r="I16" s="68">
        <f>H16/F16</f>
        <v>0</v>
      </c>
    </row>
  </sheetData>
  <mergeCells count="21">
    <mergeCell ref="D15:E15"/>
    <mergeCell ref="A16:C16"/>
    <mergeCell ref="D16:E16"/>
    <mergeCell ref="A13:A14"/>
    <mergeCell ref="B13:C13"/>
    <mergeCell ref="D13:E14"/>
    <mergeCell ref="F13:F14"/>
    <mergeCell ref="G13:G14"/>
    <mergeCell ref="H13:I13"/>
    <mergeCell ref="A9:C9"/>
    <mergeCell ref="D9:E9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CCA2A-7C27-4D44-81A2-A3F45F3D8982}">
  <sheetPr codeName="Sheet7"/>
  <dimension ref="A2:I7"/>
  <sheetViews>
    <sheetView zoomScaleNormal="100" workbookViewId="0">
      <selection activeCell="J23" sqref="J23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7" t="s">
        <v>1766</v>
      </c>
    </row>
    <row r="4" spans="1:9" s="18" customFormat="1" ht="17.399999999999999" customHeight="1" x14ac:dyDescent="0.25">
      <c r="A4" s="39" t="s">
        <v>0</v>
      </c>
      <c r="B4" s="41" t="s">
        <v>1761</v>
      </c>
      <c r="C4" s="41"/>
      <c r="D4" s="42" t="s">
        <v>1763</v>
      </c>
      <c r="E4" s="43"/>
      <c r="F4" s="41" t="s">
        <v>1768</v>
      </c>
      <c r="G4" s="40" t="s">
        <v>1772</v>
      </c>
      <c r="H4" s="39" t="s">
        <v>1773</v>
      </c>
      <c r="I4" s="39"/>
    </row>
    <row r="5" spans="1:9" s="18" customFormat="1" ht="17.399999999999999" customHeight="1" x14ac:dyDescent="0.25">
      <c r="A5" s="39"/>
      <c r="B5" s="11" t="s">
        <v>1</v>
      </c>
      <c r="C5" s="11" t="s">
        <v>1762</v>
      </c>
      <c r="D5" s="44"/>
      <c r="E5" s="45"/>
      <c r="F5" s="41"/>
      <c r="G5" s="40"/>
      <c r="H5" s="11" t="s">
        <v>1774</v>
      </c>
      <c r="I5" s="11" t="s">
        <v>1775</v>
      </c>
    </row>
    <row r="6" spans="1:9" ht="16.2" customHeight="1" x14ac:dyDescent="0.25">
      <c r="A6" s="8">
        <v>1</v>
      </c>
      <c r="B6" s="9" t="s">
        <v>3687</v>
      </c>
      <c r="C6" s="22" t="s">
        <v>3688</v>
      </c>
      <c r="D6" s="48" t="s">
        <v>3689</v>
      </c>
      <c r="E6" s="49" t="s">
        <v>3689</v>
      </c>
      <c r="F6" s="10">
        <v>32.700000000000003</v>
      </c>
      <c r="G6" s="19"/>
      <c r="H6" s="19"/>
      <c r="I6" s="67">
        <f>H6/F6</f>
        <v>0</v>
      </c>
    </row>
    <row r="7" spans="1:9" ht="16.8" customHeight="1" x14ac:dyDescent="0.25">
      <c r="A7" s="39" t="s">
        <v>1769</v>
      </c>
      <c r="B7" s="39"/>
      <c r="C7" s="39"/>
      <c r="D7" s="39" t="s">
        <v>2050</v>
      </c>
      <c r="E7" s="39"/>
      <c r="F7" s="12">
        <f>SUM(F6:F6)</f>
        <v>32.700000000000003</v>
      </c>
      <c r="G7" s="20"/>
      <c r="H7" s="12">
        <f>SUM(H6:H6)</f>
        <v>0</v>
      </c>
      <c r="I7" s="68">
        <f>H7/F7</f>
        <v>0</v>
      </c>
    </row>
  </sheetData>
  <mergeCells count="9">
    <mergeCell ref="D6:E6"/>
    <mergeCell ref="A7:C7"/>
    <mergeCell ref="D7:E7"/>
    <mergeCell ref="A4:A5"/>
    <mergeCell ref="B4:C4"/>
    <mergeCell ref="D4:E5"/>
    <mergeCell ref="F4:F5"/>
    <mergeCell ref="G4:G5"/>
    <mergeCell ref="H4:I4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16D0-DCA3-4FE5-8A46-659AA099C7C2}">
  <sheetPr codeName="Sheet8"/>
  <dimension ref="A1:I35"/>
  <sheetViews>
    <sheetView topLeftCell="A13" zoomScaleNormal="100" workbookViewId="0">
      <selection activeCell="J20" sqref="J20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4" t="s">
        <v>3690</v>
      </c>
      <c r="C5" s="14" t="s">
        <v>3691</v>
      </c>
      <c r="D5" s="46" t="s">
        <v>119</v>
      </c>
      <c r="E5" s="47" t="s">
        <v>119</v>
      </c>
      <c r="F5" s="19">
        <v>78</v>
      </c>
      <c r="G5" s="19"/>
      <c r="H5" s="19"/>
      <c r="I5" s="67">
        <f>H5/F5</f>
        <v>0</v>
      </c>
    </row>
    <row r="6" spans="1:9" ht="15.6" customHeight="1" x14ac:dyDescent="0.25">
      <c r="A6" s="13">
        <v>2</v>
      </c>
      <c r="B6" s="14" t="s">
        <v>3692</v>
      </c>
      <c r="C6" s="14" t="s">
        <v>3693</v>
      </c>
      <c r="D6" s="46" t="s">
        <v>3694</v>
      </c>
      <c r="E6" s="47" t="s">
        <v>3694</v>
      </c>
      <c r="F6" s="19">
        <v>13</v>
      </c>
      <c r="G6" s="19"/>
      <c r="H6" s="19"/>
      <c r="I6" s="67">
        <f>H6/F6</f>
        <v>0</v>
      </c>
    </row>
    <row r="7" spans="1:9" ht="15.6" customHeight="1" x14ac:dyDescent="0.25">
      <c r="A7" s="13">
        <v>3</v>
      </c>
      <c r="B7" s="14" t="s">
        <v>3695</v>
      </c>
      <c r="C7" s="14" t="s">
        <v>3696</v>
      </c>
      <c r="D7" s="46" t="s">
        <v>119</v>
      </c>
      <c r="E7" s="47" t="s">
        <v>119</v>
      </c>
      <c r="F7" s="19">
        <v>75</v>
      </c>
      <c r="G7" s="15"/>
      <c r="H7" s="15"/>
      <c r="I7" s="67">
        <f>H7/F7</f>
        <v>0</v>
      </c>
    </row>
    <row r="8" spans="1:9" ht="15.6" customHeight="1" x14ac:dyDescent="0.25">
      <c r="A8" s="13">
        <v>4</v>
      </c>
      <c r="B8" s="14" t="s">
        <v>3697</v>
      </c>
      <c r="C8" s="14" t="s">
        <v>3698</v>
      </c>
      <c r="D8" s="46" t="s">
        <v>3631</v>
      </c>
      <c r="E8" s="47" t="s">
        <v>3631</v>
      </c>
      <c r="F8" s="19">
        <v>15</v>
      </c>
      <c r="G8" s="19"/>
      <c r="H8" s="19"/>
      <c r="I8" s="67">
        <f>H8/F8</f>
        <v>0</v>
      </c>
    </row>
    <row r="9" spans="1:9" ht="15.6" customHeight="1" x14ac:dyDescent="0.25">
      <c r="A9" s="13">
        <v>5</v>
      </c>
      <c r="B9" s="14" t="s">
        <v>3699</v>
      </c>
      <c r="C9" s="14" t="s">
        <v>3700</v>
      </c>
      <c r="D9" s="46" t="s">
        <v>3701</v>
      </c>
      <c r="E9" s="47" t="s">
        <v>3701</v>
      </c>
      <c r="F9" s="19">
        <v>14</v>
      </c>
      <c r="G9" s="19"/>
      <c r="H9" s="19"/>
      <c r="I9" s="67">
        <f>H9/F9</f>
        <v>0</v>
      </c>
    </row>
    <row r="10" spans="1:9" ht="15.6" customHeight="1" x14ac:dyDescent="0.25">
      <c r="A10" s="13">
        <v>6</v>
      </c>
      <c r="B10" s="14" t="s">
        <v>3702</v>
      </c>
      <c r="C10" s="14" t="s">
        <v>3703</v>
      </c>
      <c r="D10" s="46" t="s">
        <v>3704</v>
      </c>
      <c r="E10" s="47" t="s">
        <v>3704</v>
      </c>
      <c r="F10" s="19">
        <v>8</v>
      </c>
      <c r="G10" s="15"/>
      <c r="H10" s="15"/>
      <c r="I10" s="67">
        <f>H10/F10</f>
        <v>0</v>
      </c>
    </row>
    <row r="11" spans="1:9" ht="15.6" customHeight="1" x14ac:dyDescent="0.25">
      <c r="A11" s="13">
        <v>7</v>
      </c>
      <c r="B11" s="14" t="s">
        <v>3705</v>
      </c>
      <c r="C11" s="14" t="s">
        <v>3706</v>
      </c>
      <c r="D11" s="46" t="s">
        <v>3707</v>
      </c>
      <c r="E11" s="47" t="s">
        <v>3707</v>
      </c>
      <c r="F11" s="19">
        <v>0.5</v>
      </c>
      <c r="G11" s="19"/>
      <c r="H11" s="19"/>
      <c r="I11" s="67">
        <f>H11/F11</f>
        <v>0</v>
      </c>
    </row>
    <row r="12" spans="1:9" ht="15.6" customHeight="1" x14ac:dyDescent="0.25">
      <c r="A12" s="13">
        <v>8</v>
      </c>
      <c r="B12" s="14" t="s">
        <v>3708</v>
      </c>
      <c r="C12" s="14" t="s">
        <v>3709</v>
      </c>
      <c r="D12" s="46" t="s">
        <v>3710</v>
      </c>
      <c r="E12" s="47" t="s">
        <v>3710</v>
      </c>
      <c r="F12" s="19">
        <v>0.3</v>
      </c>
      <c r="G12" s="19"/>
      <c r="H12" s="19"/>
      <c r="I12" s="67">
        <f>H12/F12</f>
        <v>0</v>
      </c>
    </row>
    <row r="13" spans="1:9" ht="15.6" customHeight="1" x14ac:dyDescent="0.25">
      <c r="A13" s="13">
        <v>9</v>
      </c>
      <c r="B13" s="14" t="s">
        <v>3711</v>
      </c>
      <c r="C13" s="14" t="s">
        <v>3712</v>
      </c>
      <c r="D13" s="46" t="s">
        <v>3631</v>
      </c>
      <c r="E13" s="47" t="s">
        <v>3631</v>
      </c>
      <c r="F13" s="19">
        <v>5</v>
      </c>
      <c r="G13" s="15"/>
      <c r="H13" s="15"/>
      <c r="I13" s="67">
        <f>H13/F13</f>
        <v>0</v>
      </c>
    </row>
    <row r="14" spans="1:9" ht="15.6" customHeight="1" x14ac:dyDescent="0.25">
      <c r="A14" s="13">
        <v>10</v>
      </c>
      <c r="B14" s="14" t="s">
        <v>3713</v>
      </c>
      <c r="C14" s="14" t="s">
        <v>3714</v>
      </c>
      <c r="D14" s="46" t="s">
        <v>3631</v>
      </c>
      <c r="E14" s="47" t="s">
        <v>3631</v>
      </c>
      <c r="F14" s="19">
        <v>2</v>
      </c>
      <c r="G14" s="19"/>
      <c r="H14" s="19"/>
      <c r="I14" s="67">
        <f>H14/F14</f>
        <v>0</v>
      </c>
    </row>
    <row r="15" spans="1:9" ht="15.6" customHeight="1" x14ac:dyDescent="0.25">
      <c r="A15" s="13">
        <v>11</v>
      </c>
      <c r="B15" s="14" t="s">
        <v>3715</v>
      </c>
      <c r="C15" s="14" t="s">
        <v>3716</v>
      </c>
      <c r="D15" s="46" t="s">
        <v>3631</v>
      </c>
      <c r="E15" s="47" t="s">
        <v>3631</v>
      </c>
      <c r="F15" s="19">
        <v>4</v>
      </c>
      <c r="G15" s="19"/>
      <c r="H15" s="19"/>
      <c r="I15" s="67">
        <f>H15/F15</f>
        <v>0</v>
      </c>
    </row>
    <row r="16" spans="1:9" ht="15.6" customHeight="1" x14ac:dyDescent="0.25">
      <c r="A16" s="13">
        <v>12</v>
      </c>
      <c r="B16" s="14" t="s">
        <v>3717</v>
      </c>
      <c r="C16" s="14" t="s">
        <v>3718</v>
      </c>
      <c r="D16" s="46" t="s">
        <v>3631</v>
      </c>
      <c r="E16" s="47" t="s">
        <v>3631</v>
      </c>
      <c r="F16" s="19">
        <v>3</v>
      </c>
      <c r="G16" s="15"/>
      <c r="H16" s="15"/>
      <c r="I16" s="67">
        <f>H16/F16</f>
        <v>0</v>
      </c>
    </row>
    <row r="17" spans="1:9" ht="15.6" customHeight="1" x14ac:dyDescent="0.25">
      <c r="A17" s="13">
        <v>13</v>
      </c>
      <c r="B17" s="14" t="s">
        <v>3719</v>
      </c>
      <c r="C17" s="14" t="s">
        <v>3720</v>
      </c>
      <c r="D17" s="46" t="s">
        <v>3721</v>
      </c>
      <c r="E17" s="47" t="s">
        <v>3721</v>
      </c>
      <c r="F17" s="19">
        <v>2.5</v>
      </c>
      <c r="G17" s="19"/>
      <c r="H17" s="19"/>
      <c r="I17" s="67">
        <f>H17/F17</f>
        <v>0</v>
      </c>
    </row>
    <row r="18" spans="1:9" ht="15.6" customHeight="1" x14ac:dyDescent="0.25">
      <c r="A18" s="13">
        <v>14</v>
      </c>
      <c r="B18" s="14" t="s">
        <v>3722</v>
      </c>
      <c r="C18" s="14" t="s">
        <v>3723</v>
      </c>
      <c r="D18" s="46" t="s">
        <v>3631</v>
      </c>
      <c r="E18" s="47" t="s">
        <v>3631</v>
      </c>
      <c r="F18" s="19">
        <v>3.2</v>
      </c>
      <c r="G18" s="19"/>
      <c r="H18" s="19"/>
      <c r="I18" s="67">
        <f>H18/F18</f>
        <v>0</v>
      </c>
    </row>
    <row r="19" spans="1:9" ht="15.6" customHeight="1" x14ac:dyDescent="0.25">
      <c r="A19" s="13">
        <v>15</v>
      </c>
      <c r="B19" s="14" t="s">
        <v>3724</v>
      </c>
      <c r="C19" s="14" t="s">
        <v>3725</v>
      </c>
      <c r="D19" s="46" t="s">
        <v>3631</v>
      </c>
      <c r="E19" s="47" t="s">
        <v>3631</v>
      </c>
      <c r="F19" s="19">
        <v>3</v>
      </c>
      <c r="G19" s="15"/>
      <c r="H19" s="15"/>
      <c r="I19" s="67">
        <f>H19/F19</f>
        <v>0</v>
      </c>
    </row>
    <row r="20" spans="1:9" ht="15.6" customHeight="1" x14ac:dyDescent="0.25">
      <c r="A20" s="13">
        <v>16</v>
      </c>
      <c r="B20" s="14" t="s">
        <v>3726</v>
      </c>
      <c r="C20" s="14" t="s">
        <v>3727</v>
      </c>
      <c r="D20" s="46" t="s">
        <v>3631</v>
      </c>
      <c r="E20" s="47" t="s">
        <v>3631</v>
      </c>
      <c r="F20" s="19">
        <v>2.5</v>
      </c>
      <c r="G20" s="19"/>
      <c r="H20" s="19"/>
      <c r="I20" s="67">
        <f>H20/F20</f>
        <v>0</v>
      </c>
    </row>
    <row r="21" spans="1:9" ht="15.6" customHeight="1" x14ac:dyDescent="0.25">
      <c r="A21" s="13">
        <v>17</v>
      </c>
      <c r="B21" s="14" t="s">
        <v>3728</v>
      </c>
      <c r="C21" s="14" t="s">
        <v>3729</v>
      </c>
      <c r="D21" s="46" t="s">
        <v>3631</v>
      </c>
      <c r="E21" s="47" t="s">
        <v>3631</v>
      </c>
      <c r="F21" s="19">
        <v>3.3</v>
      </c>
      <c r="G21" s="19"/>
      <c r="H21" s="19"/>
      <c r="I21" s="67">
        <f>H21/F21</f>
        <v>0</v>
      </c>
    </row>
    <row r="22" spans="1:9" ht="15.6" customHeight="1" x14ac:dyDescent="0.25">
      <c r="A22" s="13">
        <v>18</v>
      </c>
      <c r="B22" s="14" t="s">
        <v>3730</v>
      </c>
      <c r="C22" s="14" t="s">
        <v>3731</v>
      </c>
      <c r="D22" s="46" t="s">
        <v>3631</v>
      </c>
      <c r="E22" s="47" t="s">
        <v>3631</v>
      </c>
      <c r="F22" s="19">
        <v>7</v>
      </c>
      <c r="G22" s="15"/>
      <c r="H22" s="15"/>
      <c r="I22" s="67">
        <f>H22/F22</f>
        <v>0</v>
      </c>
    </row>
    <row r="23" spans="1:9" ht="15.6" customHeight="1" x14ac:dyDescent="0.25">
      <c r="A23" s="13">
        <v>19</v>
      </c>
      <c r="B23" s="14" t="s">
        <v>3732</v>
      </c>
      <c r="C23" s="14" t="s">
        <v>3733</v>
      </c>
      <c r="D23" s="46" t="s">
        <v>3631</v>
      </c>
      <c r="E23" s="47" t="s">
        <v>3631</v>
      </c>
      <c r="F23" s="19">
        <v>3.5</v>
      </c>
      <c r="G23" s="19"/>
      <c r="H23" s="19"/>
      <c r="I23" s="67">
        <f>H23/F23</f>
        <v>0</v>
      </c>
    </row>
    <row r="24" spans="1:9" ht="15.6" customHeight="1" x14ac:dyDescent="0.25">
      <c r="A24" s="13">
        <v>20</v>
      </c>
      <c r="B24" s="14" t="s">
        <v>3734</v>
      </c>
      <c r="C24" s="14" t="s">
        <v>3735</v>
      </c>
      <c r="D24" s="46" t="s">
        <v>3631</v>
      </c>
      <c r="E24" s="47" t="s">
        <v>3631</v>
      </c>
      <c r="F24" s="19">
        <v>5</v>
      </c>
      <c r="G24" s="19"/>
      <c r="H24" s="19"/>
      <c r="I24" s="67">
        <f>H24/F24</f>
        <v>0</v>
      </c>
    </row>
    <row r="25" spans="1:9" ht="15.6" customHeight="1" x14ac:dyDescent="0.25">
      <c r="A25" s="13">
        <v>21</v>
      </c>
      <c r="B25" s="14" t="s">
        <v>3736</v>
      </c>
      <c r="C25" s="14" t="s">
        <v>3737</v>
      </c>
      <c r="D25" s="46" t="s">
        <v>3631</v>
      </c>
      <c r="E25" s="47" t="s">
        <v>3631</v>
      </c>
      <c r="F25" s="19">
        <v>3</v>
      </c>
      <c r="G25" s="15"/>
      <c r="H25" s="15"/>
      <c r="I25" s="67">
        <f>H25/F25</f>
        <v>0</v>
      </c>
    </row>
    <row r="26" spans="1:9" ht="15.6" customHeight="1" x14ac:dyDescent="0.25">
      <c r="A26" s="13">
        <v>22</v>
      </c>
      <c r="B26" s="14" t="s">
        <v>3738</v>
      </c>
      <c r="C26" s="14" t="s">
        <v>3739</v>
      </c>
      <c r="D26" s="46" t="s">
        <v>3631</v>
      </c>
      <c r="E26" s="47" t="s">
        <v>3631</v>
      </c>
      <c r="F26" s="19">
        <v>3</v>
      </c>
      <c r="G26" s="19"/>
      <c r="H26" s="19"/>
      <c r="I26" s="67">
        <f>H26/F26</f>
        <v>0</v>
      </c>
    </row>
    <row r="27" spans="1:9" ht="15.6" customHeight="1" x14ac:dyDescent="0.25">
      <c r="A27" s="13">
        <v>23</v>
      </c>
      <c r="B27" s="14" t="s">
        <v>3740</v>
      </c>
      <c r="C27" s="14" t="s">
        <v>3741</v>
      </c>
      <c r="D27" s="46" t="s">
        <v>3742</v>
      </c>
      <c r="E27" s="47" t="s">
        <v>3742</v>
      </c>
      <c r="F27" s="19">
        <v>5</v>
      </c>
      <c r="G27" s="19"/>
      <c r="H27" s="19"/>
      <c r="I27" s="67">
        <f t="shared" ref="I27:I33" si="0">H27/F27</f>
        <v>0</v>
      </c>
    </row>
    <row r="28" spans="1:9" ht="15.6" customHeight="1" x14ac:dyDescent="0.25">
      <c r="A28" s="13">
        <v>24</v>
      </c>
      <c r="B28" s="14" t="s">
        <v>3743</v>
      </c>
      <c r="C28" s="14" t="s">
        <v>3744</v>
      </c>
      <c r="D28" s="46" t="s">
        <v>3631</v>
      </c>
      <c r="E28" s="47" t="s">
        <v>3631</v>
      </c>
      <c r="F28" s="19">
        <v>4.3</v>
      </c>
      <c r="G28" s="19"/>
      <c r="H28" s="19"/>
      <c r="I28" s="67">
        <f t="shared" si="0"/>
        <v>0</v>
      </c>
    </row>
    <row r="29" spans="1:9" ht="15.6" customHeight="1" x14ac:dyDescent="0.25">
      <c r="A29" s="13">
        <v>25</v>
      </c>
      <c r="B29" s="14" t="s">
        <v>3745</v>
      </c>
      <c r="C29" s="14" t="s">
        <v>3746</v>
      </c>
      <c r="D29" s="46" t="s">
        <v>3747</v>
      </c>
      <c r="E29" s="47" t="s">
        <v>3747</v>
      </c>
      <c r="F29" s="19">
        <v>17</v>
      </c>
      <c r="G29" s="19"/>
      <c r="H29" s="19"/>
      <c r="I29" s="67">
        <f t="shared" si="0"/>
        <v>0</v>
      </c>
    </row>
    <row r="30" spans="1:9" ht="15.6" customHeight="1" x14ac:dyDescent="0.25">
      <c r="A30" s="13">
        <v>26</v>
      </c>
      <c r="B30" s="14" t="s">
        <v>3748</v>
      </c>
      <c r="C30" s="14" t="s">
        <v>3749</v>
      </c>
      <c r="D30" s="46" t="s">
        <v>3747</v>
      </c>
      <c r="E30" s="47" t="s">
        <v>3747</v>
      </c>
      <c r="F30" s="19">
        <v>4</v>
      </c>
      <c r="G30" s="19"/>
      <c r="H30" s="19"/>
      <c r="I30" s="67">
        <f t="shared" si="0"/>
        <v>0</v>
      </c>
    </row>
    <row r="31" spans="1:9" ht="15.6" customHeight="1" x14ac:dyDescent="0.25">
      <c r="A31" s="13">
        <v>27</v>
      </c>
      <c r="B31" s="14" t="s">
        <v>3750</v>
      </c>
      <c r="C31" s="14" t="s">
        <v>3751</v>
      </c>
      <c r="D31" s="46" t="s">
        <v>3747</v>
      </c>
      <c r="E31" s="47" t="s">
        <v>3747</v>
      </c>
      <c r="F31" s="19">
        <v>7.5</v>
      </c>
      <c r="G31" s="19"/>
      <c r="H31" s="19"/>
      <c r="I31" s="67">
        <f t="shared" si="0"/>
        <v>0</v>
      </c>
    </row>
    <row r="32" spans="1:9" ht="15.6" customHeight="1" x14ac:dyDescent="0.25">
      <c r="A32" s="13">
        <v>28</v>
      </c>
      <c r="B32" s="14" t="s">
        <v>3752</v>
      </c>
      <c r="C32" s="14" t="s">
        <v>3753</v>
      </c>
      <c r="D32" s="46" t="s">
        <v>3754</v>
      </c>
      <c r="E32" s="47" t="s">
        <v>3754</v>
      </c>
      <c r="F32" s="19">
        <v>2.1</v>
      </c>
      <c r="G32" s="19"/>
      <c r="H32" s="19"/>
      <c r="I32" s="67">
        <f t="shared" si="0"/>
        <v>0</v>
      </c>
    </row>
    <row r="33" spans="1:9" ht="15.6" customHeight="1" x14ac:dyDescent="0.25">
      <c r="A33" s="13">
        <v>29</v>
      </c>
      <c r="B33" s="14" t="s">
        <v>3755</v>
      </c>
      <c r="C33" s="14" t="s">
        <v>3756</v>
      </c>
      <c r="D33" s="46" t="s">
        <v>3754</v>
      </c>
      <c r="E33" s="47" t="s">
        <v>3754</v>
      </c>
      <c r="F33" s="19">
        <v>1.5</v>
      </c>
      <c r="G33" s="19"/>
      <c r="H33" s="19"/>
      <c r="I33" s="67">
        <f t="shared" si="0"/>
        <v>0</v>
      </c>
    </row>
    <row r="34" spans="1:9" ht="15.6" customHeight="1" x14ac:dyDescent="0.25">
      <c r="A34" s="13">
        <v>30</v>
      </c>
      <c r="B34" s="14" t="s">
        <v>3757</v>
      </c>
      <c r="C34" s="14" t="s">
        <v>3758</v>
      </c>
      <c r="D34" s="46"/>
      <c r="E34" s="47"/>
      <c r="F34" s="19">
        <v>6.8</v>
      </c>
      <c r="G34" s="19"/>
      <c r="H34" s="19"/>
      <c r="I34" s="67">
        <f>H34/F34</f>
        <v>0</v>
      </c>
    </row>
    <row r="35" spans="1:9" ht="16.8" customHeight="1" x14ac:dyDescent="0.25">
      <c r="A35" s="39" t="s">
        <v>1769</v>
      </c>
      <c r="B35" s="39"/>
      <c r="C35" s="39"/>
      <c r="D35" s="39" t="s">
        <v>3759</v>
      </c>
      <c r="E35" s="39"/>
      <c r="F35" s="12">
        <f>SUM(F5:F34)</f>
        <v>302.00000000000006</v>
      </c>
      <c r="G35" s="20"/>
      <c r="H35" s="12">
        <f>SUM(H5:H34)</f>
        <v>0</v>
      </c>
      <c r="I35" s="68">
        <f>H35/F35</f>
        <v>0</v>
      </c>
    </row>
  </sheetData>
  <mergeCells count="38">
    <mergeCell ref="D27:E27"/>
    <mergeCell ref="D28:E28"/>
    <mergeCell ref="D29:E29"/>
    <mergeCell ref="D30:E30"/>
    <mergeCell ref="D31:E31"/>
    <mergeCell ref="D32:E32"/>
    <mergeCell ref="D33:E33"/>
    <mergeCell ref="D23:E23"/>
    <mergeCell ref="D24:E24"/>
    <mergeCell ref="D25:E25"/>
    <mergeCell ref="D26:E26"/>
    <mergeCell ref="D34:E34"/>
    <mergeCell ref="A35:C35"/>
    <mergeCell ref="D35:E35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DC71-6549-4457-A6B3-7FAC0CA04C8D}">
  <sheetPr codeName="Sheet9"/>
  <dimension ref="A1:I27"/>
  <sheetViews>
    <sheetView tabSelected="1" zoomScaleNormal="100" workbookViewId="0">
      <selection activeCell="J21" sqref="J21"/>
    </sheetView>
  </sheetViews>
  <sheetFormatPr defaultRowHeight="13.8" x14ac:dyDescent="0.25"/>
  <cols>
    <col min="1" max="1" width="6.5546875" style="4" customWidth="1"/>
    <col min="2" max="2" width="12" style="5" customWidth="1"/>
    <col min="3" max="3" width="38" style="5" customWidth="1"/>
    <col min="4" max="5" width="17.44140625" style="5" customWidth="1"/>
    <col min="6" max="6" width="20.44140625" style="6" customWidth="1"/>
    <col min="7" max="7" width="15" style="6" customWidth="1"/>
    <col min="8" max="8" width="7.6640625" style="6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7" t="s">
        <v>1765</v>
      </c>
    </row>
    <row r="3" spans="1:9" s="7" customFormat="1" ht="17.399999999999999" customHeight="1" x14ac:dyDescent="0.3">
      <c r="A3" s="39" t="s">
        <v>0</v>
      </c>
      <c r="B3" s="40" t="s">
        <v>1761</v>
      </c>
      <c r="C3" s="40"/>
      <c r="D3" s="42" t="s">
        <v>1763</v>
      </c>
      <c r="E3" s="43"/>
      <c r="F3" s="40" t="s">
        <v>1764</v>
      </c>
      <c r="G3" s="40" t="s">
        <v>1772</v>
      </c>
      <c r="H3" s="39" t="s">
        <v>1773</v>
      </c>
      <c r="I3" s="39"/>
    </row>
    <row r="4" spans="1:9" s="7" customFormat="1" ht="17.399999999999999" customHeight="1" x14ac:dyDescent="0.3">
      <c r="A4" s="39"/>
      <c r="B4" s="11" t="s">
        <v>1</v>
      </c>
      <c r="C4" s="11" t="s">
        <v>1762</v>
      </c>
      <c r="D4" s="44"/>
      <c r="E4" s="45"/>
      <c r="F4" s="40"/>
      <c r="G4" s="40"/>
      <c r="H4" s="11" t="s">
        <v>1774</v>
      </c>
      <c r="I4" s="11" t="s">
        <v>1775</v>
      </c>
    </row>
    <row r="5" spans="1:9" ht="15.6" customHeight="1" x14ac:dyDescent="0.25">
      <c r="A5" s="13">
        <v>1</v>
      </c>
      <c r="B5" s="15" t="s">
        <v>3763</v>
      </c>
      <c r="C5" s="15" t="s">
        <v>3764</v>
      </c>
      <c r="D5" s="46" t="s">
        <v>3765</v>
      </c>
      <c r="E5" s="47" t="s">
        <v>3765</v>
      </c>
      <c r="F5" s="15">
        <v>34</v>
      </c>
      <c r="G5" s="19"/>
      <c r="H5" s="19"/>
      <c r="I5" s="67">
        <f>H5/F5</f>
        <v>0</v>
      </c>
    </row>
    <row r="6" spans="1:9" ht="15.6" customHeight="1" x14ac:dyDescent="0.25">
      <c r="A6" s="13">
        <v>2</v>
      </c>
      <c r="B6" s="15" t="s">
        <v>3766</v>
      </c>
      <c r="C6" s="15" t="s">
        <v>3767</v>
      </c>
      <c r="D6" s="46" t="s">
        <v>3768</v>
      </c>
      <c r="E6" s="47" t="s">
        <v>3768</v>
      </c>
      <c r="F6" s="15">
        <v>43</v>
      </c>
      <c r="G6" s="19"/>
      <c r="H6" s="19"/>
      <c r="I6" s="67">
        <f>H6/F6</f>
        <v>0</v>
      </c>
    </row>
    <row r="7" spans="1:9" ht="15.6" customHeight="1" x14ac:dyDescent="0.25">
      <c r="A7" s="13">
        <v>3</v>
      </c>
      <c r="B7" s="15" t="s">
        <v>3769</v>
      </c>
      <c r="C7" s="15" t="s">
        <v>3770</v>
      </c>
      <c r="D7" s="46" t="s">
        <v>3771</v>
      </c>
      <c r="E7" s="47" t="s">
        <v>3771</v>
      </c>
      <c r="F7" s="15">
        <v>85</v>
      </c>
      <c r="G7" s="15"/>
      <c r="H7" s="15"/>
      <c r="I7" s="67">
        <f>H7/F7</f>
        <v>0</v>
      </c>
    </row>
    <row r="8" spans="1:9" ht="15.6" customHeight="1" x14ac:dyDescent="0.25">
      <c r="A8" s="13">
        <v>4</v>
      </c>
      <c r="B8" s="15" t="s">
        <v>3772</v>
      </c>
      <c r="C8" s="15" t="s">
        <v>3773</v>
      </c>
      <c r="D8" s="46" t="s">
        <v>3774</v>
      </c>
      <c r="E8" s="47" t="s">
        <v>3774</v>
      </c>
      <c r="F8" s="15">
        <v>8</v>
      </c>
      <c r="G8" s="19"/>
      <c r="H8" s="19"/>
      <c r="I8" s="67">
        <f>H8/F8</f>
        <v>0</v>
      </c>
    </row>
    <row r="9" spans="1:9" ht="15.6" customHeight="1" x14ac:dyDescent="0.25">
      <c r="A9" s="13">
        <v>5</v>
      </c>
      <c r="B9" s="15" t="s">
        <v>3775</v>
      </c>
      <c r="C9" s="15" t="s">
        <v>3770</v>
      </c>
      <c r="D9" s="46" t="s">
        <v>3776</v>
      </c>
      <c r="E9" s="47" t="s">
        <v>3776</v>
      </c>
      <c r="F9" s="15">
        <v>208.3</v>
      </c>
      <c r="G9" s="19"/>
      <c r="H9" s="19"/>
      <c r="I9" s="67">
        <f>H9/F9</f>
        <v>0</v>
      </c>
    </row>
    <row r="10" spans="1:9" ht="15.6" customHeight="1" x14ac:dyDescent="0.25">
      <c r="A10" s="13">
        <v>6</v>
      </c>
      <c r="B10" s="15" t="s">
        <v>3777</v>
      </c>
      <c r="C10" s="15" t="s">
        <v>3778</v>
      </c>
      <c r="D10" s="46" t="s">
        <v>3779</v>
      </c>
      <c r="E10" s="47" t="s">
        <v>3779</v>
      </c>
      <c r="F10" s="15">
        <v>71.099999999999994</v>
      </c>
      <c r="G10" s="15"/>
      <c r="H10" s="15"/>
      <c r="I10" s="67">
        <f>H10/F10</f>
        <v>0</v>
      </c>
    </row>
    <row r="11" spans="1:9" ht="15.6" customHeight="1" x14ac:dyDescent="0.25">
      <c r="A11" s="13">
        <v>7</v>
      </c>
      <c r="B11" s="15" t="s">
        <v>3780</v>
      </c>
      <c r="C11" s="15" t="s">
        <v>3781</v>
      </c>
      <c r="D11" s="46" t="s">
        <v>3782</v>
      </c>
      <c r="E11" s="47" t="s">
        <v>3782</v>
      </c>
      <c r="F11" s="15">
        <v>7</v>
      </c>
      <c r="G11" s="19"/>
      <c r="H11" s="19"/>
      <c r="I11" s="67">
        <f>H11/F11</f>
        <v>0</v>
      </c>
    </row>
    <row r="12" spans="1:9" ht="15.6" customHeight="1" x14ac:dyDescent="0.25">
      <c r="A12" s="13">
        <v>8</v>
      </c>
      <c r="B12" s="15" t="s">
        <v>3783</v>
      </c>
      <c r="C12" s="15" t="s">
        <v>3784</v>
      </c>
      <c r="D12" s="46" t="s">
        <v>3785</v>
      </c>
      <c r="E12" s="47" t="s">
        <v>3785</v>
      </c>
      <c r="F12" s="15">
        <v>3</v>
      </c>
      <c r="G12" s="19"/>
      <c r="H12" s="19"/>
      <c r="I12" s="67">
        <f>H12/F12</f>
        <v>0</v>
      </c>
    </row>
    <row r="13" spans="1:9" ht="15.6" customHeight="1" x14ac:dyDescent="0.25">
      <c r="A13" s="13">
        <v>9</v>
      </c>
      <c r="B13" s="15" t="s">
        <v>3786</v>
      </c>
      <c r="C13" s="15" t="s">
        <v>3787</v>
      </c>
      <c r="D13" s="46" t="s">
        <v>3788</v>
      </c>
      <c r="E13" s="47" t="s">
        <v>3788</v>
      </c>
      <c r="F13" s="15">
        <v>2</v>
      </c>
      <c r="G13" s="15"/>
      <c r="H13" s="15"/>
      <c r="I13" s="67">
        <f>H13/F13</f>
        <v>0</v>
      </c>
    </row>
    <row r="14" spans="1:9" ht="15.6" customHeight="1" x14ac:dyDescent="0.25">
      <c r="A14" s="13">
        <v>10</v>
      </c>
      <c r="B14" s="15" t="s">
        <v>3789</v>
      </c>
      <c r="C14" s="15" t="s">
        <v>3790</v>
      </c>
      <c r="D14" s="46" t="s">
        <v>243</v>
      </c>
      <c r="E14" s="47" t="s">
        <v>243</v>
      </c>
      <c r="F14" s="15">
        <v>9</v>
      </c>
      <c r="G14" s="19"/>
      <c r="H14" s="19"/>
      <c r="I14" s="67">
        <f>H14/F14</f>
        <v>0</v>
      </c>
    </row>
    <row r="15" spans="1:9" ht="15.6" customHeight="1" x14ac:dyDescent="0.25">
      <c r="A15" s="13">
        <v>11</v>
      </c>
      <c r="B15" s="15" t="s">
        <v>3791</v>
      </c>
      <c r="C15" s="15" t="s">
        <v>3792</v>
      </c>
      <c r="D15" s="46" t="s">
        <v>3793</v>
      </c>
      <c r="E15" s="47" t="s">
        <v>3793</v>
      </c>
      <c r="F15" s="15">
        <v>6</v>
      </c>
      <c r="G15" s="19"/>
      <c r="H15" s="19"/>
      <c r="I15" s="67">
        <f>H15/F15</f>
        <v>0</v>
      </c>
    </row>
    <row r="16" spans="1:9" ht="15.6" customHeight="1" x14ac:dyDescent="0.25">
      <c r="A16" s="13">
        <v>12</v>
      </c>
      <c r="B16" s="15" t="s">
        <v>3794</v>
      </c>
      <c r="C16" s="15" t="s">
        <v>3795</v>
      </c>
      <c r="D16" s="46" t="s">
        <v>3796</v>
      </c>
      <c r="E16" s="47" t="s">
        <v>3796</v>
      </c>
      <c r="F16" s="15">
        <v>9</v>
      </c>
      <c r="G16" s="15"/>
      <c r="H16" s="15"/>
      <c r="I16" s="67">
        <f>H16/F16</f>
        <v>0</v>
      </c>
    </row>
    <row r="17" spans="1:9" ht="15.6" customHeight="1" x14ac:dyDescent="0.25">
      <c r="A17" s="13">
        <v>13</v>
      </c>
      <c r="B17" s="15" t="s">
        <v>3797</v>
      </c>
      <c r="C17" s="15" t="s">
        <v>3798</v>
      </c>
      <c r="D17" s="46" t="s">
        <v>3774</v>
      </c>
      <c r="E17" s="47" t="s">
        <v>3774</v>
      </c>
      <c r="F17" s="15">
        <v>2.8</v>
      </c>
      <c r="G17" s="19"/>
      <c r="H17" s="19"/>
      <c r="I17" s="67">
        <f>H17/F17</f>
        <v>0</v>
      </c>
    </row>
    <row r="18" spans="1:9" ht="15.6" customHeight="1" x14ac:dyDescent="0.25">
      <c r="A18" s="13">
        <v>14</v>
      </c>
      <c r="B18" s="15" t="s">
        <v>3799</v>
      </c>
      <c r="C18" s="15" t="s">
        <v>3800</v>
      </c>
      <c r="D18" s="46" t="s">
        <v>3801</v>
      </c>
      <c r="E18" s="47" t="s">
        <v>3801</v>
      </c>
      <c r="F18" s="15">
        <v>1.2</v>
      </c>
      <c r="G18" s="19"/>
      <c r="H18" s="19"/>
      <c r="I18" s="67">
        <f>H18/F18</f>
        <v>0</v>
      </c>
    </row>
    <row r="19" spans="1:9" ht="15.6" customHeight="1" x14ac:dyDescent="0.25">
      <c r="A19" s="13">
        <v>15</v>
      </c>
      <c r="B19" s="15" t="s">
        <v>3802</v>
      </c>
      <c r="C19" s="15" t="s">
        <v>3803</v>
      </c>
      <c r="D19" s="46"/>
      <c r="E19" s="47"/>
      <c r="F19" s="15">
        <v>25</v>
      </c>
      <c r="G19" s="15"/>
      <c r="H19" s="15"/>
      <c r="I19" s="67">
        <f>H19/F19</f>
        <v>0</v>
      </c>
    </row>
    <row r="20" spans="1:9" ht="16.8" customHeight="1" x14ac:dyDescent="0.25">
      <c r="A20" s="39" t="s">
        <v>1769</v>
      </c>
      <c r="B20" s="39"/>
      <c r="C20" s="39"/>
      <c r="D20" s="39" t="s">
        <v>3804</v>
      </c>
      <c r="E20" s="39"/>
      <c r="F20" s="12">
        <f>SUM(F5:F19)</f>
        <v>514.4</v>
      </c>
      <c r="G20" s="20"/>
      <c r="H20" s="12">
        <f>SUM(H5:H19)</f>
        <v>0</v>
      </c>
      <c r="I20" s="68">
        <f>H20/F20</f>
        <v>0</v>
      </c>
    </row>
    <row r="22" spans="1:9" ht="15" x14ac:dyDescent="0.25">
      <c r="A22" s="17" t="s">
        <v>1766</v>
      </c>
    </row>
    <row r="24" spans="1:9" s="18" customFormat="1" ht="17.399999999999999" customHeight="1" x14ac:dyDescent="0.25">
      <c r="A24" s="39" t="s">
        <v>0</v>
      </c>
      <c r="B24" s="41" t="s">
        <v>1761</v>
      </c>
      <c r="C24" s="41"/>
      <c r="D24" s="42" t="s">
        <v>1763</v>
      </c>
      <c r="E24" s="43"/>
      <c r="F24" s="41" t="s">
        <v>1768</v>
      </c>
      <c r="G24" s="40" t="s">
        <v>1772</v>
      </c>
      <c r="H24" s="39" t="s">
        <v>1773</v>
      </c>
      <c r="I24" s="39"/>
    </row>
    <row r="25" spans="1:9" s="18" customFormat="1" ht="17.399999999999999" customHeight="1" x14ac:dyDescent="0.25">
      <c r="A25" s="39"/>
      <c r="B25" s="11" t="s">
        <v>1</v>
      </c>
      <c r="C25" s="11" t="s">
        <v>1762</v>
      </c>
      <c r="D25" s="44"/>
      <c r="E25" s="45"/>
      <c r="F25" s="41"/>
      <c r="G25" s="40"/>
      <c r="H25" s="11" t="s">
        <v>1774</v>
      </c>
      <c r="I25" s="11" t="s">
        <v>1775</v>
      </c>
    </row>
    <row r="26" spans="1:9" ht="16.2" customHeight="1" x14ac:dyDescent="0.25">
      <c r="A26" s="8">
        <v>1</v>
      </c>
      <c r="B26" s="9" t="s">
        <v>3760</v>
      </c>
      <c r="C26" s="22" t="s">
        <v>3761</v>
      </c>
      <c r="D26" s="48" t="s">
        <v>3762</v>
      </c>
      <c r="E26" s="49" t="s">
        <v>3762</v>
      </c>
      <c r="F26" s="10">
        <v>114</v>
      </c>
      <c r="G26" s="19"/>
      <c r="H26" s="19"/>
      <c r="I26" s="67">
        <f>H26/F26</f>
        <v>0</v>
      </c>
    </row>
    <row r="27" spans="1:9" ht="16.8" customHeight="1" x14ac:dyDescent="0.25">
      <c r="A27" s="39" t="s">
        <v>1769</v>
      </c>
      <c r="B27" s="39"/>
      <c r="C27" s="39"/>
      <c r="D27" s="39" t="s">
        <v>2050</v>
      </c>
      <c r="E27" s="39"/>
      <c r="F27" s="12">
        <f>SUM(F26:F26)</f>
        <v>114</v>
      </c>
      <c r="G27" s="20"/>
      <c r="H27" s="12">
        <f>SUM(H26:H26)</f>
        <v>0</v>
      </c>
      <c r="I27" s="68">
        <f>H27/F27</f>
        <v>0</v>
      </c>
    </row>
  </sheetData>
  <mergeCells count="32">
    <mergeCell ref="D24:E25"/>
    <mergeCell ref="D17:E17"/>
    <mergeCell ref="D18:E18"/>
    <mergeCell ref="D19:E19"/>
    <mergeCell ref="D12:E12"/>
    <mergeCell ref="D13:E13"/>
    <mergeCell ref="D14:E14"/>
    <mergeCell ref="D15:E15"/>
    <mergeCell ref="D16:E16"/>
    <mergeCell ref="D10:E10"/>
    <mergeCell ref="D11:E11"/>
    <mergeCell ref="H3:I3"/>
    <mergeCell ref="D3:E4"/>
    <mergeCell ref="D5:E5"/>
    <mergeCell ref="D6:E6"/>
    <mergeCell ref="A3:A4"/>
    <mergeCell ref="B3:C3"/>
    <mergeCell ref="F3:F4"/>
    <mergeCell ref="G3:G4"/>
    <mergeCell ref="G24:G25"/>
    <mergeCell ref="H24:I24"/>
    <mergeCell ref="F24:F25"/>
    <mergeCell ref="D7:E7"/>
    <mergeCell ref="D8:E8"/>
    <mergeCell ref="D9:E9"/>
    <mergeCell ref="A27:C27"/>
    <mergeCell ref="D27:E27"/>
    <mergeCell ref="A20:C20"/>
    <mergeCell ref="D20:E20"/>
    <mergeCell ref="A24:A25"/>
    <mergeCell ref="B24:C24"/>
    <mergeCell ref="D26:E26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Inv__Ujitjes_Berat</vt:lpstr>
      <vt:lpstr>Inv__Ujitjes_Kucove</vt:lpstr>
      <vt:lpstr>Inv__Ujitjes_Polican</vt:lpstr>
      <vt:lpstr>Inv__Ujitjes_ Skrapar</vt:lpstr>
      <vt:lpstr>Inv__Ujitjes_Ura Vajgurore</vt:lpstr>
      <vt:lpstr>Inv__Ujitjes_Durres</vt:lpstr>
      <vt:lpstr>Inv__Ujitjes_ Kruje</vt:lpstr>
      <vt:lpstr>Inv__Ujitjes_Shijak</vt:lpstr>
      <vt:lpstr>Inv__Ujitjes_ Belsh</vt:lpstr>
      <vt:lpstr>Inv__Ujitjes_Cerrik</vt:lpstr>
      <vt:lpstr>Inv__Ujitjes_Elbasan</vt:lpstr>
      <vt:lpstr>Inv__Ujitjes_Gramsh</vt:lpstr>
      <vt:lpstr>Inv__Ujitjes_Librazhd</vt:lpstr>
      <vt:lpstr>Inv__Ujitjes_Peqin</vt:lpstr>
      <vt:lpstr>Inv__Ujitjes_Prrenjas</vt:lpstr>
      <vt:lpstr>Inv__Ujitjes_Mallakaster</vt:lpstr>
      <vt:lpstr>Inv__Ujitjes_Fier</vt:lpstr>
      <vt:lpstr>Inv__Ujitjes_Patos</vt:lpstr>
      <vt:lpstr>Inv__Ujitjes_Roskovec</vt:lpstr>
      <vt:lpstr>Inv__Ujitjes_Dropull</vt:lpstr>
      <vt:lpstr>Inv__Ujitjes_Gjirokaster</vt:lpstr>
      <vt:lpstr>Inv__Ujitjes_Kelcyre</vt:lpstr>
      <vt:lpstr>Inv__Ujitjes_Libohove</vt:lpstr>
      <vt:lpstr>Inv__Ujitjes_Memaliaj</vt:lpstr>
      <vt:lpstr>Inv__Ujitjes_Permet</vt:lpstr>
      <vt:lpstr>Inv__Ujitjes_Tepelene</vt:lpstr>
      <vt:lpstr>Inv__Ujitjes_Devoll</vt:lpstr>
      <vt:lpstr>Inv__Ujitjes_Kolonje</vt:lpstr>
      <vt:lpstr>Inv__Ujitjes_Korce</vt:lpstr>
      <vt:lpstr>Inv__Ujitjes_Maliq</vt:lpstr>
      <vt:lpstr>Inv__Ujitjes_Pogradec</vt:lpstr>
      <vt:lpstr>Inv__Ujitjes_Has</vt:lpstr>
      <vt:lpstr>Inv__Ujitjes_Kukes</vt:lpstr>
      <vt:lpstr>Inv__Ujitjes_Tropoje</vt:lpstr>
      <vt:lpstr>Inv__Ujitjes_Kurbin</vt:lpstr>
      <vt:lpstr>Inv__Ujitjes_Lezhe</vt:lpstr>
      <vt:lpstr>Inv__Ujitjes_Mirdite</vt:lpstr>
      <vt:lpstr>Inv__Ujitjes_Divjake</vt:lpstr>
      <vt:lpstr>Inv__Ujitjes_Lushnje</vt:lpstr>
      <vt:lpstr>Inv__Ujitjes_Bulqize</vt:lpstr>
      <vt:lpstr>Inv__Ujitjes_Diber</vt:lpstr>
      <vt:lpstr>Inv__Ujitjes_Klos</vt:lpstr>
      <vt:lpstr>Inv__Ujitjes_Mat</vt:lpstr>
      <vt:lpstr>Inv__Ujitjes_Fushe Arrez</vt:lpstr>
      <vt:lpstr>Inv__Ujitjes_Malesi e Madhe</vt:lpstr>
      <vt:lpstr>Inv__Ujitjes_Puke</vt:lpstr>
      <vt:lpstr>Inv__Ujitjes_Shkoder</vt:lpstr>
      <vt:lpstr>Inv__Ujitjes_Vau i Dejes</vt:lpstr>
      <vt:lpstr>Inv__Ujitjes_Kamez</vt:lpstr>
      <vt:lpstr>Inv__Ujitjes_Kavaje</vt:lpstr>
      <vt:lpstr>Inv__Ujitjes_Rrogozhine</vt:lpstr>
      <vt:lpstr>Inv__Ujitjes_Tirane</vt:lpstr>
      <vt:lpstr>Inv__Ujitjes_Vore</vt:lpstr>
      <vt:lpstr>Inv__Ujitjes_Delvine</vt:lpstr>
      <vt:lpstr>Inv__Ujitjes_Finiq</vt:lpstr>
      <vt:lpstr>Inv__Ujitjes_ Himare</vt:lpstr>
      <vt:lpstr>Inv__Ujitjes_Konispol</vt:lpstr>
      <vt:lpstr>Inv__Ujitjes_Sarande</vt:lpstr>
      <vt:lpstr>Inv__Ujitjes_Selenice</vt:lpstr>
      <vt:lpstr>Inv__Ujitjes_Vlore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Radovicka</dc:creator>
  <cp:lastModifiedBy>Egis</cp:lastModifiedBy>
  <dcterms:created xsi:type="dcterms:W3CDTF">2026-09-22T10:55:03Z</dcterms:created>
  <dcterms:modified xsi:type="dcterms:W3CDTF">2026-09-23T13:09:21Z</dcterms:modified>
</cp:coreProperties>
</file>